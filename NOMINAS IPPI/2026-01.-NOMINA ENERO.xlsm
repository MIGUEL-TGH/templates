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PPI 11\Documents\GitHub\templates\NOMINAS IPPI\"/>
    </mc:Choice>
  </mc:AlternateContent>
  <xr:revisionPtr revIDLastSave="0" documentId="13_ncr:1_{CEB8A959-668C-45AB-99F3-B8A0253E15ED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Hoja1" sheetId="38" r:id="rId1"/>
    <sheet name="OCTUBRE" sheetId="32" r:id="rId2"/>
    <sheet name="1RA" sheetId="40" r:id="rId3"/>
  </sheets>
  <functionGroups builtInGroupCount="19"/>
  <definedNames>
    <definedName name="_xlnm._FilterDatabase" localSheetId="2" hidden="1">'1RA'!$A$1:$AI$54</definedName>
    <definedName name="_xlnm._FilterDatabase" localSheetId="1" hidden="1">OCTUBRE!$A$1:$AG$54</definedName>
    <definedName name="_xlnm.Print_Titles" localSheetId="2">'1RA'!$1:$2</definedName>
    <definedName name="_xlnm.Print_Titles" localSheetId="1">OCTUBRE!$1:$2</definedName>
  </definedNames>
  <calcPr calcId="181029"/>
  <extLs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3" i="40" l="1"/>
  <c r="Y9" i="40"/>
  <c r="F3" i="32"/>
  <c r="B4" i="32"/>
  <c r="B6" i="32"/>
  <c r="B7" i="32"/>
  <c r="L5" i="32" l="1"/>
  <c r="L13" i="32"/>
  <c r="L16" i="32"/>
  <c r="L19" i="32"/>
  <c r="L21" i="32"/>
  <c r="L23" i="32"/>
  <c r="L26" i="32"/>
  <c r="L31" i="32"/>
  <c r="L32" i="32"/>
  <c r="L37" i="32"/>
  <c r="L44" i="32"/>
  <c r="L50" i="32"/>
  <c r="L54" i="32"/>
  <c r="L20" i="32"/>
  <c r="L40" i="32"/>
  <c r="L14" i="32"/>
  <c r="L46" i="32"/>
  <c r="L43" i="32"/>
  <c r="L25" i="32"/>
  <c r="L45" i="32"/>
  <c r="L18" i="32"/>
  <c r="L15" i="32"/>
  <c r="L29" i="32"/>
  <c r="L34" i="32"/>
  <c r="L28" i="32"/>
  <c r="L30" i="32"/>
  <c r="L9" i="32"/>
  <c r="L53" i="32"/>
  <c r="L47" i="32"/>
  <c r="L12" i="32"/>
  <c r="L6" i="32"/>
  <c r="L35" i="32"/>
  <c r="L41" i="32"/>
  <c r="L11" i="32"/>
  <c r="L4" i="32"/>
  <c r="L24" i="32"/>
  <c r="L48" i="32"/>
  <c r="L22" i="32"/>
  <c r="L7" i="32"/>
  <c r="L51" i="32"/>
  <c r="L49" i="32"/>
  <c r="L39" i="32"/>
  <c r="L8" i="32"/>
  <c r="L52" i="32"/>
  <c r="L27" i="32"/>
  <c r="L33" i="32"/>
  <c r="L42" i="32"/>
  <c r="L36" i="32"/>
  <c r="L38" i="32"/>
  <c r="L17" i="32"/>
  <c r="L10" i="32"/>
  <c r="V3" i="40" l="1"/>
  <c r="U3" i="40" s="1"/>
  <c r="V4" i="40"/>
  <c r="U4" i="40" s="1"/>
  <c r="V5" i="40"/>
  <c r="U5" i="40" s="1"/>
  <c r="V6" i="40"/>
  <c r="U6" i="40" s="1"/>
  <c r="V7" i="40"/>
  <c r="U7" i="40" s="1"/>
  <c r="V8" i="40"/>
  <c r="U8" i="40" s="1"/>
  <c r="V9" i="40"/>
  <c r="U9" i="40" s="1"/>
  <c r="V10" i="40"/>
  <c r="U10" i="40" s="1"/>
  <c r="V11" i="40"/>
  <c r="U11" i="40" s="1"/>
  <c r="V12" i="40"/>
  <c r="U12" i="40" s="1"/>
  <c r="V13" i="40"/>
  <c r="U13" i="40" s="1"/>
  <c r="V14" i="40"/>
  <c r="U14" i="40" s="1"/>
  <c r="V15" i="40"/>
  <c r="U15" i="40" s="1"/>
  <c r="V16" i="40"/>
  <c r="U16" i="40" s="1"/>
  <c r="V17" i="40"/>
  <c r="U17" i="40" s="1"/>
  <c r="V18" i="40"/>
  <c r="U18" i="40" s="1"/>
  <c r="V19" i="40"/>
  <c r="U19" i="40" s="1"/>
  <c r="V20" i="40"/>
  <c r="U20" i="40" s="1"/>
  <c r="V21" i="40"/>
  <c r="U21" i="40" s="1"/>
  <c r="V22" i="40"/>
  <c r="U22" i="40" s="1"/>
  <c r="V23" i="40"/>
  <c r="U23" i="40" s="1"/>
  <c r="V24" i="40"/>
  <c r="U24" i="40" s="1"/>
  <c r="V25" i="40"/>
  <c r="U25" i="40" s="1"/>
  <c r="V26" i="40"/>
  <c r="U26" i="40" s="1"/>
  <c r="V27" i="40"/>
  <c r="U27" i="40" s="1"/>
  <c r="V28" i="40"/>
  <c r="U28" i="40" s="1"/>
  <c r="V29" i="40"/>
  <c r="U29" i="40" s="1"/>
  <c r="V30" i="40"/>
  <c r="U30" i="40" s="1"/>
  <c r="V31" i="40"/>
  <c r="U31" i="40" s="1"/>
  <c r="V32" i="40"/>
  <c r="U32" i="40" s="1"/>
  <c r="V33" i="40"/>
  <c r="U33" i="40" s="1"/>
  <c r="V34" i="40"/>
  <c r="U34" i="40" s="1"/>
  <c r="V35" i="40"/>
  <c r="U35" i="40" s="1"/>
  <c r="V36" i="40"/>
  <c r="U36" i="40" s="1"/>
  <c r="V37" i="40"/>
  <c r="U37" i="40" s="1"/>
  <c r="V38" i="40"/>
  <c r="U38" i="40" s="1"/>
  <c r="V39" i="40"/>
  <c r="U39" i="40" s="1"/>
  <c r="V40" i="40"/>
  <c r="U40" i="40" s="1"/>
  <c r="V41" i="40"/>
  <c r="U41" i="40" s="1"/>
  <c r="V42" i="40"/>
  <c r="U42" i="40" s="1"/>
  <c r="V43" i="40"/>
  <c r="U43" i="40" s="1"/>
  <c r="V44" i="40"/>
  <c r="U44" i="40" s="1"/>
  <c r="V45" i="40"/>
  <c r="U45" i="40" s="1"/>
  <c r="V46" i="40"/>
  <c r="U46" i="40" s="1"/>
  <c r="V47" i="40"/>
  <c r="U47" i="40" s="1"/>
  <c r="V48" i="40"/>
  <c r="U48" i="40" s="1"/>
  <c r="V49" i="40"/>
  <c r="U49" i="40" s="1"/>
  <c r="V50" i="40"/>
  <c r="U50" i="40" s="1"/>
  <c r="V51" i="40"/>
  <c r="U51" i="40" s="1"/>
  <c r="V52" i="40"/>
  <c r="U52" i="40" s="1"/>
  <c r="V53" i="40"/>
  <c r="U53" i="40" s="1"/>
  <c r="V54" i="40"/>
  <c r="U54" i="40" s="1"/>
  <c r="T3" i="40"/>
  <c r="S3" i="40" s="1"/>
  <c r="T4" i="40"/>
  <c r="S4" i="40" s="1"/>
  <c r="T5" i="40"/>
  <c r="S5" i="40" s="1"/>
  <c r="T6" i="40"/>
  <c r="S6" i="40" s="1"/>
  <c r="T7" i="40"/>
  <c r="S7" i="40" s="1"/>
  <c r="T8" i="40"/>
  <c r="S8" i="40" s="1"/>
  <c r="T9" i="40"/>
  <c r="S9" i="40" s="1"/>
  <c r="T10" i="40"/>
  <c r="S10" i="40" s="1"/>
  <c r="T11" i="40"/>
  <c r="S11" i="40" s="1"/>
  <c r="T12" i="40"/>
  <c r="S12" i="40" s="1"/>
  <c r="T13" i="40"/>
  <c r="S13" i="40" s="1"/>
  <c r="T14" i="40"/>
  <c r="S14" i="40" s="1"/>
  <c r="T15" i="40"/>
  <c r="S15" i="40" s="1"/>
  <c r="T16" i="40"/>
  <c r="S16" i="40" s="1"/>
  <c r="T17" i="40"/>
  <c r="S17" i="40" s="1"/>
  <c r="T18" i="40"/>
  <c r="S18" i="40" s="1"/>
  <c r="T19" i="40"/>
  <c r="S19" i="40" s="1"/>
  <c r="T20" i="40"/>
  <c r="S20" i="40" s="1"/>
  <c r="T21" i="40"/>
  <c r="S21" i="40" s="1"/>
  <c r="T22" i="40"/>
  <c r="S22" i="40" s="1"/>
  <c r="T23" i="40"/>
  <c r="S23" i="40" s="1"/>
  <c r="T24" i="40"/>
  <c r="S24" i="40" s="1"/>
  <c r="T25" i="40"/>
  <c r="S25" i="40" s="1"/>
  <c r="T26" i="40"/>
  <c r="S26" i="40" s="1"/>
  <c r="T27" i="40"/>
  <c r="S27" i="40" s="1"/>
  <c r="T28" i="40"/>
  <c r="S28" i="40" s="1"/>
  <c r="T29" i="40"/>
  <c r="S29" i="40" s="1"/>
  <c r="T30" i="40"/>
  <c r="S30" i="40" s="1"/>
  <c r="T31" i="40"/>
  <c r="S31" i="40" s="1"/>
  <c r="T32" i="40"/>
  <c r="S32" i="40" s="1"/>
  <c r="T33" i="40"/>
  <c r="S33" i="40" s="1"/>
  <c r="T34" i="40"/>
  <c r="S34" i="40" s="1"/>
  <c r="T35" i="40"/>
  <c r="S35" i="40" s="1"/>
  <c r="T36" i="40"/>
  <c r="S36" i="40" s="1"/>
  <c r="T37" i="40"/>
  <c r="S37" i="40" s="1"/>
  <c r="T38" i="40"/>
  <c r="S38" i="40" s="1"/>
  <c r="T39" i="40"/>
  <c r="S39" i="40" s="1"/>
  <c r="T40" i="40"/>
  <c r="S40" i="40" s="1"/>
  <c r="T41" i="40"/>
  <c r="S41" i="40" s="1"/>
  <c r="T42" i="40"/>
  <c r="S42" i="40" s="1"/>
  <c r="T43" i="40"/>
  <c r="S43" i="40" s="1"/>
  <c r="T44" i="40"/>
  <c r="S44" i="40" s="1"/>
  <c r="T45" i="40"/>
  <c r="S45" i="40" s="1"/>
  <c r="T46" i="40"/>
  <c r="S46" i="40" s="1"/>
  <c r="T47" i="40"/>
  <c r="S47" i="40" s="1"/>
  <c r="T48" i="40"/>
  <c r="S48" i="40" s="1"/>
  <c r="T49" i="40"/>
  <c r="S49" i="40" s="1"/>
  <c r="T50" i="40"/>
  <c r="S50" i="40" s="1"/>
  <c r="T51" i="40"/>
  <c r="S51" i="40" s="1"/>
  <c r="T52" i="40"/>
  <c r="S52" i="40" s="1"/>
  <c r="T53" i="40"/>
  <c r="S53" i="40" s="1"/>
  <c r="T54" i="40"/>
  <c r="S54" i="40" s="1"/>
  <c r="R3" i="40"/>
  <c r="Q3" i="40" s="1"/>
  <c r="R4" i="40"/>
  <c r="Q4" i="40" s="1"/>
  <c r="R5" i="40"/>
  <c r="Q5" i="40" s="1"/>
  <c r="R6" i="40"/>
  <c r="Q6" i="40" s="1"/>
  <c r="R7" i="40"/>
  <c r="Q7" i="40" s="1"/>
  <c r="R8" i="40"/>
  <c r="Q8" i="40" s="1"/>
  <c r="R9" i="40"/>
  <c r="Q9" i="40" s="1"/>
  <c r="R10" i="40"/>
  <c r="Q10" i="40" s="1"/>
  <c r="R11" i="40"/>
  <c r="Q11" i="40" s="1"/>
  <c r="R12" i="40"/>
  <c r="Q12" i="40" s="1"/>
  <c r="R13" i="40"/>
  <c r="Q13" i="40" s="1"/>
  <c r="R14" i="40"/>
  <c r="Q14" i="40" s="1"/>
  <c r="AA14" i="40" s="1"/>
  <c r="R15" i="40"/>
  <c r="Q15" i="40" s="1"/>
  <c r="R16" i="40"/>
  <c r="Q16" i="40" s="1"/>
  <c r="R17" i="40"/>
  <c r="Q17" i="40" s="1"/>
  <c r="R18" i="40"/>
  <c r="Q18" i="40" s="1"/>
  <c r="R19" i="40"/>
  <c r="Q19" i="40" s="1"/>
  <c r="AA19" i="40" s="1"/>
  <c r="R20" i="40"/>
  <c r="Q20" i="40" s="1"/>
  <c r="R21" i="40"/>
  <c r="Q21" i="40" s="1"/>
  <c r="R22" i="40"/>
  <c r="Q22" i="40" s="1"/>
  <c r="R23" i="40"/>
  <c r="Q23" i="40" s="1"/>
  <c r="AA23" i="40" s="1"/>
  <c r="R24" i="40"/>
  <c r="Q24" i="40" s="1"/>
  <c r="R25" i="40"/>
  <c r="Q25" i="40" s="1"/>
  <c r="R26" i="40"/>
  <c r="Q26" i="40" s="1"/>
  <c r="R27" i="40"/>
  <c r="Q27" i="40" s="1"/>
  <c r="R28" i="40"/>
  <c r="Q28" i="40" s="1"/>
  <c r="R29" i="40"/>
  <c r="Q29" i="40" s="1"/>
  <c r="AA29" i="40" s="1"/>
  <c r="R30" i="40"/>
  <c r="Q30" i="40" s="1"/>
  <c r="R31" i="40"/>
  <c r="Q31" i="40" s="1"/>
  <c r="R32" i="40"/>
  <c r="Q32" i="40" s="1"/>
  <c r="R33" i="40"/>
  <c r="Q33" i="40" s="1"/>
  <c r="R34" i="40"/>
  <c r="Q34" i="40" s="1"/>
  <c r="R35" i="40"/>
  <c r="Q35" i="40" s="1"/>
  <c r="R36" i="40"/>
  <c r="Q36" i="40" s="1"/>
  <c r="R37" i="40"/>
  <c r="Q37" i="40" s="1"/>
  <c r="R38" i="40"/>
  <c r="Q38" i="40" s="1"/>
  <c r="R39" i="40"/>
  <c r="Q39" i="40" s="1"/>
  <c r="R40" i="40"/>
  <c r="Q40" i="40" s="1"/>
  <c r="R41" i="40"/>
  <c r="Q41" i="40" s="1"/>
  <c r="R42" i="40"/>
  <c r="Q42" i="40" s="1"/>
  <c r="R43" i="40"/>
  <c r="Q43" i="40" s="1"/>
  <c r="R44" i="40"/>
  <c r="Q44" i="40" s="1"/>
  <c r="R45" i="40"/>
  <c r="Q45" i="40" s="1"/>
  <c r="R46" i="40"/>
  <c r="Q46" i="40" s="1"/>
  <c r="AA46" i="40" s="1"/>
  <c r="R47" i="40"/>
  <c r="Q47" i="40" s="1"/>
  <c r="R48" i="40"/>
  <c r="Q48" i="40" s="1"/>
  <c r="R49" i="40"/>
  <c r="Q49" i="40" s="1"/>
  <c r="R50" i="40"/>
  <c r="Q50" i="40" s="1"/>
  <c r="R51" i="40"/>
  <c r="Q51" i="40" s="1"/>
  <c r="R52" i="40"/>
  <c r="Q52" i="40" s="1"/>
  <c r="R53" i="40"/>
  <c r="Q53" i="40" s="1"/>
  <c r="R54" i="40"/>
  <c r="Q54" i="40" s="1"/>
  <c r="AA35" i="40" l="1"/>
  <c r="AA3" i="40"/>
  <c r="AA7" i="40"/>
  <c r="W4" i="40"/>
  <c r="Y4" i="40" s="1"/>
  <c r="X4" i="40"/>
  <c r="W5" i="40"/>
  <c r="X5" i="40"/>
  <c r="W6" i="40"/>
  <c r="Y6" i="40" s="1"/>
  <c r="X6" i="40"/>
  <c r="W7" i="40"/>
  <c r="X7" i="40"/>
  <c r="W8" i="40"/>
  <c r="Y8" i="40" s="1"/>
  <c r="AG8" i="40" s="1"/>
  <c r="X8" i="40"/>
  <c r="W9" i="40"/>
  <c r="X9" i="40"/>
  <c r="W10" i="40"/>
  <c r="Y10" i="40" s="1"/>
  <c r="X10" i="40"/>
  <c r="W11" i="40"/>
  <c r="Y11" i="40" s="1"/>
  <c r="X11" i="40"/>
  <c r="W12" i="40"/>
  <c r="Y12" i="40" s="1"/>
  <c r="X12" i="40"/>
  <c r="W13" i="40"/>
  <c r="Y13" i="40" s="1"/>
  <c r="X13" i="40"/>
  <c r="W14" i="40"/>
  <c r="Y14" i="40" s="1"/>
  <c r="X14" i="40"/>
  <c r="W15" i="40"/>
  <c r="Y15" i="40" s="1"/>
  <c r="X15" i="40"/>
  <c r="W16" i="40"/>
  <c r="Y16" i="40" s="1"/>
  <c r="X16" i="40"/>
  <c r="W17" i="40"/>
  <c r="Y17" i="40" s="1"/>
  <c r="X17" i="40"/>
  <c r="W18" i="40"/>
  <c r="X18" i="40"/>
  <c r="W19" i="40"/>
  <c r="Y19" i="40" s="1"/>
  <c r="X19" i="40"/>
  <c r="W20" i="40"/>
  <c r="Y20" i="40" s="1"/>
  <c r="X20" i="40"/>
  <c r="W21" i="40"/>
  <c r="Y21" i="40" s="1"/>
  <c r="X21" i="40"/>
  <c r="W22" i="40"/>
  <c r="X22" i="40"/>
  <c r="W23" i="40"/>
  <c r="Y23" i="40" s="1"/>
  <c r="X23" i="40"/>
  <c r="W24" i="40"/>
  <c r="X24" i="40"/>
  <c r="W25" i="40"/>
  <c r="Y25" i="40" s="1"/>
  <c r="X25" i="40"/>
  <c r="W26" i="40"/>
  <c r="X26" i="40"/>
  <c r="W27" i="40"/>
  <c r="Y27" i="40" s="1"/>
  <c r="X27" i="40"/>
  <c r="W28" i="40"/>
  <c r="X28" i="40"/>
  <c r="W29" i="40"/>
  <c r="Y29" i="40" s="1"/>
  <c r="X29" i="40"/>
  <c r="W30" i="40"/>
  <c r="X30" i="40"/>
  <c r="W31" i="40"/>
  <c r="Y31" i="40" s="1"/>
  <c r="X31" i="40"/>
  <c r="W32" i="40"/>
  <c r="X32" i="40"/>
  <c r="W33" i="40"/>
  <c r="Y33" i="40" s="1"/>
  <c r="X33" i="40"/>
  <c r="W34" i="40"/>
  <c r="X34" i="40"/>
  <c r="W35" i="40"/>
  <c r="Y35" i="40" s="1"/>
  <c r="X35" i="40"/>
  <c r="W36" i="40"/>
  <c r="X36" i="40"/>
  <c r="W37" i="40"/>
  <c r="Y37" i="40" s="1"/>
  <c r="X37" i="40"/>
  <c r="W38" i="40"/>
  <c r="Y38" i="40" s="1"/>
  <c r="X38" i="40"/>
  <c r="W39" i="40"/>
  <c r="Y39" i="40" s="1"/>
  <c r="X39" i="40"/>
  <c r="W40" i="40"/>
  <c r="Y40" i="40" s="1"/>
  <c r="X40" i="40"/>
  <c r="W41" i="40"/>
  <c r="Y41" i="40" s="1"/>
  <c r="X41" i="40"/>
  <c r="W42" i="40"/>
  <c r="Y42" i="40" s="1"/>
  <c r="X42" i="40"/>
  <c r="W43" i="40"/>
  <c r="Y43" i="40" s="1"/>
  <c r="X43" i="40"/>
  <c r="W44" i="40"/>
  <c r="Y44" i="40" s="1"/>
  <c r="X44" i="40"/>
  <c r="W45" i="40"/>
  <c r="Y45" i="40" s="1"/>
  <c r="X45" i="40"/>
  <c r="W46" i="40"/>
  <c r="Y46" i="40" s="1"/>
  <c r="X46" i="40"/>
  <c r="W47" i="40"/>
  <c r="X47" i="40"/>
  <c r="W48" i="40"/>
  <c r="Y48" i="40" s="1"/>
  <c r="X48" i="40"/>
  <c r="W49" i="40"/>
  <c r="Y49" i="40" s="1"/>
  <c r="X49" i="40"/>
  <c r="W50" i="40"/>
  <c r="Y50" i="40" s="1"/>
  <c r="X50" i="40"/>
  <c r="W51" i="40"/>
  <c r="Y51" i="40" s="1"/>
  <c r="X51" i="40"/>
  <c r="W52" i="40"/>
  <c r="X52" i="40"/>
  <c r="W53" i="40"/>
  <c r="Y53" i="40" s="1"/>
  <c r="X53" i="40"/>
  <c r="W54" i="40"/>
  <c r="Y54" i="40" s="1"/>
  <c r="X54" i="40"/>
  <c r="W3" i="40"/>
  <c r="W3" i="32"/>
  <c r="W4" i="32"/>
  <c r="W5" i="32"/>
  <c r="W6" i="32"/>
  <c r="W7" i="32"/>
  <c r="W8" i="32"/>
  <c r="W9" i="32"/>
  <c r="W10" i="32"/>
  <c r="W11" i="32"/>
  <c r="W12" i="32"/>
  <c r="W13" i="32"/>
  <c r="W14" i="32"/>
  <c r="W15" i="32"/>
  <c r="W16" i="32"/>
  <c r="W17" i="32"/>
  <c r="W18" i="32"/>
  <c r="W19" i="32"/>
  <c r="W20" i="32"/>
  <c r="W21" i="32"/>
  <c r="W22" i="32"/>
  <c r="W23" i="32"/>
  <c r="W24" i="32"/>
  <c r="W25" i="32"/>
  <c r="W26" i="32"/>
  <c r="W27" i="32"/>
  <c r="W28" i="32"/>
  <c r="W29" i="32"/>
  <c r="W30" i="32"/>
  <c r="W31" i="32"/>
  <c r="W32" i="32"/>
  <c r="W33" i="32"/>
  <c r="W34" i="32"/>
  <c r="W35" i="32"/>
  <c r="W36" i="32"/>
  <c r="W37" i="32"/>
  <c r="W38" i="32"/>
  <c r="W39" i="32"/>
  <c r="W40" i="32"/>
  <c r="W41" i="32"/>
  <c r="W42" i="32"/>
  <c r="W43" i="32"/>
  <c r="W44" i="32"/>
  <c r="W45" i="32"/>
  <c r="W46" i="32"/>
  <c r="W47" i="32"/>
  <c r="W48" i="32"/>
  <c r="W49" i="32"/>
  <c r="W50" i="32"/>
  <c r="W51" i="32"/>
  <c r="W52" i="32"/>
  <c r="W53" i="32"/>
  <c r="W54" i="32"/>
  <c r="A4" i="40"/>
  <c r="E4" i="40"/>
  <c r="M4" i="40"/>
  <c r="A5" i="40"/>
  <c r="E5" i="40"/>
  <c r="M5" i="40"/>
  <c r="A6" i="40"/>
  <c r="E6" i="40"/>
  <c r="M6" i="40"/>
  <c r="A7" i="40"/>
  <c r="E7" i="40"/>
  <c r="M7" i="40"/>
  <c r="A8" i="40"/>
  <c r="E8" i="40"/>
  <c r="M8" i="40"/>
  <c r="A9" i="40"/>
  <c r="E9" i="40"/>
  <c r="M9" i="40"/>
  <c r="A10" i="40"/>
  <c r="E10" i="40"/>
  <c r="M10" i="40"/>
  <c r="A11" i="40"/>
  <c r="E11" i="40"/>
  <c r="M11" i="40"/>
  <c r="A12" i="40"/>
  <c r="E12" i="40"/>
  <c r="M12" i="40"/>
  <c r="A13" i="40"/>
  <c r="E13" i="40"/>
  <c r="M13" i="40"/>
  <c r="A14" i="40"/>
  <c r="E14" i="40"/>
  <c r="M14" i="40"/>
  <c r="A15" i="40"/>
  <c r="E15" i="40"/>
  <c r="M15" i="40"/>
  <c r="A16" i="40"/>
  <c r="E16" i="40"/>
  <c r="M16" i="40"/>
  <c r="A17" i="40"/>
  <c r="E17" i="40"/>
  <c r="M17" i="40"/>
  <c r="A18" i="40"/>
  <c r="E18" i="40"/>
  <c r="M18" i="40"/>
  <c r="A19" i="40"/>
  <c r="E19" i="40"/>
  <c r="M19" i="40"/>
  <c r="A20" i="40"/>
  <c r="E20" i="40"/>
  <c r="M20" i="40"/>
  <c r="A21" i="40"/>
  <c r="E21" i="40"/>
  <c r="M21" i="40"/>
  <c r="A22" i="40"/>
  <c r="E22" i="40"/>
  <c r="M22" i="40"/>
  <c r="A23" i="40"/>
  <c r="E23" i="40"/>
  <c r="M23" i="40"/>
  <c r="A24" i="40"/>
  <c r="E24" i="40"/>
  <c r="M24" i="40"/>
  <c r="A25" i="40"/>
  <c r="E25" i="40"/>
  <c r="M25" i="40"/>
  <c r="A26" i="40"/>
  <c r="E26" i="40"/>
  <c r="M26" i="40"/>
  <c r="A27" i="40"/>
  <c r="E27" i="40"/>
  <c r="M27" i="40"/>
  <c r="A28" i="40"/>
  <c r="E28" i="40"/>
  <c r="M28" i="40"/>
  <c r="A29" i="40"/>
  <c r="E29" i="40"/>
  <c r="M29" i="40"/>
  <c r="A30" i="40"/>
  <c r="E30" i="40"/>
  <c r="M30" i="40"/>
  <c r="A31" i="40"/>
  <c r="E31" i="40"/>
  <c r="M31" i="40"/>
  <c r="A32" i="40"/>
  <c r="E32" i="40"/>
  <c r="M32" i="40"/>
  <c r="A33" i="40"/>
  <c r="E33" i="40"/>
  <c r="M33" i="40"/>
  <c r="A34" i="40"/>
  <c r="E34" i="40"/>
  <c r="M34" i="40"/>
  <c r="A35" i="40"/>
  <c r="E35" i="40"/>
  <c r="M35" i="40"/>
  <c r="A36" i="40"/>
  <c r="E36" i="40"/>
  <c r="M36" i="40"/>
  <c r="A37" i="40"/>
  <c r="E37" i="40"/>
  <c r="M37" i="40"/>
  <c r="A38" i="40"/>
  <c r="E38" i="40"/>
  <c r="M38" i="40"/>
  <c r="A39" i="40"/>
  <c r="E39" i="40"/>
  <c r="M39" i="40"/>
  <c r="A40" i="40"/>
  <c r="E40" i="40"/>
  <c r="M40" i="40"/>
  <c r="A41" i="40"/>
  <c r="E41" i="40"/>
  <c r="M41" i="40"/>
  <c r="A42" i="40"/>
  <c r="E42" i="40"/>
  <c r="M42" i="40"/>
  <c r="A43" i="40"/>
  <c r="E43" i="40"/>
  <c r="M43" i="40"/>
  <c r="A44" i="40"/>
  <c r="E44" i="40"/>
  <c r="M44" i="40"/>
  <c r="A45" i="40"/>
  <c r="E45" i="40"/>
  <c r="M45" i="40"/>
  <c r="A46" i="40"/>
  <c r="E46" i="40"/>
  <c r="M46" i="40"/>
  <c r="A47" i="40"/>
  <c r="E47" i="40"/>
  <c r="M47" i="40"/>
  <c r="A48" i="40"/>
  <c r="E48" i="40"/>
  <c r="M48" i="40"/>
  <c r="A49" i="40"/>
  <c r="E49" i="40"/>
  <c r="M49" i="40"/>
  <c r="A50" i="40"/>
  <c r="E50" i="40"/>
  <c r="M50" i="40"/>
  <c r="A51" i="40"/>
  <c r="E51" i="40"/>
  <c r="M51" i="40"/>
  <c r="A52" i="40"/>
  <c r="E52" i="40"/>
  <c r="M52" i="40"/>
  <c r="A53" i="40"/>
  <c r="E53" i="40"/>
  <c r="M53" i="40"/>
  <c r="A54" i="40"/>
  <c r="E54" i="40"/>
  <c r="M54" i="40"/>
  <c r="M3" i="40"/>
  <c r="E3" i="40"/>
  <c r="A3" i="40"/>
  <c r="AF54" i="40"/>
  <c r="AF53" i="40"/>
  <c r="AF52" i="40"/>
  <c r="AF51" i="40"/>
  <c r="AF50" i="40"/>
  <c r="AF49" i="40"/>
  <c r="AF48" i="40"/>
  <c r="AF47" i="40"/>
  <c r="AF45" i="40"/>
  <c r="AF44" i="40"/>
  <c r="AF43" i="40"/>
  <c r="AF42" i="40"/>
  <c r="AF41" i="40"/>
  <c r="AF40" i="40"/>
  <c r="AF39" i="40"/>
  <c r="AF38" i="40"/>
  <c r="AF37" i="40"/>
  <c r="AF36" i="40"/>
  <c r="AF35" i="40"/>
  <c r="AE35" i="40"/>
  <c r="AF33" i="40"/>
  <c r="AF32" i="40"/>
  <c r="AF31" i="40"/>
  <c r="AF29" i="40"/>
  <c r="AE29" i="40"/>
  <c r="AF28" i="40"/>
  <c r="AF27" i="40"/>
  <c r="AF25" i="40"/>
  <c r="AF24" i="40"/>
  <c r="AF23" i="40"/>
  <c r="AE23" i="40"/>
  <c r="AF21" i="40"/>
  <c r="AF20" i="40"/>
  <c r="AF19" i="40"/>
  <c r="AE19" i="40"/>
  <c r="AF17" i="40"/>
  <c r="AF16" i="40"/>
  <c r="AF15" i="40"/>
  <c r="AF13" i="40"/>
  <c r="AF12" i="40"/>
  <c r="AF11" i="40"/>
  <c r="AF10" i="40"/>
  <c r="AF9" i="40"/>
  <c r="AF8" i="40"/>
  <c r="AF7" i="40"/>
  <c r="AE7" i="40"/>
  <c r="AF5" i="40"/>
  <c r="AF4" i="40"/>
  <c r="AF3" i="40"/>
  <c r="AE3" i="40"/>
  <c r="AD1" i="40"/>
  <c r="R1" i="40"/>
  <c r="Y5" i="40" l="1"/>
  <c r="Y3" i="40"/>
  <c r="Y7" i="40"/>
  <c r="Y52" i="40"/>
  <c r="Y34" i="40"/>
  <c r="AG34" i="40" s="1"/>
  <c r="Y36" i="40"/>
  <c r="Y32" i="40"/>
  <c r="AG32" i="40" s="1"/>
  <c r="Y22" i="40"/>
  <c r="AG22" i="40" s="1"/>
  <c r="AG47" i="40"/>
  <c r="Y47" i="40"/>
  <c r="Y24" i="40"/>
  <c r="AG24" i="40" s="1"/>
  <c r="AG20" i="40"/>
  <c r="AG16" i="40"/>
  <c r="AG12" i="40"/>
  <c r="AG10" i="40"/>
  <c r="AG4" i="40"/>
  <c r="AH4" i="40" s="1"/>
  <c r="AI4" i="40" s="1"/>
  <c r="Y18" i="40"/>
  <c r="AG18" i="40" s="1"/>
  <c r="Y28" i="40"/>
  <c r="AG28" i="40" s="1"/>
  <c r="Y26" i="40"/>
  <c r="AG26" i="40" s="1"/>
  <c r="Y30" i="40"/>
  <c r="AG30" i="40" s="1"/>
  <c r="AG39" i="40"/>
  <c r="AG19" i="40"/>
  <c r="AH19" i="40" s="1"/>
  <c r="AI19" i="40" s="1"/>
  <c r="AG51" i="40"/>
  <c r="AG33" i="40"/>
  <c r="V1" i="40"/>
  <c r="AG41" i="40"/>
  <c r="AG37" i="40"/>
  <c r="AG35" i="40"/>
  <c r="AH35" i="40" s="1"/>
  <c r="AI35" i="40" s="1"/>
  <c r="AG13" i="40"/>
  <c r="T1" i="40"/>
  <c r="AG53" i="40"/>
  <c r="AG49" i="40"/>
  <c r="AG45" i="40"/>
  <c r="AG43" i="40"/>
  <c r="AG25" i="40"/>
  <c r="AG5" i="40"/>
  <c r="AH5" i="40" s="1"/>
  <c r="AI5" i="40" s="1"/>
  <c r="AF6" i="40"/>
  <c r="AE14" i="40"/>
  <c r="AF22" i="40"/>
  <c r="AF26" i="40"/>
  <c r="AF34" i="40"/>
  <c r="AE46" i="40"/>
  <c r="X1" i="40"/>
  <c r="AF14" i="40"/>
  <c r="AF18" i="40"/>
  <c r="AF30" i="40"/>
  <c r="AF46" i="40"/>
  <c r="AG11" i="40"/>
  <c r="AH11" i="40" s="1"/>
  <c r="AI11" i="40" s="1"/>
  <c r="AG7" i="40"/>
  <c r="AH7" i="40" s="1"/>
  <c r="AI7" i="40" s="1"/>
  <c r="AG14" i="40"/>
  <c r="AG52" i="40"/>
  <c r="AG6" i="40"/>
  <c r="AG15" i="40"/>
  <c r="AG21" i="40"/>
  <c r="AG31" i="40"/>
  <c r="AG29" i="40"/>
  <c r="AH29" i="40" s="1"/>
  <c r="AI29" i="40" s="1"/>
  <c r="AG27" i="40"/>
  <c r="AG48" i="40"/>
  <c r="AG40" i="40"/>
  <c r="AG44" i="40"/>
  <c r="AG36" i="40"/>
  <c r="AH36" i="40" s="1"/>
  <c r="AI36" i="40" s="1"/>
  <c r="AG38" i="40"/>
  <c r="AG42" i="40"/>
  <c r="AG46" i="40"/>
  <c r="AG50" i="40"/>
  <c r="AG54" i="40"/>
  <c r="AG9" i="40" l="1"/>
  <c r="AH9" i="40" s="1"/>
  <c r="AI9" i="40" s="1"/>
  <c r="AG23" i="40"/>
  <c r="AH23" i="40" s="1"/>
  <c r="AI23" i="40" s="1"/>
  <c r="AH14" i="40"/>
  <c r="AI14" i="40" s="1"/>
  <c r="Y1" i="40"/>
  <c r="AG17" i="40"/>
  <c r="AF1" i="40"/>
  <c r="AH46" i="40"/>
  <c r="AI46" i="40" s="1"/>
  <c r="AG3" i="40"/>
  <c r="AH3" i="40" s="1"/>
  <c r="AI3" i="40" s="1"/>
  <c r="Q3" i="32"/>
  <c r="P3" i="40" s="1"/>
  <c r="AG1" i="40" l="1"/>
  <c r="Q4" i="32"/>
  <c r="P4" i="40" s="1"/>
  <c r="Q5" i="32"/>
  <c r="P5" i="40" s="1"/>
  <c r="Q6" i="32"/>
  <c r="P6" i="40" s="1"/>
  <c r="Q7" i="32"/>
  <c r="P7" i="40" s="1"/>
  <c r="Q8" i="32"/>
  <c r="P8" i="40" s="1"/>
  <c r="Q9" i="32"/>
  <c r="P9" i="40" s="1"/>
  <c r="Q10" i="32"/>
  <c r="P10" i="40" s="1"/>
  <c r="Q11" i="32"/>
  <c r="P11" i="40" s="1"/>
  <c r="Q12" i="32"/>
  <c r="P12" i="40" s="1"/>
  <c r="Q13" i="32"/>
  <c r="P13" i="40" s="1"/>
  <c r="Q14" i="32"/>
  <c r="P14" i="40" s="1"/>
  <c r="Q15" i="32"/>
  <c r="P15" i="40" s="1"/>
  <c r="Q16" i="32"/>
  <c r="P16" i="40" s="1"/>
  <c r="Q17" i="32"/>
  <c r="P17" i="40" s="1"/>
  <c r="Q18" i="32"/>
  <c r="P18" i="40" s="1"/>
  <c r="Q19" i="32"/>
  <c r="P19" i="40" s="1"/>
  <c r="Q20" i="32"/>
  <c r="P20" i="40" s="1"/>
  <c r="Q21" i="32"/>
  <c r="P21" i="40" s="1"/>
  <c r="Q22" i="32"/>
  <c r="P22" i="40" s="1"/>
  <c r="Q23" i="32"/>
  <c r="P23" i="40" s="1"/>
  <c r="Q24" i="32"/>
  <c r="P24" i="40" s="1"/>
  <c r="Q25" i="32"/>
  <c r="P25" i="40" s="1"/>
  <c r="Q26" i="32"/>
  <c r="P26" i="40" s="1"/>
  <c r="Q27" i="32"/>
  <c r="P27" i="40" s="1"/>
  <c r="Q28" i="32"/>
  <c r="P28" i="40" s="1"/>
  <c r="Q29" i="32"/>
  <c r="P29" i="40" s="1"/>
  <c r="Q30" i="32"/>
  <c r="P30" i="40" s="1"/>
  <c r="Q31" i="32"/>
  <c r="P31" i="40" s="1"/>
  <c r="Q32" i="32"/>
  <c r="P32" i="40" s="1"/>
  <c r="Q33" i="32"/>
  <c r="P33" i="40" s="1"/>
  <c r="Q34" i="32"/>
  <c r="P34" i="40" s="1"/>
  <c r="Q35" i="32"/>
  <c r="P35" i="40" s="1"/>
  <c r="Q36" i="32"/>
  <c r="P36" i="40" s="1"/>
  <c r="Q37" i="32"/>
  <c r="P37" i="40" s="1"/>
  <c r="Q38" i="32"/>
  <c r="P38" i="40" s="1"/>
  <c r="Q39" i="32"/>
  <c r="P39" i="40" s="1"/>
  <c r="Q40" i="32"/>
  <c r="P40" i="40" s="1"/>
  <c r="Q41" i="32"/>
  <c r="P41" i="40" s="1"/>
  <c r="Q42" i="32"/>
  <c r="P42" i="40" s="1"/>
  <c r="Q43" i="32"/>
  <c r="P43" i="40" s="1"/>
  <c r="Q44" i="32"/>
  <c r="P44" i="40" s="1"/>
  <c r="Q45" i="32"/>
  <c r="P45" i="40" s="1"/>
  <c r="Q46" i="32"/>
  <c r="P46" i="40" s="1"/>
  <c r="Q47" i="32"/>
  <c r="P47" i="40" s="1"/>
  <c r="Q48" i="32"/>
  <c r="P48" i="40" s="1"/>
  <c r="Q49" i="32"/>
  <c r="P49" i="40" s="1"/>
  <c r="Q50" i="32"/>
  <c r="P50" i="40" s="1"/>
  <c r="Q51" i="32"/>
  <c r="P51" i="40" s="1"/>
  <c r="Q52" i="32"/>
  <c r="P52" i="40" s="1"/>
  <c r="Q53" i="32"/>
  <c r="P53" i="40" s="1"/>
  <c r="Q54" i="32"/>
  <c r="P54" i="40" s="1"/>
  <c r="AA49" i="40" l="1"/>
  <c r="AE49" i="40"/>
  <c r="AH49" i="40" s="1"/>
  <c r="AI49" i="40" s="1"/>
  <c r="AA37" i="40"/>
  <c r="AE37" i="40"/>
  <c r="AH37" i="40" s="1"/>
  <c r="AI37" i="40" s="1"/>
  <c r="AA25" i="40"/>
  <c r="AE25" i="40"/>
  <c r="AH25" i="40" s="1"/>
  <c r="AI25" i="40" s="1"/>
  <c r="AA13" i="40"/>
  <c r="AE13" i="40"/>
  <c r="AH13" i="40" s="1"/>
  <c r="AI13" i="40" s="1"/>
  <c r="AA52" i="40"/>
  <c r="AE52" i="40"/>
  <c r="AH52" i="40" s="1"/>
  <c r="AI52" i="40" s="1"/>
  <c r="AA48" i="40"/>
  <c r="AE48" i="40"/>
  <c r="AH48" i="40" s="1"/>
  <c r="AI48" i="40" s="1"/>
  <c r="AA44" i="40"/>
  <c r="AE44" i="40"/>
  <c r="AH44" i="40" s="1"/>
  <c r="AI44" i="40" s="1"/>
  <c r="AA40" i="40"/>
  <c r="AE40" i="40"/>
  <c r="AH40" i="40" s="1"/>
  <c r="AI40" i="40" s="1"/>
  <c r="AA32" i="40"/>
  <c r="AE32" i="40"/>
  <c r="AH32" i="40" s="1"/>
  <c r="AI32" i="40" s="1"/>
  <c r="AA28" i="40"/>
  <c r="AE28" i="40"/>
  <c r="AH28" i="40" s="1"/>
  <c r="AI28" i="40" s="1"/>
  <c r="AA24" i="40"/>
  <c r="AE24" i="40"/>
  <c r="AH24" i="40" s="1"/>
  <c r="AI24" i="40" s="1"/>
  <c r="AA20" i="40"/>
  <c r="AE20" i="40"/>
  <c r="AH20" i="40" s="1"/>
  <c r="AI20" i="40" s="1"/>
  <c r="AA16" i="40"/>
  <c r="AE16" i="40"/>
  <c r="AH16" i="40" s="1"/>
  <c r="AI16" i="40" s="1"/>
  <c r="AA12" i="40"/>
  <c r="AE12" i="40"/>
  <c r="AH12" i="40" s="1"/>
  <c r="AI12" i="40" s="1"/>
  <c r="AA8" i="40"/>
  <c r="AE8" i="40"/>
  <c r="AH8" i="40" s="1"/>
  <c r="AI8" i="40" s="1"/>
  <c r="AA53" i="40"/>
  <c r="AE53" i="40"/>
  <c r="AH53" i="40" s="1"/>
  <c r="AI53" i="40" s="1"/>
  <c r="AA41" i="40"/>
  <c r="AE41" i="40"/>
  <c r="AH41" i="40" s="1"/>
  <c r="AI41" i="40" s="1"/>
  <c r="AA17" i="40"/>
  <c r="AE17" i="40"/>
  <c r="AH17" i="40" s="1"/>
  <c r="AI17" i="40" s="1"/>
  <c r="AA47" i="40"/>
  <c r="AE47" i="40"/>
  <c r="AH47" i="40" s="1"/>
  <c r="AI47" i="40" s="1"/>
  <c r="AA39" i="40"/>
  <c r="AE39" i="40"/>
  <c r="AH39" i="40" s="1"/>
  <c r="AI39" i="40" s="1"/>
  <c r="AA31" i="40"/>
  <c r="AE31" i="40"/>
  <c r="AH31" i="40" s="1"/>
  <c r="AI31" i="40" s="1"/>
  <c r="AA15" i="40"/>
  <c r="AE15" i="40"/>
  <c r="AH15" i="40" s="1"/>
  <c r="AI15" i="40" s="1"/>
  <c r="AA45" i="40"/>
  <c r="AE45" i="40"/>
  <c r="AH45" i="40" s="1"/>
  <c r="AI45" i="40" s="1"/>
  <c r="AA33" i="40"/>
  <c r="AE33" i="40"/>
  <c r="AH33" i="40" s="1"/>
  <c r="AI33" i="40" s="1"/>
  <c r="AA21" i="40"/>
  <c r="AE21" i="40"/>
  <c r="AH21" i="40" s="1"/>
  <c r="AI21" i="40" s="1"/>
  <c r="AA51" i="40"/>
  <c r="AE51" i="40"/>
  <c r="AH51" i="40" s="1"/>
  <c r="AI51" i="40" s="1"/>
  <c r="AA43" i="40"/>
  <c r="AE43" i="40"/>
  <c r="AH43" i="40" s="1"/>
  <c r="AI43" i="40" s="1"/>
  <c r="AA27" i="40"/>
  <c r="AE27" i="40"/>
  <c r="AH27" i="40" s="1"/>
  <c r="AI27" i="40" s="1"/>
  <c r="AA54" i="40"/>
  <c r="AE54" i="40"/>
  <c r="AH54" i="40" s="1"/>
  <c r="AI54" i="40" s="1"/>
  <c r="AA50" i="40"/>
  <c r="AE50" i="40"/>
  <c r="AH50" i="40" s="1"/>
  <c r="AI50" i="40" s="1"/>
  <c r="AA42" i="40"/>
  <c r="AE42" i="40"/>
  <c r="AH42" i="40" s="1"/>
  <c r="AI42" i="40" s="1"/>
  <c r="AA38" i="40"/>
  <c r="AE38" i="40"/>
  <c r="AH38" i="40" s="1"/>
  <c r="AI38" i="40" s="1"/>
  <c r="AA34" i="40"/>
  <c r="AE34" i="40"/>
  <c r="AH34" i="40" s="1"/>
  <c r="AI34" i="40" s="1"/>
  <c r="AA30" i="40"/>
  <c r="AE30" i="40"/>
  <c r="AH30" i="40" s="1"/>
  <c r="AI30" i="40" s="1"/>
  <c r="AA26" i="40"/>
  <c r="AE26" i="40"/>
  <c r="AH26" i="40" s="1"/>
  <c r="AI26" i="40" s="1"/>
  <c r="AA22" i="40"/>
  <c r="AE22" i="40"/>
  <c r="AH22" i="40" s="1"/>
  <c r="AI22" i="40" s="1"/>
  <c r="AA18" i="40"/>
  <c r="AE18" i="40"/>
  <c r="AH18" i="40" s="1"/>
  <c r="AI18" i="40" s="1"/>
  <c r="AA10" i="40"/>
  <c r="AE10" i="40"/>
  <c r="AH10" i="40" s="1"/>
  <c r="AI10" i="40" s="1"/>
  <c r="AA6" i="40"/>
  <c r="AE6" i="40"/>
  <c r="O32" i="32"/>
  <c r="P32" i="32"/>
  <c r="O44" i="32"/>
  <c r="P44" i="32"/>
  <c r="O54" i="32"/>
  <c r="P54" i="32"/>
  <c r="O26" i="32"/>
  <c r="O19" i="32"/>
  <c r="P19" i="32"/>
  <c r="P16" i="32"/>
  <c r="O13" i="32"/>
  <c r="O37" i="32"/>
  <c r="P21" i="32"/>
  <c r="P31" i="32"/>
  <c r="O50" i="32"/>
  <c r="P26" i="32"/>
  <c r="O31" i="32"/>
  <c r="O23" i="32"/>
  <c r="O16" i="32"/>
  <c r="P50" i="32"/>
  <c r="O21" i="32"/>
  <c r="P13" i="32"/>
  <c r="P37" i="32"/>
  <c r="P23" i="32"/>
  <c r="O10" i="32"/>
  <c r="O46" i="32"/>
  <c r="P14" i="32"/>
  <c r="O11" i="32"/>
  <c r="O43" i="32"/>
  <c r="P27" i="32"/>
  <c r="P36" i="32"/>
  <c r="P49" i="32"/>
  <c r="O15" i="32"/>
  <c r="O29" i="32"/>
  <c r="O6" i="32"/>
  <c r="O8" i="32"/>
  <c r="O42" i="32"/>
  <c r="P12" i="32"/>
  <c r="O9" i="32"/>
  <c r="O41" i="32"/>
  <c r="P25" i="32"/>
  <c r="O20" i="32"/>
  <c r="P53" i="32"/>
  <c r="P18" i="32"/>
  <c r="X3" i="32"/>
  <c r="P47" i="32"/>
  <c r="P38" i="32"/>
  <c r="O38" i="32"/>
  <c r="P15" i="32"/>
  <c r="P52" i="32"/>
  <c r="P43" i="32"/>
  <c r="P40" i="32"/>
  <c r="O18" i="32"/>
  <c r="P34" i="32"/>
  <c r="P22" i="32"/>
  <c r="O51" i="32"/>
  <c r="P35" i="32"/>
  <c r="P8" i="32"/>
  <c r="O30" i="32"/>
  <c r="O47" i="32"/>
  <c r="P29" i="32"/>
  <c r="P45" i="32"/>
  <c r="O52" i="32"/>
  <c r="P20" i="32"/>
  <c r="O17" i="32"/>
  <c r="O49" i="32"/>
  <c r="P33" i="32"/>
  <c r="O48" i="32"/>
  <c r="O14" i="32"/>
  <c r="O7" i="32"/>
  <c r="O39" i="32"/>
  <c r="O36" i="32"/>
  <c r="O35" i="32"/>
  <c r="O28" i="32"/>
  <c r="P48" i="32"/>
  <c r="P39" i="32"/>
  <c r="P51" i="32"/>
  <c r="P17" i="32"/>
  <c r="P46" i="32"/>
  <c r="P30" i="32"/>
  <c r="O27" i="32"/>
  <c r="P11" i="32"/>
  <c r="O12" i="32"/>
  <c r="O53" i="32"/>
  <c r="P10" i="32"/>
  <c r="O22" i="32"/>
  <c r="P7" i="32"/>
  <c r="O24" i="32"/>
  <c r="P42" i="32"/>
  <c r="P28" i="32"/>
  <c r="O25" i="32"/>
  <c r="P9" i="32"/>
  <c r="P41" i="32"/>
  <c r="O45" i="32"/>
  <c r="O40" i="32"/>
  <c r="P6" i="32"/>
  <c r="O34" i="32"/>
  <c r="O33" i="32"/>
  <c r="P24" i="32"/>
  <c r="Z3" i="40" l="1"/>
  <c r="O23" i="40"/>
  <c r="N39" i="40"/>
  <c r="N7" i="40"/>
  <c r="O18" i="40"/>
  <c r="O40" i="40"/>
  <c r="N40" i="40"/>
  <c r="N14" i="40"/>
  <c r="N45" i="40"/>
  <c r="N21" i="40"/>
  <c r="O53" i="40"/>
  <c r="O24" i="40"/>
  <c r="N48" i="40"/>
  <c r="N20" i="40"/>
  <c r="O43" i="40"/>
  <c r="O41" i="40"/>
  <c r="O33" i="40"/>
  <c r="O25" i="40"/>
  <c r="O17" i="40"/>
  <c r="O9" i="40"/>
  <c r="N49" i="40"/>
  <c r="N41" i="40"/>
  <c r="N33" i="40"/>
  <c r="N25" i="40"/>
  <c r="N17" i="40"/>
  <c r="N9" i="40"/>
  <c r="O52" i="40"/>
  <c r="O28" i="40"/>
  <c r="O20" i="40"/>
  <c r="O12" i="40"/>
  <c r="O51" i="40"/>
  <c r="O42" i="40"/>
  <c r="N52" i="40"/>
  <c r="N42" i="40"/>
  <c r="N34" i="40"/>
  <c r="N24" i="40"/>
  <c r="N16" i="40"/>
  <c r="N8" i="40"/>
  <c r="O15" i="40"/>
  <c r="N23" i="40"/>
  <c r="O45" i="40"/>
  <c r="N6" i="40"/>
  <c r="O39" i="40"/>
  <c r="O7" i="40"/>
  <c r="N22" i="40"/>
  <c r="O29" i="40"/>
  <c r="N29" i="40"/>
  <c r="N38" i="40"/>
  <c r="N47" i="40"/>
  <c r="N15" i="40"/>
  <c r="O48" i="40"/>
  <c r="O10" i="40"/>
  <c r="N30" i="40"/>
  <c r="O49" i="40"/>
  <c r="O21" i="40"/>
  <c r="N53" i="40"/>
  <c r="O38" i="40"/>
  <c r="O16" i="40"/>
  <c r="O8" i="40"/>
  <c r="O36" i="40"/>
  <c r="N28" i="40"/>
  <c r="N12" i="40"/>
  <c r="O35" i="40"/>
  <c r="O27" i="40"/>
  <c r="O19" i="40"/>
  <c r="O11" i="40"/>
  <c r="N51" i="40"/>
  <c r="N43" i="40"/>
  <c r="N35" i="40"/>
  <c r="N27" i="40"/>
  <c r="N19" i="40"/>
  <c r="N11" i="40"/>
  <c r="O47" i="40"/>
  <c r="O30" i="40"/>
  <c r="O22" i="40"/>
  <c r="O14" i="40"/>
  <c r="O6" i="40"/>
  <c r="O46" i="40"/>
  <c r="O34" i="40"/>
  <c r="N46" i="40"/>
  <c r="N36" i="40"/>
  <c r="N18" i="40"/>
  <c r="N10" i="40"/>
  <c r="O54" i="40"/>
  <c r="N32" i="40"/>
  <c r="O32" i="40"/>
  <c r="N54" i="40"/>
  <c r="O44" i="40"/>
  <c r="AE1" i="40"/>
  <c r="AH6" i="40"/>
  <c r="N44" i="40"/>
  <c r="AA1" i="40"/>
  <c r="O50" i="40"/>
  <c r="N50" i="40"/>
  <c r="O37" i="40"/>
  <c r="N37" i="40"/>
  <c r="N31" i="40"/>
  <c r="O31" i="40"/>
  <c r="O26" i="40"/>
  <c r="N26" i="40"/>
  <c r="O13" i="40"/>
  <c r="N13" i="40"/>
  <c r="K32" i="32"/>
  <c r="K44" i="32"/>
  <c r="K54" i="32"/>
  <c r="F32" i="32"/>
  <c r="G32" i="32"/>
  <c r="H32" i="32"/>
  <c r="I32" i="32"/>
  <c r="J32" i="32"/>
  <c r="F44" i="32"/>
  <c r="G44" i="32"/>
  <c r="H44" i="32"/>
  <c r="I44" i="32"/>
  <c r="J44" i="32"/>
  <c r="F54" i="32"/>
  <c r="G54" i="32"/>
  <c r="H54" i="32"/>
  <c r="I54" i="32"/>
  <c r="J54" i="32"/>
  <c r="C32" i="32"/>
  <c r="D32" i="32"/>
  <c r="C44" i="32"/>
  <c r="D44" i="32"/>
  <c r="C54" i="32"/>
  <c r="D54" i="32"/>
  <c r="B32" i="32"/>
  <c r="B44" i="32"/>
  <c r="B54" i="32"/>
  <c r="K26" i="32"/>
  <c r="K19" i="32"/>
  <c r="J13" i="32"/>
  <c r="H23" i="32"/>
  <c r="I26" i="32"/>
  <c r="F37" i="32"/>
  <c r="I50" i="32"/>
  <c r="G13" i="32"/>
  <c r="H16" i="32"/>
  <c r="I19" i="32"/>
  <c r="F26" i="32"/>
  <c r="F50" i="32"/>
  <c r="H21" i="32"/>
  <c r="C50" i="32"/>
  <c r="C23" i="32"/>
  <c r="C31" i="32"/>
  <c r="D23" i="32"/>
  <c r="D31" i="32"/>
  <c r="B19" i="32"/>
  <c r="B21" i="32"/>
  <c r="B37" i="32"/>
  <c r="K16" i="32"/>
  <c r="J16" i="32"/>
  <c r="H26" i="32"/>
  <c r="I37" i="32"/>
  <c r="K50" i="32"/>
  <c r="K13" i="32"/>
  <c r="K21" i="32"/>
  <c r="K37" i="32"/>
  <c r="I21" i="32"/>
  <c r="G31" i="32"/>
  <c r="H50" i="32"/>
  <c r="F21" i="32"/>
  <c r="J37" i="32"/>
  <c r="H37" i="32"/>
  <c r="G50" i="32"/>
  <c r="I23" i="32"/>
  <c r="J26" i="32"/>
  <c r="G37" i="32"/>
  <c r="J50" i="32"/>
  <c r="F19" i="32"/>
  <c r="C16" i="32"/>
  <c r="B50" i="32"/>
  <c r="K23" i="32"/>
  <c r="K31" i="32"/>
  <c r="F16" i="32"/>
  <c r="G19" i="32"/>
  <c r="J21" i="32"/>
  <c r="H31" i="32"/>
  <c r="J31" i="32"/>
  <c r="G21" i="32"/>
  <c r="H13" i="32"/>
  <c r="I16" i="32"/>
  <c r="J19" i="32"/>
  <c r="F23" i="32"/>
  <c r="G26" i="32"/>
  <c r="C26" i="32"/>
  <c r="D16" i="32"/>
  <c r="C19" i="32"/>
  <c r="D19" i="32"/>
  <c r="B16" i="32"/>
  <c r="B26" i="32"/>
  <c r="B13" i="32"/>
  <c r="B23" i="32"/>
  <c r="I13" i="32"/>
  <c r="G23" i="32"/>
  <c r="F31" i="32"/>
  <c r="C13" i="32"/>
  <c r="B31" i="32"/>
  <c r="H19" i="32"/>
  <c r="C37" i="32"/>
  <c r="F13" i="32"/>
  <c r="D26" i="32"/>
  <c r="C21" i="32"/>
  <c r="D37" i="32"/>
  <c r="G16" i="32"/>
  <c r="I31" i="32"/>
  <c r="J23" i="32"/>
  <c r="D13" i="32"/>
  <c r="D50" i="32"/>
  <c r="D21" i="32"/>
  <c r="X16" i="32"/>
  <c r="X32" i="32"/>
  <c r="X48" i="32"/>
  <c r="X53" i="32"/>
  <c r="X34" i="32"/>
  <c r="X15" i="32"/>
  <c r="X47" i="32"/>
  <c r="X17" i="32"/>
  <c r="X33" i="32"/>
  <c r="X14" i="32"/>
  <c r="X46" i="32"/>
  <c r="X27" i="32"/>
  <c r="K10" i="32"/>
  <c r="K46" i="32"/>
  <c r="K35" i="32"/>
  <c r="G11" i="32"/>
  <c r="F24" i="32"/>
  <c r="H38" i="32"/>
  <c r="I10" i="32"/>
  <c r="I48" i="32"/>
  <c r="I39" i="32"/>
  <c r="G53" i="32"/>
  <c r="G18" i="32"/>
  <c r="H33" i="32"/>
  <c r="C6" i="32"/>
  <c r="C40" i="32"/>
  <c r="D20" i="32"/>
  <c r="C15" i="32"/>
  <c r="C47" i="32"/>
  <c r="B24" i="32"/>
  <c r="B51" i="32"/>
  <c r="B18" i="32"/>
  <c r="G7" i="32"/>
  <c r="K12" i="32"/>
  <c r="F12" i="32"/>
  <c r="J24" i="32"/>
  <c r="G39" i="32"/>
  <c r="H11" i="32"/>
  <c r="G24" i="32"/>
  <c r="H51" i="32"/>
  <c r="F14" i="32"/>
  <c r="H40" i="32"/>
  <c r="G6" i="32"/>
  <c r="F35" i="32"/>
  <c r="C8" i="32"/>
  <c r="C42" i="32"/>
  <c r="D22" i="32"/>
  <c r="C17" i="32"/>
  <c r="C49" i="32"/>
  <c r="D33" i="32"/>
  <c r="B28" i="32"/>
  <c r="B9" i="32"/>
  <c r="B47" i="32"/>
  <c r="K49" i="32"/>
  <c r="I45" i="32"/>
  <c r="K30" i="32"/>
  <c r="K15" i="32"/>
  <c r="K47" i="32"/>
  <c r="J12" i="32"/>
  <c r="I25" i="32"/>
  <c r="F40" i="32"/>
  <c r="G12" i="32"/>
  <c r="F25" i="32"/>
  <c r="I38" i="32"/>
  <c r="G52" i="32"/>
  <c r="J51" i="32"/>
  <c r="J14" i="32"/>
  <c r="I27" i="32"/>
  <c r="G41" i="32"/>
  <c r="F7" i="32"/>
  <c r="I36" i="32"/>
  <c r="C10" i="32"/>
  <c r="C46" i="32"/>
  <c r="D24" i="32"/>
  <c r="C51" i="32"/>
  <c r="D35" i="32"/>
  <c r="B36" i="32"/>
  <c r="B29" i="32"/>
  <c r="J9" i="32"/>
  <c r="F47" i="32"/>
  <c r="H52" i="32"/>
  <c r="C38" i="32"/>
  <c r="D29" i="32"/>
  <c r="G14" i="32"/>
  <c r="D53" i="32"/>
  <c r="H39" i="32"/>
  <c r="H28" i="32"/>
  <c r="G38" i="32"/>
  <c r="B17" i="32"/>
  <c r="I42" i="32"/>
  <c r="G46" i="32"/>
  <c r="C29" i="32"/>
  <c r="B33" i="32"/>
  <c r="G9" i="32"/>
  <c r="C28" i="32"/>
  <c r="X24" i="32"/>
  <c r="X18" i="32"/>
  <c r="X31" i="32"/>
  <c r="X25" i="32"/>
  <c r="X30" i="32"/>
  <c r="K51" i="32"/>
  <c r="H30" i="32"/>
  <c r="F17" i="32"/>
  <c r="H43" i="32"/>
  <c r="J6" i="32"/>
  <c r="J46" i="32"/>
  <c r="I24" i="32"/>
  <c r="C22" i="32"/>
  <c r="D40" i="32"/>
  <c r="D15" i="32"/>
  <c r="B42" i="32"/>
  <c r="K9" i="32"/>
  <c r="K28" i="32"/>
  <c r="K53" i="32"/>
  <c r="J17" i="32"/>
  <c r="F45" i="32"/>
  <c r="I7" i="32"/>
  <c r="F34" i="32"/>
  <c r="H25" i="32"/>
  <c r="C24" i="32"/>
  <c r="D42" i="32"/>
  <c r="D17" i="32"/>
  <c r="K24" i="32"/>
  <c r="K14" i="32"/>
  <c r="X4" i="32"/>
  <c r="X20" i="32"/>
  <c r="X36" i="32"/>
  <c r="X52" i="32"/>
  <c r="X6" i="32"/>
  <c r="X42" i="32"/>
  <c r="X23" i="32"/>
  <c r="X5" i="32"/>
  <c r="X21" i="32"/>
  <c r="X41" i="32"/>
  <c r="X22" i="32"/>
  <c r="X54" i="32"/>
  <c r="X35" i="32"/>
  <c r="K18" i="32"/>
  <c r="K11" i="32"/>
  <c r="K43" i="32"/>
  <c r="H14" i="32"/>
  <c r="G27" i="32"/>
  <c r="I41" i="32"/>
  <c r="G40" i="32"/>
  <c r="J53" i="32"/>
  <c r="H46" i="32"/>
  <c r="G29" i="32"/>
  <c r="J42" i="32"/>
  <c r="I8" i="32"/>
  <c r="J39" i="32"/>
  <c r="C14" i="32"/>
  <c r="D28" i="32"/>
  <c r="D7" i="32"/>
  <c r="D39" i="32"/>
  <c r="B48" i="32"/>
  <c r="B46" i="32"/>
  <c r="K42" i="32"/>
  <c r="K20" i="32"/>
  <c r="K45" i="32"/>
  <c r="G15" i="32"/>
  <c r="F28" i="32"/>
  <c r="H42" i="32"/>
  <c r="I14" i="32"/>
  <c r="H27" i="32"/>
  <c r="F41" i="32"/>
  <c r="G30" i="32"/>
  <c r="J48" i="32"/>
  <c r="G17" i="32"/>
  <c r="F30" i="32"/>
  <c r="I43" i="32"/>
  <c r="H9" i="32"/>
  <c r="G22" i="32"/>
  <c r="H41" i="32"/>
  <c r="C52" i="32"/>
  <c r="D30" i="32"/>
  <c r="C25" i="32"/>
  <c r="D9" i="32"/>
  <c r="D41" i="32"/>
  <c r="B52" i="32"/>
  <c r="B25" i="32"/>
  <c r="K8" i="32"/>
  <c r="H10" i="32"/>
  <c r="K6" i="32"/>
  <c r="K40" i="32"/>
  <c r="K48" i="32"/>
  <c r="J28" i="32"/>
  <c r="G43" i="32"/>
  <c r="H15" i="32"/>
  <c r="G28" i="32"/>
  <c r="J41" i="32"/>
  <c r="F52" i="32"/>
  <c r="F18" i="32"/>
  <c r="J30" i="32"/>
  <c r="G45" i="32"/>
  <c r="G10" i="32"/>
  <c r="F43" i="32"/>
  <c r="C18" i="32"/>
  <c r="D38" i="32"/>
  <c r="D34" i="32"/>
  <c r="C27" i="32"/>
  <c r="D11" i="32"/>
  <c r="D43" i="32"/>
  <c r="B45" i="32"/>
  <c r="K34" i="32"/>
  <c r="I22" i="32"/>
  <c r="H12" i="32"/>
  <c r="H17" i="32"/>
  <c r="D18" i="32"/>
  <c r="B20" i="32"/>
  <c r="I52" i="32"/>
  <c r="B15" i="32"/>
  <c r="F53" i="32"/>
  <c r="F42" i="32"/>
  <c r="C12" i="32"/>
  <c r="C53" i="32"/>
  <c r="B38" i="32"/>
  <c r="G34" i="32"/>
  <c r="F46" i="32"/>
  <c r="C20" i="32"/>
  <c r="I6" i="32"/>
  <c r="F22" i="32"/>
  <c r="X8" i="32"/>
  <c r="X40" i="32"/>
  <c r="X37" i="32"/>
  <c r="X50" i="32"/>
  <c r="X9" i="32"/>
  <c r="X49" i="32"/>
  <c r="X11" i="32"/>
  <c r="X43" i="32"/>
  <c r="I17" i="32"/>
  <c r="F48" i="32"/>
  <c r="J29" i="32"/>
  <c r="J35" i="32"/>
  <c r="G33" i="32"/>
  <c r="J11" i="32"/>
  <c r="J47" i="32"/>
  <c r="D52" i="32"/>
  <c r="D47" i="32"/>
  <c r="B39" i="32"/>
  <c r="H18" i="32"/>
  <c r="I30" i="32"/>
  <c r="H20" i="32"/>
  <c r="I47" i="32"/>
  <c r="I12" i="32"/>
  <c r="H49" i="32"/>
  <c r="D6" i="32"/>
  <c r="C33" i="32"/>
  <c r="D49" i="32"/>
  <c r="B41" i="32"/>
  <c r="F20" i="32"/>
  <c r="K52" i="32"/>
  <c r="X44" i="32"/>
  <c r="X39" i="32"/>
  <c r="X38" i="32"/>
  <c r="K36" i="32"/>
  <c r="J20" i="32"/>
  <c r="G20" i="32"/>
  <c r="F10" i="32"/>
  <c r="J22" i="32"/>
  <c r="F15" i="32"/>
  <c r="C30" i="32"/>
  <c r="K33" i="32"/>
  <c r="K38" i="32"/>
  <c r="K29" i="32"/>
  <c r="J15" i="32"/>
  <c r="C41" i="32"/>
  <c r="B27" i="32"/>
  <c r="K22" i="32"/>
  <c r="K39" i="32"/>
  <c r="J52" i="32"/>
  <c r="I11" i="32"/>
  <c r="F38" i="32"/>
  <c r="H29" i="32"/>
  <c r="C36" i="32"/>
  <c r="C11" i="32"/>
  <c r="B30" i="32"/>
  <c r="G36" i="32"/>
  <c r="B43" i="32"/>
  <c r="I40" i="32"/>
  <c r="J7" i="32"/>
  <c r="F29" i="32"/>
  <c r="F11" i="32"/>
  <c r="I46" i="32"/>
  <c r="F27" i="32"/>
  <c r="G42" i="32"/>
  <c r="G47" i="32"/>
  <c r="G48" i="32"/>
  <c r="C9" i="32"/>
  <c r="J36" i="32"/>
  <c r="F49" i="32"/>
  <c r="J34" i="32"/>
  <c r="D46" i="32"/>
  <c r="B10" i="32"/>
  <c r="J40" i="32"/>
  <c r="C45" i="32"/>
  <c r="I15" i="32"/>
  <c r="D36" i="32"/>
  <c r="X45" i="32"/>
  <c r="X13" i="32"/>
  <c r="X19" i="32"/>
  <c r="G35" i="32"/>
  <c r="H47" i="32"/>
  <c r="B8" i="32"/>
  <c r="B53" i="32"/>
  <c r="F36" i="32"/>
  <c r="I34" i="32"/>
  <c r="J43" i="32"/>
  <c r="C34" i="32"/>
  <c r="D25" i="32"/>
  <c r="B22" i="32"/>
  <c r="K7" i="32"/>
  <c r="H6" i="32"/>
  <c r="H22" i="32"/>
  <c r="F9" i="32"/>
  <c r="H35" i="32"/>
  <c r="F39" i="32"/>
  <c r="H48" i="32"/>
  <c r="F51" i="32"/>
  <c r="D8" i="32"/>
  <c r="D27" i="32"/>
  <c r="B35" i="32"/>
  <c r="J49" i="32"/>
  <c r="I53" i="32"/>
  <c r="B14" i="32"/>
  <c r="I35" i="32"/>
  <c r="J25" i="32"/>
  <c r="I20" i="32"/>
  <c r="F6" i="32"/>
  <c r="D45" i="32"/>
  <c r="G49" i="32"/>
  <c r="B49" i="32"/>
  <c r="X12" i="32"/>
  <c r="X26" i="32"/>
  <c r="X29" i="32"/>
  <c r="X51" i="32"/>
  <c r="K27" i="32"/>
  <c r="H7" i="32"/>
  <c r="H36" i="32"/>
  <c r="J27" i="32"/>
  <c r="D12" i="32"/>
  <c r="C39" i="32"/>
  <c r="B11" i="32"/>
  <c r="J8" i="32"/>
  <c r="I28" i="32"/>
  <c r="D14" i="32"/>
  <c r="B12" i="32"/>
  <c r="K25" i="32"/>
  <c r="I9" i="32"/>
  <c r="I33" i="32"/>
  <c r="I18" i="32"/>
  <c r="J45" i="32"/>
  <c r="H45" i="32"/>
  <c r="H24" i="32"/>
  <c r="I51" i="32"/>
  <c r="G51" i="32"/>
  <c r="C35" i="32"/>
  <c r="D51" i="32"/>
  <c r="K17" i="32"/>
  <c r="H34" i="32"/>
  <c r="G25" i="32"/>
  <c r="D10" i="32"/>
  <c r="H53" i="32"/>
  <c r="C48" i="32"/>
  <c r="B40" i="32"/>
  <c r="J18" i="32"/>
  <c r="D48" i="32"/>
  <c r="B34" i="32"/>
  <c r="X28" i="32"/>
  <c r="X7" i="32"/>
  <c r="X10" i="32"/>
  <c r="F8" i="32"/>
  <c r="J33" i="32"/>
  <c r="C7" i="32"/>
  <c r="G8" i="32"/>
  <c r="J10" i="32"/>
  <c r="I49" i="32"/>
  <c r="I29" i="32"/>
  <c r="H8" i="32"/>
  <c r="C43" i="32"/>
  <c r="K41" i="32"/>
  <c r="J38" i="32"/>
  <c r="F33" i="32"/>
  <c r="B49" i="40" l="1"/>
  <c r="D21" i="40"/>
  <c r="C28" i="40"/>
  <c r="F27" i="40"/>
  <c r="G49" i="40"/>
  <c r="F22" i="40"/>
  <c r="G9" i="40"/>
  <c r="I46" i="40"/>
  <c r="F33" i="40"/>
  <c r="I6" i="40"/>
  <c r="B33" i="40"/>
  <c r="B34" i="40"/>
  <c r="D45" i="40"/>
  <c r="C29" i="40"/>
  <c r="D36" i="40"/>
  <c r="D48" i="40"/>
  <c r="C20" i="40"/>
  <c r="G46" i="40"/>
  <c r="J23" i="40"/>
  <c r="F11" i="40"/>
  <c r="F46" i="40"/>
  <c r="J18" i="40"/>
  <c r="F6" i="40"/>
  <c r="G34" i="40"/>
  <c r="I42" i="40"/>
  <c r="F29" i="40"/>
  <c r="G16" i="40"/>
  <c r="B38" i="40"/>
  <c r="B17" i="40"/>
  <c r="B40" i="40"/>
  <c r="C53" i="40"/>
  <c r="C21" i="40"/>
  <c r="C48" i="40"/>
  <c r="C12" i="40"/>
  <c r="G38" i="40"/>
  <c r="I20" i="40"/>
  <c r="J7" i="40"/>
  <c r="F42" i="40"/>
  <c r="H28" i="40"/>
  <c r="I15" i="40"/>
  <c r="H53" i="40"/>
  <c r="F53" i="40"/>
  <c r="H39" i="40"/>
  <c r="J25" i="40"/>
  <c r="B15" i="40"/>
  <c r="D53" i="40"/>
  <c r="D10" i="40"/>
  <c r="I52" i="40"/>
  <c r="G14" i="40"/>
  <c r="I35" i="40"/>
  <c r="I40" i="40"/>
  <c r="H19" i="40"/>
  <c r="B14" i="40"/>
  <c r="B43" i="40"/>
  <c r="B20" i="40"/>
  <c r="D29" i="40"/>
  <c r="C45" i="40"/>
  <c r="D18" i="40"/>
  <c r="C38" i="40"/>
  <c r="I53" i="40"/>
  <c r="H17" i="40"/>
  <c r="H52" i="40"/>
  <c r="J38" i="40"/>
  <c r="G25" i="40"/>
  <c r="H12" i="40"/>
  <c r="F47" i="40"/>
  <c r="J49" i="40"/>
  <c r="G36" i="40"/>
  <c r="I22" i="40"/>
  <c r="J9" i="40"/>
  <c r="J40" i="40"/>
  <c r="H34" i="40"/>
  <c r="G23" i="40"/>
  <c r="L42" i="40"/>
  <c r="L33" i="40"/>
  <c r="L17" i="40"/>
  <c r="K41" i="40"/>
  <c r="K17" i="40"/>
  <c r="L28" i="40"/>
  <c r="L12" i="40"/>
  <c r="K34" i="40"/>
  <c r="B23" i="40"/>
  <c r="B30" i="40"/>
  <c r="B10" i="40"/>
  <c r="B45" i="40"/>
  <c r="B29" i="40"/>
  <c r="B35" i="40"/>
  <c r="B7" i="40"/>
  <c r="B36" i="40"/>
  <c r="B16" i="40"/>
  <c r="D51" i="40"/>
  <c r="D43" i="40"/>
  <c r="D35" i="40"/>
  <c r="D27" i="40"/>
  <c r="D19" i="40"/>
  <c r="D11" i="40"/>
  <c r="C51" i="40"/>
  <c r="C43" i="40"/>
  <c r="C35" i="40"/>
  <c r="C27" i="40"/>
  <c r="C19" i="40"/>
  <c r="C11" i="40"/>
  <c r="D46" i="40"/>
  <c r="D34" i="40"/>
  <c r="D24" i="40"/>
  <c r="D16" i="40"/>
  <c r="D8" i="40"/>
  <c r="D38" i="40"/>
  <c r="C46" i="40"/>
  <c r="C36" i="40"/>
  <c r="C18" i="40"/>
  <c r="C10" i="40"/>
  <c r="G51" i="40"/>
  <c r="F51" i="40"/>
  <c r="F43" i="40"/>
  <c r="I36" i="40"/>
  <c r="H29" i="40"/>
  <c r="F23" i="40"/>
  <c r="J19" i="40"/>
  <c r="I16" i="40"/>
  <c r="G10" i="40"/>
  <c r="F7" i="40"/>
  <c r="I51" i="40"/>
  <c r="H48" i="40"/>
  <c r="G45" i="40"/>
  <c r="G41" i="40"/>
  <c r="F38" i="40"/>
  <c r="J34" i="40"/>
  <c r="J30" i="40"/>
  <c r="I27" i="40"/>
  <c r="H24" i="40"/>
  <c r="G21" i="40"/>
  <c r="F18" i="40"/>
  <c r="J14" i="40"/>
  <c r="I11" i="40"/>
  <c r="H8" i="40"/>
  <c r="F52" i="40"/>
  <c r="J51" i="40"/>
  <c r="H45" i="40"/>
  <c r="F39" i="40"/>
  <c r="G52" i="40"/>
  <c r="F49" i="40"/>
  <c r="J45" i="40"/>
  <c r="J41" i="40"/>
  <c r="I38" i="40"/>
  <c r="H35" i="40"/>
  <c r="G28" i="40"/>
  <c r="F25" i="40"/>
  <c r="J21" i="40"/>
  <c r="I18" i="40"/>
  <c r="H15" i="40"/>
  <c r="G12" i="40"/>
  <c r="F9" i="40"/>
  <c r="J52" i="40"/>
  <c r="G43" i="40"/>
  <c r="F40" i="40"/>
  <c r="J36" i="40"/>
  <c r="I33" i="40"/>
  <c r="J28" i="40"/>
  <c r="I25" i="40"/>
  <c r="H22" i="40"/>
  <c r="G19" i="40"/>
  <c r="F16" i="40"/>
  <c r="J12" i="40"/>
  <c r="I9" i="40"/>
  <c r="H6" i="40"/>
  <c r="K48" i="40"/>
  <c r="L47" i="40"/>
  <c r="L39" i="40"/>
  <c r="L23" i="40"/>
  <c r="L15" i="40"/>
  <c r="L7" i="40"/>
  <c r="K47" i="40"/>
  <c r="K39" i="40"/>
  <c r="K23" i="40"/>
  <c r="K15" i="40"/>
  <c r="K7" i="40"/>
  <c r="L36" i="40"/>
  <c r="L18" i="40"/>
  <c r="L10" i="40"/>
  <c r="K52" i="40"/>
  <c r="K40" i="40"/>
  <c r="K30" i="40"/>
  <c r="K22" i="40"/>
  <c r="K14" i="40"/>
  <c r="K6" i="40"/>
  <c r="I45" i="40"/>
  <c r="I29" i="40"/>
  <c r="F20" i="40"/>
  <c r="H10" i="40"/>
  <c r="L49" i="40"/>
  <c r="L25" i="40"/>
  <c r="K49" i="40"/>
  <c r="K25" i="40"/>
  <c r="L38" i="40"/>
  <c r="K24" i="40"/>
  <c r="K8" i="40"/>
  <c r="B47" i="40"/>
  <c r="B22" i="40"/>
  <c r="B6" i="40"/>
  <c r="B41" i="40"/>
  <c r="B25" i="40"/>
  <c r="B9" i="40"/>
  <c r="B27" i="40"/>
  <c r="B52" i="40"/>
  <c r="B28" i="40"/>
  <c r="B12" i="40"/>
  <c r="D49" i="40"/>
  <c r="D41" i="40"/>
  <c r="D33" i="40"/>
  <c r="D25" i="40"/>
  <c r="D17" i="40"/>
  <c r="D9" i="40"/>
  <c r="C49" i="40"/>
  <c r="C41" i="40"/>
  <c r="C33" i="40"/>
  <c r="C25" i="40"/>
  <c r="C17" i="40"/>
  <c r="C9" i="40"/>
  <c r="D42" i="40"/>
  <c r="D30" i="40"/>
  <c r="D22" i="40"/>
  <c r="D14" i="40"/>
  <c r="D6" i="40"/>
  <c r="C52" i="40"/>
  <c r="C42" i="40"/>
  <c r="C34" i="40"/>
  <c r="C24" i="40"/>
  <c r="C16" i="40"/>
  <c r="C8" i="40"/>
  <c r="I49" i="40"/>
  <c r="H49" i="40"/>
  <c r="H41" i="40"/>
  <c r="F35" i="40"/>
  <c r="I28" i="40"/>
  <c r="H25" i="40"/>
  <c r="G22" i="40"/>
  <c r="F19" i="40"/>
  <c r="J15" i="40"/>
  <c r="I12" i="40"/>
  <c r="H9" i="40"/>
  <c r="G6" i="40"/>
  <c r="I47" i="40"/>
  <c r="I43" i="40"/>
  <c r="H40" i="40"/>
  <c r="F34" i="40"/>
  <c r="F30" i="40"/>
  <c r="I23" i="40"/>
  <c r="H20" i="40"/>
  <c r="G17" i="40"/>
  <c r="F14" i="40"/>
  <c r="J10" i="40"/>
  <c r="I7" i="40"/>
  <c r="J48" i="40"/>
  <c r="J43" i="40"/>
  <c r="G30" i="40"/>
  <c r="H51" i="40"/>
  <c r="G48" i="40"/>
  <c r="F45" i="40"/>
  <c r="F41" i="40"/>
  <c r="I34" i="40"/>
  <c r="I30" i="40"/>
  <c r="H27" i="40"/>
  <c r="G24" i="40"/>
  <c r="F21" i="40"/>
  <c r="J17" i="40"/>
  <c r="I14" i="40"/>
  <c r="H11" i="40"/>
  <c r="G8" i="40"/>
  <c r="H42" i="40"/>
  <c r="G39" i="40"/>
  <c r="F36" i="40"/>
  <c r="F28" i="40"/>
  <c r="J24" i="40"/>
  <c r="I21" i="40"/>
  <c r="H18" i="40"/>
  <c r="G15" i="40"/>
  <c r="F12" i="40"/>
  <c r="J8" i="40"/>
  <c r="L52" i="40"/>
  <c r="L53" i="40"/>
  <c r="L45" i="40"/>
  <c r="L29" i="40"/>
  <c r="L21" i="40"/>
  <c r="K53" i="40"/>
  <c r="K45" i="40"/>
  <c r="K29" i="40"/>
  <c r="K21" i="40"/>
  <c r="L46" i="40"/>
  <c r="L34" i="40"/>
  <c r="L24" i="40"/>
  <c r="L16" i="40"/>
  <c r="L8" i="40"/>
  <c r="K38" i="40"/>
  <c r="K28" i="40"/>
  <c r="K20" i="40"/>
  <c r="K12" i="40"/>
  <c r="J16" i="40"/>
  <c r="G7" i="40"/>
  <c r="L41" i="40"/>
  <c r="L9" i="40"/>
  <c r="K33" i="40"/>
  <c r="K9" i="40"/>
  <c r="L20" i="40"/>
  <c r="K42" i="40"/>
  <c r="K16" i="40"/>
  <c r="B11" i="40"/>
  <c r="B39" i="40"/>
  <c r="B46" i="40"/>
  <c r="B18" i="40"/>
  <c r="B53" i="40"/>
  <c r="B21" i="40"/>
  <c r="B51" i="40"/>
  <c r="B19" i="40"/>
  <c r="B42" i="40"/>
  <c r="B48" i="40"/>
  <c r="B24" i="40"/>
  <c r="B8" i="40"/>
  <c r="D47" i="40"/>
  <c r="D39" i="40"/>
  <c r="D23" i="40"/>
  <c r="D15" i="40"/>
  <c r="D7" i="40"/>
  <c r="C47" i="40"/>
  <c r="C39" i="40"/>
  <c r="C23" i="40"/>
  <c r="C15" i="40"/>
  <c r="C7" i="40"/>
  <c r="D40" i="40"/>
  <c r="D28" i="40"/>
  <c r="D20" i="40"/>
  <c r="D12" i="40"/>
  <c r="D52" i="40"/>
  <c r="C40" i="40"/>
  <c r="C30" i="40"/>
  <c r="C22" i="40"/>
  <c r="C14" i="40"/>
  <c r="C6" i="40"/>
  <c r="G47" i="40"/>
  <c r="J47" i="40"/>
  <c r="J39" i="40"/>
  <c r="H33" i="40"/>
  <c r="J27" i="40"/>
  <c r="I24" i="40"/>
  <c r="H21" i="40"/>
  <c r="G18" i="40"/>
  <c r="F15" i="40"/>
  <c r="J11" i="40"/>
  <c r="I8" i="40"/>
  <c r="G53" i="40"/>
  <c r="J46" i="40"/>
  <c r="J42" i="40"/>
  <c r="I39" i="40"/>
  <c r="H36" i="40"/>
  <c r="G33" i="40"/>
  <c r="G29" i="40"/>
  <c r="J22" i="40"/>
  <c r="I19" i="40"/>
  <c r="H16" i="40"/>
  <c r="F10" i="40"/>
  <c r="J6" i="40"/>
  <c r="H46" i="40"/>
  <c r="I48" i="40"/>
  <c r="G42" i="40"/>
  <c r="J35" i="40"/>
  <c r="J53" i="40"/>
  <c r="H47" i="40"/>
  <c r="H43" i="40"/>
  <c r="G40" i="40"/>
  <c r="J33" i="40"/>
  <c r="J29" i="40"/>
  <c r="H23" i="40"/>
  <c r="G20" i="40"/>
  <c r="F17" i="40"/>
  <c r="I10" i="40"/>
  <c r="H7" i="40"/>
  <c r="F48" i="40"/>
  <c r="I41" i="40"/>
  <c r="H38" i="40"/>
  <c r="G35" i="40"/>
  <c r="H30" i="40"/>
  <c r="G27" i="40"/>
  <c r="F24" i="40"/>
  <c r="J20" i="40"/>
  <c r="I17" i="40"/>
  <c r="H14" i="40"/>
  <c r="G11" i="40"/>
  <c r="F8" i="40"/>
  <c r="L48" i="40"/>
  <c r="L51" i="40"/>
  <c r="L43" i="40"/>
  <c r="L35" i="40"/>
  <c r="L27" i="40"/>
  <c r="L19" i="40"/>
  <c r="L11" i="40"/>
  <c r="K51" i="40"/>
  <c r="K43" i="40"/>
  <c r="K35" i="40"/>
  <c r="K27" i="40"/>
  <c r="K19" i="40"/>
  <c r="K11" i="40"/>
  <c r="L40" i="40"/>
  <c r="L30" i="40"/>
  <c r="L22" i="40"/>
  <c r="L14" i="40"/>
  <c r="L6" i="40"/>
  <c r="K46" i="40"/>
  <c r="K36" i="40"/>
  <c r="K18" i="40"/>
  <c r="K10" i="40"/>
  <c r="Z51" i="40"/>
  <c r="AB51" i="40" s="1"/>
  <c r="AC51" i="40" s="1"/>
  <c r="Z43" i="40"/>
  <c r="AB43" i="40" s="1"/>
  <c r="AC43" i="40" s="1"/>
  <c r="Z35" i="40"/>
  <c r="AB35" i="40" s="1"/>
  <c r="AC35" i="40" s="1"/>
  <c r="Z27" i="40"/>
  <c r="AB27" i="40" s="1"/>
  <c r="AC27" i="40" s="1"/>
  <c r="Z19" i="40"/>
  <c r="AB19" i="40" s="1"/>
  <c r="AC19" i="40" s="1"/>
  <c r="Z11" i="40"/>
  <c r="AB11" i="40" s="1"/>
  <c r="AC11" i="40" s="1"/>
  <c r="Z54" i="40"/>
  <c r="AB54" i="40" s="1"/>
  <c r="AC54" i="40" s="1"/>
  <c r="Z46" i="40"/>
  <c r="AB46" i="40" s="1"/>
  <c r="AC46" i="40" s="1"/>
  <c r="Z38" i="40"/>
  <c r="AB38" i="40" s="1"/>
  <c r="AC38" i="40" s="1"/>
  <c r="Z30" i="40"/>
  <c r="AB30" i="40" s="1"/>
  <c r="AC30" i="40" s="1"/>
  <c r="Z22" i="40"/>
  <c r="AB22" i="40" s="1"/>
  <c r="AC22" i="40" s="1"/>
  <c r="Z14" i="40"/>
  <c r="AB14" i="40" s="1"/>
  <c r="AC14" i="40" s="1"/>
  <c r="Z10" i="40"/>
  <c r="AB10" i="40" s="1"/>
  <c r="AC10" i="40" s="1"/>
  <c r="Z49" i="40"/>
  <c r="AB49" i="40" s="1"/>
  <c r="AC49" i="40" s="1"/>
  <c r="Z41" i="40"/>
  <c r="AB41" i="40" s="1"/>
  <c r="AC41" i="40" s="1"/>
  <c r="Z33" i="40"/>
  <c r="AB33" i="40" s="1"/>
  <c r="AC33" i="40" s="1"/>
  <c r="Z29" i="40"/>
  <c r="AB29" i="40" s="1"/>
  <c r="AC29" i="40" s="1"/>
  <c r="Z25" i="40"/>
  <c r="AB25" i="40" s="1"/>
  <c r="AC25" i="40" s="1"/>
  <c r="Z21" i="40"/>
  <c r="AB21" i="40" s="1"/>
  <c r="AC21" i="40" s="1"/>
  <c r="Z17" i="40"/>
  <c r="AB17" i="40" s="1"/>
  <c r="AC17" i="40" s="1"/>
  <c r="Z13" i="40"/>
  <c r="AB13" i="40" s="1"/>
  <c r="AC13" i="40" s="1"/>
  <c r="Z9" i="40"/>
  <c r="AB9" i="40" s="1"/>
  <c r="AC9" i="40" s="1"/>
  <c r="Z5" i="40"/>
  <c r="AB5" i="40" s="1"/>
  <c r="AC5" i="40" s="1"/>
  <c r="Z47" i="40"/>
  <c r="AB47" i="40" s="1"/>
  <c r="AC47" i="40" s="1"/>
  <c r="Z39" i="40"/>
  <c r="AB39" i="40" s="1"/>
  <c r="AC39" i="40" s="1"/>
  <c r="Z31" i="40"/>
  <c r="AB31" i="40" s="1"/>
  <c r="AC31" i="40" s="1"/>
  <c r="Z23" i="40"/>
  <c r="AB23" i="40" s="1"/>
  <c r="AC23" i="40" s="1"/>
  <c r="Z15" i="40"/>
  <c r="AB15" i="40" s="1"/>
  <c r="AC15" i="40" s="1"/>
  <c r="Z7" i="40"/>
  <c r="AB7" i="40" s="1"/>
  <c r="AC7" i="40" s="1"/>
  <c r="Z50" i="40"/>
  <c r="AB50" i="40" s="1"/>
  <c r="AC50" i="40" s="1"/>
  <c r="Z42" i="40"/>
  <c r="AB42" i="40" s="1"/>
  <c r="AC42" i="40" s="1"/>
  <c r="Z34" i="40"/>
  <c r="AB34" i="40" s="1"/>
  <c r="AC34" i="40" s="1"/>
  <c r="Z26" i="40"/>
  <c r="AB26" i="40" s="1"/>
  <c r="AC26" i="40" s="1"/>
  <c r="Z18" i="40"/>
  <c r="AB18" i="40" s="1"/>
  <c r="AC18" i="40" s="1"/>
  <c r="Z6" i="40"/>
  <c r="AB6" i="40" s="1"/>
  <c r="AC6" i="40" s="1"/>
  <c r="Z53" i="40"/>
  <c r="AB53" i="40" s="1"/>
  <c r="AC53" i="40" s="1"/>
  <c r="Z45" i="40"/>
  <c r="AB45" i="40" s="1"/>
  <c r="AC45" i="40" s="1"/>
  <c r="Z37" i="40"/>
  <c r="AB37" i="40" s="1"/>
  <c r="AC37" i="40" s="1"/>
  <c r="Z52" i="40"/>
  <c r="AB52" i="40" s="1"/>
  <c r="AC52" i="40" s="1"/>
  <c r="Z48" i="40"/>
  <c r="AB48" i="40" s="1"/>
  <c r="AC48" i="40" s="1"/>
  <c r="Z44" i="40"/>
  <c r="AB44" i="40" s="1"/>
  <c r="AC44" i="40" s="1"/>
  <c r="Z40" i="40"/>
  <c r="AB40" i="40" s="1"/>
  <c r="AC40" i="40" s="1"/>
  <c r="Z36" i="40"/>
  <c r="AB36" i="40" s="1"/>
  <c r="AC36" i="40" s="1"/>
  <c r="Z32" i="40"/>
  <c r="AB32" i="40" s="1"/>
  <c r="AC32" i="40" s="1"/>
  <c r="Z28" i="40"/>
  <c r="AB28" i="40" s="1"/>
  <c r="AC28" i="40" s="1"/>
  <c r="Z24" i="40"/>
  <c r="AB24" i="40" s="1"/>
  <c r="AC24" i="40" s="1"/>
  <c r="Z20" i="40"/>
  <c r="AB20" i="40" s="1"/>
  <c r="AC20" i="40" s="1"/>
  <c r="Z16" i="40"/>
  <c r="AB16" i="40" s="1"/>
  <c r="AC16" i="40" s="1"/>
  <c r="Z12" i="40"/>
  <c r="AB12" i="40" s="1"/>
  <c r="AC12" i="40" s="1"/>
  <c r="Z8" i="40"/>
  <c r="AB8" i="40" s="1"/>
  <c r="AC8" i="40" s="1"/>
  <c r="Z4" i="40"/>
  <c r="AB4" i="40" s="1"/>
  <c r="AC4" i="40" s="1"/>
  <c r="C44" i="40"/>
  <c r="J44" i="40"/>
  <c r="L44" i="40"/>
  <c r="D54" i="40"/>
  <c r="D32" i="40"/>
  <c r="H54" i="40"/>
  <c r="I44" i="40"/>
  <c r="J32" i="40"/>
  <c r="F32" i="40"/>
  <c r="K44" i="40"/>
  <c r="AI6" i="40"/>
  <c r="AI1" i="40" s="1"/>
  <c r="AH1" i="40"/>
  <c r="I54" i="40"/>
  <c r="G32" i="40"/>
  <c r="C54" i="40"/>
  <c r="G54" i="40"/>
  <c r="H44" i="40"/>
  <c r="I32" i="40"/>
  <c r="L54" i="40"/>
  <c r="L32" i="40"/>
  <c r="B32" i="40"/>
  <c r="F44" i="40"/>
  <c r="B54" i="40"/>
  <c r="C32" i="40"/>
  <c r="B44" i="40"/>
  <c r="D44" i="40"/>
  <c r="J54" i="40"/>
  <c r="F54" i="40"/>
  <c r="G44" i="40"/>
  <c r="H32" i="40"/>
  <c r="K54" i="40"/>
  <c r="K32" i="40"/>
  <c r="AB3" i="40"/>
  <c r="D50" i="40"/>
  <c r="L50" i="40"/>
  <c r="B50" i="40"/>
  <c r="J50" i="40"/>
  <c r="G50" i="40"/>
  <c r="H50" i="40"/>
  <c r="K50" i="40"/>
  <c r="C50" i="40"/>
  <c r="F50" i="40"/>
  <c r="I50" i="40"/>
  <c r="D37" i="40"/>
  <c r="C37" i="40"/>
  <c r="G37" i="40"/>
  <c r="H37" i="40"/>
  <c r="J37" i="40"/>
  <c r="L37" i="40"/>
  <c r="K37" i="40"/>
  <c r="I37" i="40"/>
  <c r="B37" i="40"/>
  <c r="F37" i="40"/>
  <c r="I31" i="40"/>
  <c r="B31" i="40"/>
  <c r="F31" i="40"/>
  <c r="J31" i="40"/>
  <c r="H31" i="40"/>
  <c r="L31" i="40"/>
  <c r="K31" i="40"/>
  <c r="G31" i="40"/>
  <c r="D31" i="40"/>
  <c r="C31" i="40"/>
  <c r="D26" i="40"/>
  <c r="B26" i="40"/>
  <c r="C26" i="40"/>
  <c r="G26" i="40"/>
  <c r="L26" i="40"/>
  <c r="J26" i="40"/>
  <c r="H26" i="40"/>
  <c r="F26" i="40"/>
  <c r="I26" i="40"/>
  <c r="K26" i="40"/>
  <c r="D13" i="40"/>
  <c r="F13" i="40"/>
  <c r="C13" i="40"/>
  <c r="I13" i="40"/>
  <c r="B13" i="40"/>
  <c r="H13" i="40"/>
  <c r="L13" i="40"/>
  <c r="K13" i="40"/>
  <c r="G13" i="40"/>
  <c r="J13" i="40"/>
  <c r="Y3" i="32"/>
  <c r="Y19" i="32"/>
  <c r="Y7" i="32"/>
  <c r="AD54" i="32"/>
  <c r="AD53" i="32"/>
  <c r="AD52" i="32"/>
  <c r="AD51" i="32"/>
  <c r="AD50" i="32"/>
  <c r="AD49" i="32"/>
  <c r="AD48" i="32"/>
  <c r="AD47" i="32"/>
  <c r="AD46" i="32"/>
  <c r="AC46" i="32"/>
  <c r="Y46" i="32"/>
  <c r="AD45" i="32"/>
  <c r="AD44" i="32"/>
  <c r="AD43" i="32"/>
  <c r="AD42" i="32"/>
  <c r="AD41" i="32"/>
  <c r="AD40" i="32"/>
  <c r="AD39" i="32"/>
  <c r="AD38" i="32"/>
  <c r="AD37" i="32"/>
  <c r="AD36" i="32"/>
  <c r="AD35" i="32"/>
  <c r="AC35" i="32"/>
  <c r="Y35" i="32"/>
  <c r="AD34" i="32"/>
  <c r="AD33" i="32"/>
  <c r="AD32" i="32"/>
  <c r="AD31" i="32"/>
  <c r="AD30" i="32"/>
  <c r="AD29" i="32"/>
  <c r="AC29" i="32"/>
  <c r="Y29" i="32"/>
  <c r="AD28" i="32"/>
  <c r="AD27" i="32"/>
  <c r="AD26" i="32"/>
  <c r="AD25" i="32"/>
  <c r="AD24" i="32"/>
  <c r="AD23" i="32"/>
  <c r="AC23" i="32"/>
  <c r="Y23" i="32"/>
  <c r="AD22" i="32"/>
  <c r="AD21" i="32"/>
  <c r="AD20" i="32"/>
  <c r="AD19" i="32"/>
  <c r="AC19" i="32"/>
  <c r="AD18" i="32"/>
  <c r="AD17" i="32"/>
  <c r="AD16" i="32"/>
  <c r="AD15" i="32"/>
  <c r="AD14" i="32"/>
  <c r="AC14" i="32"/>
  <c r="Y14" i="32"/>
  <c r="AD13" i="32"/>
  <c r="AD12" i="32"/>
  <c r="AD11" i="32"/>
  <c r="AD10" i="32"/>
  <c r="AE9" i="32"/>
  <c r="AD9" i="32"/>
  <c r="AD8" i="32"/>
  <c r="AD7" i="32"/>
  <c r="AC7" i="32"/>
  <c r="AD6" i="32"/>
  <c r="AD5" i="32"/>
  <c r="AD4" i="32"/>
  <c r="AD3" i="32"/>
  <c r="AC3" i="32"/>
  <c r="AE4" i="32"/>
  <c r="AE5" i="32"/>
  <c r="AE6" i="32"/>
  <c r="AE7" i="32"/>
  <c r="AE8" i="32"/>
  <c r="AE10" i="32"/>
  <c r="AE11" i="32"/>
  <c r="AE12" i="32"/>
  <c r="AE13" i="32"/>
  <c r="AE14" i="32"/>
  <c r="AE16" i="32"/>
  <c r="AE18" i="32"/>
  <c r="AE20" i="32"/>
  <c r="AE21" i="32"/>
  <c r="AE22" i="32"/>
  <c r="AE24" i="32"/>
  <c r="AE25" i="32"/>
  <c r="AE26" i="32"/>
  <c r="AE28" i="32"/>
  <c r="AE30" i="32"/>
  <c r="AE32" i="32"/>
  <c r="AE34" i="32"/>
  <c r="AE36" i="32"/>
  <c r="AE37" i="32"/>
  <c r="AE38" i="32"/>
  <c r="AE39" i="32"/>
  <c r="AE40" i="32"/>
  <c r="AE41" i="32"/>
  <c r="AE42" i="32"/>
  <c r="AE43" i="32"/>
  <c r="AE44" i="32"/>
  <c r="AE45" i="32"/>
  <c r="AE46" i="32"/>
  <c r="AE47" i="32"/>
  <c r="AE48" i="32"/>
  <c r="AE49" i="32"/>
  <c r="AE50" i="32"/>
  <c r="AE51" i="32"/>
  <c r="AE52" i="32"/>
  <c r="AE53" i="32"/>
  <c r="AE54" i="32"/>
  <c r="AE3" i="32"/>
  <c r="AC6" i="32"/>
  <c r="Y8" i="32"/>
  <c r="AC12" i="32"/>
  <c r="Y13" i="32"/>
  <c r="Y15" i="32"/>
  <c r="AC16" i="32"/>
  <c r="AC17" i="32"/>
  <c r="AC18" i="32"/>
  <c r="AC20" i="32"/>
  <c r="Y21" i="32"/>
  <c r="Y22" i="32"/>
  <c r="AC24" i="32"/>
  <c r="Y25" i="32"/>
  <c r="Y26" i="32"/>
  <c r="AC27" i="32"/>
  <c r="AC28" i="32"/>
  <c r="Y31" i="32"/>
  <c r="AC32" i="32"/>
  <c r="Y33" i="32"/>
  <c r="AC37" i="32"/>
  <c r="AC38" i="32"/>
  <c r="AC39" i="32"/>
  <c r="Y40" i="32"/>
  <c r="AC41" i="32"/>
  <c r="AC42" i="32"/>
  <c r="AC43" i="32"/>
  <c r="Y44" i="32"/>
  <c r="AC45" i="32"/>
  <c r="AC47" i="32"/>
  <c r="AC48" i="32"/>
  <c r="AC49" i="32"/>
  <c r="AC50" i="32"/>
  <c r="AC51" i="32"/>
  <c r="AC52" i="32"/>
  <c r="AC53" i="32"/>
  <c r="AC54" i="32"/>
  <c r="AC3" i="40" l="1"/>
  <c r="AC1" i="40" s="1"/>
  <c r="AB1" i="40"/>
  <c r="Z1" i="40"/>
  <c r="AF51" i="32"/>
  <c r="AG51" i="32" s="1"/>
  <c r="AF47" i="32"/>
  <c r="AG47" i="32" s="1"/>
  <c r="AF43" i="32"/>
  <c r="AG43" i="32" s="1"/>
  <c r="AF39" i="32"/>
  <c r="AG39" i="32" s="1"/>
  <c r="AF11" i="32"/>
  <c r="AG11" i="32" s="1"/>
  <c r="Y28" i="32"/>
  <c r="Z28" i="32" s="1"/>
  <c r="AA28" i="32" s="1"/>
  <c r="Y20" i="32"/>
  <c r="Z20" i="32" s="1"/>
  <c r="AA20" i="32" s="1"/>
  <c r="AC44" i="32"/>
  <c r="AF44" i="32" s="1"/>
  <c r="AG44" i="32" s="1"/>
  <c r="AF16" i="32"/>
  <c r="AG16" i="32" s="1"/>
  <c r="Y53" i="32"/>
  <c r="Z53" i="32" s="1"/>
  <c r="AA53" i="32" s="1"/>
  <c r="Y49" i="32"/>
  <c r="Z49" i="32" s="1"/>
  <c r="AA49" i="32" s="1"/>
  <c r="AF14" i="32"/>
  <c r="AG14" i="32" s="1"/>
  <c r="AF5" i="32"/>
  <c r="AG5" i="32" s="1"/>
  <c r="AC8" i="32"/>
  <c r="AF8" i="32" s="1"/>
  <c r="AG8" i="32" s="1"/>
  <c r="Y24" i="32"/>
  <c r="Z24" i="32" s="1"/>
  <c r="AA24" i="32" s="1"/>
  <c r="Y32" i="32"/>
  <c r="Y37" i="32"/>
  <c r="Z37" i="32" s="1"/>
  <c r="AA37" i="32" s="1"/>
  <c r="AC40" i="32"/>
  <c r="AF40" i="32" s="1"/>
  <c r="AG40" i="32" s="1"/>
  <c r="Z3" i="32"/>
  <c r="AA3" i="32" s="1"/>
  <c r="AF50" i="32"/>
  <c r="AG50" i="32" s="1"/>
  <c r="AF38" i="32"/>
  <c r="AG38" i="32" s="1"/>
  <c r="AF6" i="32"/>
  <c r="AG6" i="32" s="1"/>
  <c r="Y27" i="32"/>
  <c r="Z27" i="32" s="1"/>
  <c r="AA27" i="32" s="1"/>
  <c r="AF7" i="32"/>
  <c r="AG7" i="32" s="1"/>
  <c r="Y16" i="32"/>
  <c r="Z16" i="32" s="1"/>
  <c r="AA16" i="32" s="1"/>
  <c r="Y17" i="32"/>
  <c r="Z17" i="32" s="1"/>
  <c r="AA17" i="32" s="1"/>
  <c r="Y41" i="32"/>
  <c r="Z41" i="32" s="1"/>
  <c r="AA41" i="32" s="1"/>
  <c r="Y45" i="32"/>
  <c r="Z45" i="32" s="1"/>
  <c r="AA45" i="32" s="1"/>
  <c r="Y48" i="32"/>
  <c r="Z48" i="32" s="1"/>
  <c r="AA48" i="32" s="1"/>
  <c r="Y52" i="32"/>
  <c r="Z52" i="32" s="1"/>
  <c r="AA52" i="32" s="1"/>
  <c r="Y47" i="32"/>
  <c r="Z47" i="32" s="1"/>
  <c r="AA47" i="32" s="1"/>
  <c r="AF54" i="32"/>
  <c r="AG54" i="32" s="1"/>
  <c r="AF42" i="32"/>
  <c r="AG42" i="32" s="1"/>
  <c r="Y39" i="32"/>
  <c r="Z39" i="32" s="1"/>
  <c r="AA39" i="32" s="1"/>
  <c r="AF32" i="32"/>
  <c r="AG32" i="32" s="1"/>
  <c r="AF9" i="32"/>
  <c r="AG9" i="32" s="1"/>
  <c r="AC13" i="32"/>
  <c r="AF13" i="32" s="1"/>
  <c r="AG13" i="32" s="1"/>
  <c r="Z32" i="32"/>
  <c r="AA32" i="32" s="1"/>
  <c r="Z31" i="32"/>
  <c r="AA31" i="32" s="1"/>
  <c r="Z23" i="32"/>
  <c r="AA23" i="32" s="1"/>
  <c r="Z19" i="32"/>
  <c r="AA19" i="32" s="1"/>
  <c r="Z26" i="32"/>
  <c r="AA26" i="32" s="1"/>
  <c r="Z22" i="32"/>
  <c r="AA22" i="32" s="1"/>
  <c r="Z36" i="32"/>
  <c r="AA36" i="32" s="1"/>
  <c r="Z35" i="32"/>
  <c r="AA35" i="32" s="1"/>
  <c r="Z11" i="32"/>
  <c r="AA11" i="32" s="1"/>
  <c r="Z33" i="32"/>
  <c r="AA33" i="32" s="1"/>
  <c r="Z29" i="32"/>
  <c r="AA29" i="32" s="1"/>
  <c r="Z25" i="32"/>
  <c r="AA25" i="32" s="1"/>
  <c r="Z21" i="32"/>
  <c r="AA21" i="32" s="1"/>
  <c r="AF18" i="32"/>
  <c r="AG18" i="32" s="1"/>
  <c r="AC34" i="32"/>
  <c r="AF34" i="32" s="1"/>
  <c r="AG34" i="32" s="1"/>
  <c r="Y34" i="32"/>
  <c r="Z34" i="32" s="1"/>
  <c r="AA34" i="32" s="1"/>
  <c r="AC30" i="32"/>
  <c r="AF30" i="32" s="1"/>
  <c r="AG30" i="32" s="1"/>
  <c r="Y30" i="32"/>
  <c r="Z30" i="32" s="1"/>
  <c r="AA30" i="32" s="1"/>
  <c r="AE17" i="32"/>
  <c r="AF17" i="32" s="1"/>
  <c r="AG17" i="32" s="1"/>
  <c r="Y42" i="32"/>
  <c r="Z42" i="32" s="1"/>
  <c r="AA42" i="32" s="1"/>
  <c r="Y18" i="32"/>
  <c r="Z18" i="32" s="1"/>
  <c r="AA18" i="32" s="1"/>
  <c r="AF4" i="32"/>
  <c r="AG4" i="32" s="1"/>
  <c r="AC26" i="32"/>
  <c r="AF26" i="32" s="1"/>
  <c r="AG26" i="32" s="1"/>
  <c r="Y50" i="32"/>
  <c r="Z50" i="32" s="1"/>
  <c r="AA50" i="32" s="1"/>
  <c r="Y6" i="32"/>
  <c r="AF28" i="32"/>
  <c r="AG28" i="32" s="1"/>
  <c r="AF24" i="32"/>
  <c r="AG24" i="32" s="1"/>
  <c r="AF20" i="32"/>
  <c r="AG20" i="32" s="1"/>
  <c r="AF12" i="32"/>
  <c r="AG12" i="32" s="1"/>
  <c r="Z14" i="32"/>
  <c r="AA14" i="32" s="1"/>
  <c r="AE33" i="32"/>
  <c r="Y38" i="32"/>
  <c r="Z38" i="32" s="1"/>
  <c r="AA38" i="32" s="1"/>
  <c r="Z40" i="32"/>
  <c r="AA40" i="32" s="1"/>
  <c r="Y43" i="32"/>
  <c r="Z43" i="32" s="1"/>
  <c r="AA43" i="32" s="1"/>
  <c r="Z46" i="32"/>
  <c r="AA46" i="32" s="1"/>
  <c r="AC10" i="32"/>
  <c r="AF10" i="32" s="1"/>
  <c r="AG10" i="32" s="1"/>
  <c r="Y10" i="32"/>
  <c r="Z10" i="32" s="1"/>
  <c r="AA10" i="32" s="1"/>
  <c r="Z44" i="32"/>
  <c r="AA44" i="32" s="1"/>
  <c r="Z13" i="32"/>
  <c r="AA13" i="32" s="1"/>
  <c r="AC22" i="32"/>
  <c r="AF22" i="32" s="1"/>
  <c r="AG22" i="32" s="1"/>
  <c r="Z15" i="32"/>
  <c r="AA15" i="32" s="1"/>
  <c r="AF3" i="32"/>
  <c r="AG3" i="32" s="1"/>
  <c r="AC15" i="32"/>
  <c r="AE29" i="32"/>
  <c r="AF29" i="32" s="1"/>
  <c r="AG29" i="32" s="1"/>
  <c r="AC31" i="32"/>
  <c r="Y51" i="32"/>
  <c r="Z51" i="32" s="1"/>
  <c r="AA51" i="32" s="1"/>
  <c r="Y54" i="32"/>
  <c r="Z54" i="32" s="1"/>
  <c r="AA54" i="32" s="1"/>
  <c r="Y12" i="32"/>
  <c r="Z12" i="32" s="1"/>
  <c r="AA12" i="32" s="1"/>
  <c r="AE15" i="32"/>
  <c r="AE19" i="32"/>
  <c r="AF19" i="32" s="1"/>
  <c r="AG19" i="32" s="1"/>
  <c r="AC21" i="32"/>
  <c r="AF21" i="32" s="1"/>
  <c r="AG21" i="32" s="1"/>
  <c r="AE23" i="32"/>
  <c r="AF23" i="32" s="1"/>
  <c r="AG23" i="32" s="1"/>
  <c r="AC25" i="32"/>
  <c r="AF25" i="32" s="1"/>
  <c r="AG25" i="32" s="1"/>
  <c r="AE27" i="32"/>
  <c r="AF27" i="32" s="1"/>
  <c r="AG27" i="32" s="1"/>
  <c r="AE31" i="32"/>
  <c r="AC33" i="32"/>
  <c r="AE35" i="32"/>
  <c r="AF35" i="32" s="1"/>
  <c r="AG35" i="32" s="1"/>
  <c r="AF36" i="32"/>
  <c r="AG36" i="32" s="1"/>
  <c r="AF37" i="32"/>
  <c r="AG37" i="32" s="1"/>
  <c r="AF41" i="32"/>
  <c r="AG41" i="32" s="1"/>
  <c r="AF45" i="32"/>
  <c r="AG45" i="32" s="1"/>
  <c r="AF46" i="32"/>
  <c r="AG46" i="32" s="1"/>
  <c r="AF48" i="32"/>
  <c r="AG48" i="32" s="1"/>
  <c r="AF49" i="32"/>
  <c r="AG49" i="32" s="1"/>
  <c r="AF52" i="32"/>
  <c r="AG52" i="32" s="1"/>
  <c r="AF53" i="32"/>
  <c r="AG53" i="32" s="1"/>
  <c r="Z9" i="32"/>
  <c r="AA9" i="32" s="1"/>
  <c r="AF33" i="32" l="1"/>
  <c r="AG33" i="32" s="1"/>
  <c r="AF31" i="32"/>
  <c r="AG31" i="32" s="1"/>
  <c r="AF15" i="32"/>
  <c r="AG15" i="32" s="1"/>
  <c r="Z4" i="32" l="1"/>
  <c r="AA4" i="32" s="1"/>
  <c r="Z6" i="32" l="1"/>
  <c r="AA6" i="32" s="1"/>
  <c r="Z8" i="32"/>
  <c r="AA8" i="32" s="1"/>
  <c r="Z7" i="32"/>
  <c r="AA7" i="32" s="1"/>
  <c r="Z5" i="32"/>
  <c r="AA5" i="32" s="1"/>
  <c r="AB1" i="32" l="1"/>
  <c r="V1" i="32"/>
  <c r="T1" i="32"/>
  <c r="S1" i="32"/>
  <c r="R1" i="32"/>
  <c r="W1" i="32" l="1"/>
  <c r="AD1" i="32"/>
  <c r="X1" i="32"/>
  <c r="Y1" i="32" l="1"/>
  <c r="AA1" i="32"/>
  <c r="AE1" i="32"/>
  <c r="AC1" i="32"/>
  <c r="Z1" i="32" l="1"/>
  <c r="AG1" i="32"/>
  <c r="AF1" i="32"/>
  <c r="F5" i="32" l="1"/>
  <c r="C5" i="32"/>
  <c r="H5" i="32"/>
  <c r="K5" i="32"/>
  <c r="G5" i="32"/>
  <c r="P5" i="32"/>
  <c r="D5" i="32"/>
  <c r="O5" i="32"/>
  <c r="J5" i="32"/>
  <c r="I5" i="32"/>
  <c r="B5" i="32"/>
  <c r="J4" i="32"/>
  <c r="P4" i="32"/>
  <c r="C4" i="32"/>
  <c r="F4" i="32"/>
  <c r="H4" i="32"/>
  <c r="D4" i="32"/>
  <c r="I4" i="32"/>
  <c r="O4" i="32"/>
  <c r="G4" i="32"/>
  <c r="K4" i="32"/>
  <c r="C4" i="40" l="1"/>
  <c r="K4" i="40"/>
  <c r="I4" i="40"/>
  <c r="D4" i="40"/>
  <c r="O4" i="40"/>
  <c r="F4" i="40"/>
  <c r="G4" i="40"/>
  <c r="B4" i="40"/>
  <c r="H4" i="40"/>
  <c r="J4" i="40"/>
  <c r="L4" i="40"/>
  <c r="N4" i="40"/>
  <c r="C5" i="40"/>
  <c r="O5" i="40"/>
  <c r="G5" i="40"/>
  <c r="B5" i="40"/>
  <c r="K5" i="40"/>
  <c r="I5" i="40"/>
  <c r="J5" i="40"/>
  <c r="F5" i="40"/>
  <c r="N5" i="40"/>
  <c r="L5" i="40"/>
  <c r="D5" i="40"/>
  <c r="H5" i="40"/>
  <c r="K3" i="32"/>
  <c r="O3" i="32"/>
  <c r="B3" i="32"/>
  <c r="D3" i="32"/>
  <c r="P3" i="32"/>
  <c r="C3" i="32"/>
  <c r="I3" i="32"/>
  <c r="H3" i="32"/>
  <c r="L3" i="32"/>
  <c r="G3" i="32"/>
  <c r="J3" i="32"/>
  <c r="D3" i="40" l="1"/>
  <c r="I3" i="40"/>
  <c r="B3" i="40"/>
  <c r="L3" i="40"/>
  <c r="H3" i="40"/>
  <c r="C3" i="40"/>
  <c r="N3" i="40"/>
  <c r="J3" i="40"/>
  <c r="G3" i="40"/>
  <c r="O3" i="40"/>
  <c r="K3" i="40"/>
  <c r="F3" i="40"/>
</calcChain>
</file>

<file path=xl/sharedStrings.xml><?xml version="1.0" encoding="utf-8"?>
<sst xmlns="http://schemas.openxmlformats.org/spreadsheetml/2006/main" count="205" uniqueCount="88">
  <si>
    <t>EXPEDIENTE</t>
  </si>
  <si>
    <t xml:space="preserve">NOMBRE </t>
  </si>
  <si>
    <t>RFC</t>
  </si>
  <si>
    <t>CURP</t>
  </si>
  <si>
    <t>CONFIANZA</t>
  </si>
  <si>
    <t>SEXO</t>
  </si>
  <si>
    <t>X</t>
  </si>
  <si>
    <t>No. PLAZA</t>
  </si>
  <si>
    <t>DESCRIPCION DEL PUESTO</t>
  </si>
  <si>
    <t>AREA</t>
  </si>
  <si>
    <t>EDAD</t>
  </si>
  <si>
    <t>ESTATUS</t>
  </si>
  <si>
    <t>SALARIO DIARIO</t>
  </si>
  <si>
    <t>SUELDO QUINCENAL</t>
  </si>
  <si>
    <t>ISR MENSUAL</t>
  </si>
  <si>
    <t>TOTAL DE OBLIGACIONES MENSUALES</t>
  </si>
  <si>
    <t>113022138DA3QG080500.0000043</t>
  </si>
  <si>
    <t>113022138DA3QG051000.0000044</t>
  </si>
  <si>
    <t>113022138DA3QG050100.0000047</t>
  </si>
  <si>
    <t>113022138DA3QG080500.0000048</t>
  </si>
  <si>
    <t>113022138DA3QG080500.0000049</t>
  </si>
  <si>
    <t>CLAVE PLAZA</t>
  </si>
  <si>
    <t>DESPENSA MENSUAL</t>
  </si>
  <si>
    <t>DESPENSA QUINCENAL</t>
  </si>
  <si>
    <t>COMPENSACIÓN (J5) QUINCENAL</t>
  </si>
  <si>
    <t>COMPENSACIÓN (J6) MENSUAL</t>
  </si>
  <si>
    <t xml:space="preserve">NETO </t>
  </si>
  <si>
    <t>CENTRO DE COSTOS</t>
  </si>
  <si>
    <t>ISN_PM 3%</t>
  </si>
  <si>
    <t xml:space="preserve">TOTAL DEDUCCIONES </t>
  </si>
  <si>
    <t>ISSSTEP CUOTA MENSUAL 13%</t>
  </si>
  <si>
    <t>ISSSTEP APORTACIÓN MENSUAL</t>
  </si>
  <si>
    <t>x</t>
  </si>
  <si>
    <t>113022138DA3QG080500.0000027</t>
  </si>
  <si>
    <t>COSTO DE NOMINA</t>
  </si>
  <si>
    <t>COMPENSACIÓN (J5)  MENSUAL</t>
  </si>
  <si>
    <t>TOTAL PERCEPCION GRAVABLE</t>
  </si>
  <si>
    <t>113022138DA3QG040300.0000001</t>
  </si>
  <si>
    <t>113022138DA3QG080700.0000001</t>
  </si>
  <si>
    <t>113222138DA3QG080800.0000001</t>
  </si>
  <si>
    <t>113222138DA3QG080800.0000002</t>
  </si>
  <si>
    <t>113022138DA3QG050100.0000001</t>
  </si>
  <si>
    <t>113222138DA3QG080800.0000003</t>
  </si>
  <si>
    <t>113022138DA3QG080100.0000001</t>
  </si>
  <si>
    <t>113222138DA3QG080800.0000004</t>
  </si>
  <si>
    <t>113022138DA3QG080100.0000002</t>
  </si>
  <si>
    <t>113022138DA3QG080500.0000003</t>
  </si>
  <si>
    <t>113222138DA3QG080800.0000005</t>
  </si>
  <si>
    <t>113022138DA3QG050100.0000002</t>
  </si>
  <si>
    <t>113022138DA3QG080500.0000004</t>
  </si>
  <si>
    <t>113222138DA3QG080800.0000006</t>
  </si>
  <si>
    <t>113022138DA3QG050100.0000003</t>
  </si>
  <si>
    <t>113022138DA3QG080500.0000007</t>
  </si>
  <si>
    <t>113022138DA3QG080500.0000008</t>
  </si>
  <si>
    <t>113222138DA3QG080800.0000008</t>
  </si>
  <si>
    <t>113222138DA3QG080800.0000009</t>
  </si>
  <si>
    <t>113222138DA3QG080800.0000010</t>
  </si>
  <si>
    <t>113222138DA3QG080800.0000011</t>
  </si>
  <si>
    <t>113222138DA3QG080800.0000012</t>
  </si>
  <si>
    <t>113222138DA3QG080800.0000014</t>
  </si>
  <si>
    <t>113022138DA3QG050100.0000007</t>
  </si>
  <si>
    <t>113022138DA3QG080700.0000003</t>
  </si>
  <si>
    <t>113022138DA3QG080500.0000016</t>
  </si>
  <si>
    <t>113222138DA3QG080800.0000022</t>
  </si>
  <si>
    <t>113222138DA3QG080800.0000023</t>
  </si>
  <si>
    <t>113022138DA3QG080500.0000017</t>
  </si>
  <si>
    <t>113222138DA3QG080800.0000024</t>
  </si>
  <si>
    <t>113222138DA3QG080800.0000025</t>
  </si>
  <si>
    <t>113022138DA3QG080500.0000018</t>
  </si>
  <si>
    <t>113222138DA3QG080800.0000026</t>
  </si>
  <si>
    <t>113222138DA3QG080800.0000027</t>
  </si>
  <si>
    <t>113022138DA3QG050100.0000006</t>
  </si>
  <si>
    <t>113222138DA3QG080800.0000015</t>
  </si>
  <si>
    <t>113222138DA3QG080800.0000016</t>
  </si>
  <si>
    <t>113222138DA3QG080800.0000017</t>
  </si>
  <si>
    <t>113022138DA3QG080700.0000002</t>
  </si>
  <si>
    <t>113222138DA3QG080800.0000018</t>
  </si>
  <si>
    <t>113222138DA3QG080800.0000019</t>
  </si>
  <si>
    <t>113222138DA3QG080800.0000020</t>
  </si>
  <si>
    <t>113222138DA3QG080800.0000021</t>
  </si>
  <si>
    <t>113222138DA3QG080800.0000007</t>
  </si>
  <si>
    <t>FECHA DE INGRESO</t>
  </si>
  <si>
    <t>15 / 30 DIAS</t>
  </si>
  <si>
    <t>QUINQUENIO</t>
  </si>
  <si>
    <t>% APORT ISSTEP</t>
  </si>
  <si>
    <t>SAR MENSUAL 2%</t>
  </si>
  <si>
    <t>CATEGORIA</t>
  </si>
  <si>
    <t>SUELDO MENSUAL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</si>
</sst>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Activado&quot;;&quot;Activado&quot;;&quot;Desactivado&quot;"/>
    <numFmt numFmtId="165" formatCode="[$-1540A]dd\-mmm\-yy;@"/>
  </numFmts>
  <fonts count="31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theme="0"/>
      <name val="Calibri"/>
      <family val="2"/>
      <scheme val="minor"/>
    </font>
    <font>
      <sz val="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MS Sans Serif"/>
      <family val="2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0" fillId="0" borderId="0"/>
    <xf numFmtId="43" fontId="19" fillId="0" borderId="0" applyFont="0" applyFill="0" applyBorder="0" applyAlignment="0" applyProtection="0"/>
    <xf numFmtId="0" fontId="19" fillId="0" borderId="0"/>
    <xf numFmtId="43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21" fillId="0" borderId="0"/>
    <xf numFmtId="0" fontId="18" fillId="0" borderId="0"/>
    <xf numFmtId="0" fontId="21" fillId="0" borderId="0"/>
    <xf numFmtId="0" fontId="16" fillId="0" borderId="0"/>
    <xf numFmtId="43" fontId="16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0" fontId="13" fillId="0" borderId="0"/>
    <xf numFmtId="0" fontId="12" fillId="0" borderId="0"/>
    <xf numFmtId="0" fontId="11" fillId="0" borderId="0"/>
    <xf numFmtId="43" fontId="11" fillId="0" borderId="0" applyFont="0" applyFill="0" applyBorder="0" applyAlignment="0" applyProtection="0"/>
    <xf numFmtId="0" fontId="10" fillId="0" borderId="0"/>
    <xf numFmtId="0" fontId="26" fillId="0" borderId="0"/>
    <xf numFmtId="43" fontId="10" fillId="0" borderId="0" applyFont="0" applyFill="0" applyBorder="0" applyAlignment="0" applyProtection="0"/>
    <xf numFmtId="0" fontId="21" fillId="0" borderId="0"/>
    <xf numFmtId="0" fontId="10" fillId="0" borderId="0"/>
    <xf numFmtId="44" fontId="10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5" fillId="0" borderId="0"/>
    <xf numFmtId="0" fontId="4" fillId="0" borderId="0"/>
    <xf numFmtId="43" fontId="4" fillId="0" borderId="0" applyFont="0" applyFill="0" applyBorder="0" applyAlignment="0" applyProtection="0"/>
    <xf numFmtId="0" fontId="3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1" fillId="0" borderId="0"/>
  </cellStyleXfs>
  <cellXfs count="103">
    <xf numFmtId="0" fontId="0" fillId="0" borderId="0" xfId="0"/>
    <xf numFmtId="0" fontId="18" fillId="0" borderId="0" xfId="7" applyAlignment="1">
      <alignment horizontal="center" vertical="center"/>
    </xf>
    <xf numFmtId="0" fontId="18" fillId="0" borderId="0" xfId="7" applyAlignment="1">
      <alignment vertical="center"/>
    </xf>
    <xf numFmtId="0" fontId="18" fillId="0" borderId="0" xfId="7" applyAlignment="1">
      <alignment horizontal="left" vertical="center"/>
    </xf>
    <xf numFmtId="43" fontId="17" fillId="0" borderId="0" xfId="4" applyFont="1" applyAlignment="1">
      <alignment vertical="center"/>
    </xf>
    <xf numFmtId="0" fontId="23" fillId="0" borderId="0" xfId="7" applyFont="1" applyAlignment="1">
      <alignment vertical="center"/>
    </xf>
    <xf numFmtId="0" fontId="24" fillId="0" borderId="0" xfId="7" applyFont="1" applyAlignment="1">
      <alignment horizontal="left" vertical="center"/>
    </xf>
    <xf numFmtId="0" fontId="24" fillId="0" borderId="0" xfId="7" applyFont="1" applyAlignment="1">
      <alignment vertical="center"/>
    </xf>
    <xf numFmtId="0" fontId="24" fillId="0" borderId="0" xfId="7" applyFont="1" applyAlignment="1">
      <alignment horizontal="center" vertical="center"/>
    </xf>
    <xf numFmtId="0" fontId="22" fillId="0" borderId="0" xfId="7" applyFont="1" applyAlignment="1">
      <alignment vertical="center" wrapText="1"/>
    </xf>
    <xf numFmtId="0" fontId="24" fillId="0" borderId="0" xfId="7" applyFont="1" applyAlignment="1">
      <alignment horizontal="left" vertical="center" wrapText="1"/>
    </xf>
    <xf numFmtId="0" fontId="18" fillId="0" borderId="0" xfId="7" applyAlignment="1">
      <alignment horizontal="left" vertical="center" wrapText="1"/>
    </xf>
    <xf numFmtId="49" fontId="24" fillId="0" borderId="0" xfId="7" applyNumberFormat="1" applyFont="1" applyAlignment="1">
      <alignment horizontal="center" vertical="center"/>
    </xf>
    <xf numFmtId="49" fontId="18" fillId="0" borderId="0" xfId="7" applyNumberFormat="1" applyAlignment="1">
      <alignment horizontal="center" vertical="center"/>
    </xf>
    <xf numFmtId="0" fontId="18" fillId="2" borderId="0" xfId="7" applyFill="1" applyAlignment="1">
      <alignment horizontal="center" vertical="center"/>
    </xf>
    <xf numFmtId="43" fontId="23" fillId="0" borderId="0" xfId="7" applyNumberFormat="1" applyFont="1" applyAlignment="1">
      <alignment vertical="center"/>
    </xf>
    <xf numFmtId="49" fontId="22" fillId="3" borderId="5" xfId="7" applyNumberFormat="1" applyFont="1" applyFill="1" applyBorder="1" applyAlignment="1">
      <alignment horizontal="center" vertical="center" wrapText="1"/>
    </xf>
    <xf numFmtId="0" fontId="22" fillId="3" borderId="7" xfId="7" applyFont="1" applyFill="1" applyBorder="1" applyAlignment="1" applyProtection="1">
      <alignment horizontal="center" vertical="center" wrapText="1"/>
      <protection locked="0"/>
    </xf>
    <xf numFmtId="0" fontId="22" fillId="3" borderId="7" xfId="7" applyFont="1" applyFill="1" applyBorder="1" applyAlignment="1">
      <alignment horizontal="center" vertical="center" wrapText="1"/>
    </xf>
    <xf numFmtId="0" fontId="22" fillId="3" borderId="5" xfId="7" applyFont="1" applyFill="1" applyBorder="1" applyAlignment="1">
      <alignment horizontal="center" vertical="center" wrapText="1"/>
    </xf>
    <xf numFmtId="0" fontId="22" fillId="3" borderId="8" xfId="7" applyFont="1" applyFill="1" applyBorder="1" applyAlignment="1">
      <alignment horizontal="center" vertical="center" wrapText="1"/>
    </xf>
    <xf numFmtId="0" fontId="22" fillId="3" borderId="9" xfId="7" applyFont="1" applyFill="1" applyBorder="1" applyAlignment="1">
      <alignment horizontal="center" vertical="center" wrapText="1"/>
    </xf>
    <xf numFmtId="0" fontId="25" fillId="3" borderId="3" xfId="7" applyFont="1" applyFill="1" applyBorder="1" applyAlignment="1">
      <alignment horizontal="center" vertical="center" wrapText="1"/>
    </xf>
    <xf numFmtId="43" fontId="22" fillId="3" borderId="20" xfId="7" applyNumberFormat="1" applyFont="1" applyFill="1" applyBorder="1" applyAlignment="1">
      <alignment vertical="center" wrapText="1"/>
    </xf>
    <xf numFmtId="43" fontId="22" fillId="3" borderId="21" xfId="7" applyNumberFormat="1" applyFont="1" applyFill="1" applyBorder="1" applyAlignment="1">
      <alignment vertical="center" wrapText="1"/>
    </xf>
    <xf numFmtId="0" fontId="22" fillId="3" borderId="15" xfId="7" applyFont="1" applyFill="1" applyBorder="1" applyAlignment="1">
      <alignment horizontal="center" vertical="center" wrapText="1"/>
    </xf>
    <xf numFmtId="0" fontId="22" fillId="3" borderId="8" xfId="7" applyFont="1" applyFill="1" applyBorder="1" applyAlignment="1" applyProtection="1">
      <alignment horizontal="center" vertical="center" wrapText="1"/>
      <protection locked="0"/>
    </xf>
    <xf numFmtId="0" fontId="24" fillId="0" borderId="10" xfId="0" applyNumberFormat="1" applyFont="1" applyFill="1" applyBorder="1" applyAlignment="1">
      <alignment horizontal="center" vertical="center"/>
    </xf>
    <xf numFmtId="0" fontId="24" fillId="0" borderId="4" xfId="0" applyNumberFormat="1" applyFont="1" applyFill="1" applyBorder="1" applyAlignment="1">
      <alignment horizontal="center" vertical="center"/>
    </xf>
    <xf numFmtId="0" fontId="27" fillId="0" borderId="1" xfId="7" applyFont="1" applyFill="1" applyBorder="1" applyAlignment="1">
      <alignment horizontal="center" vertical="center"/>
    </xf>
    <xf numFmtId="0" fontId="24" fillId="0" borderId="1" xfId="1" applyFont="1" applyFill="1" applyBorder="1" applyAlignment="1">
      <alignment horizontal="center" vertical="center" wrapText="1"/>
    </xf>
    <xf numFmtId="0" fontId="24" fillId="0" borderId="1" xfId="7" applyFont="1" applyFill="1" applyBorder="1" applyAlignment="1">
      <alignment horizontal="left" vertical="center" wrapText="1"/>
    </xf>
    <xf numFmtId="0" fontId="27" fillId="0" borderId="1" xfId="0" applyFont="1" applyFill="1" applyBorder="1" applyAlignment="1">
      <alignment vertical="center" wrapText="1"/>
    </xf>
    <xf numFmtId="0" fontId="24" fillId="0" borderId="1" xfId="0" applyFont="1" applyFill="1" applyBorder="1" applyAlignment="1">
      <alignment horizontal="center" vertical="center"/>
    </xf>
    <xf numFmtId="0" fontId="24" fillId="0" borderId="1" xfId="0" applyFont="1" applyFill="1" applyBorder="1" applyAlignment="1">
      <alignment vertical="center"/>
    </xf>
    <xf numFmtId="165" fontId="24" fillId="0" borderId="1" xfId="0" applyNumberFormat="1" applyFont="1" applyFill="1" applyBorder="1" applyAlignment="1">
      <alignment horizontal="center" vertical="center"/>
    </xf>
    <xf numFmtId="0" fontId="24" fillId="0" borderId="1" xfId="0" applyNumberFormat="1" applyFont="1" applyFill="1" applyBorder="1" applyAlignment="1">
      <alignment horizontal="center" vertical="center"/>
    </xf>
    <xf numFmtId="0" fontId="24" fillId="0" borderId="1" xfId="7" applyFont="1" applyFill="1" applyBorder="1" applyAlignment="1">
      <alignment horizontal="center" vertical="center" wrapText="1"/>
    </xf>
    <xf numFmtId="0" fontId="24" fillId="0" borderId="11" xfId="0" applyFont="1" applyFill="1" applyBorder="1" applyAlignment="1">
      <alignment horizontal="center" vertical="center"/>
    </xf>
    <xf numFmtId="43" fontId="24" fillId="0" borderId="10" xfId="0" applyNumberFormat="1" applyFont="1" applyFill="1" applyBorder="1" applyAlignment="1">
      <alignment horizontal="center" vertical="center"/>
    </xf>
    <xf numFmtId="43" fontId="24" fillId="0" borderId="1" xfId="0" applyNumberFormat="1" applyFont="1" applyFill="1" applyBorder="1" applyAlignment="1">
      <alignment vertical="center"/>
    </xf>
    <xf numFmtId="43" fontId="28" fillId="0" borderId="11" xfId="0" applyNumberFormat="1" applyFont="1" applyFill="1" applyBorder="1" applyAlignment="1">
      <alignment vertical="center"/>
    </xf>
    <xf numFmtId="43" fontId="24" fillId="0" borderId="4" xfId="0" applyNumberFormat="1" applyFont="1" applyFill="1" applyBorder="1" applyAlignment="1">
      <alignment horizontal="center" vertical="center"/>
    </xf>
    <xf numFmtId="43" fontId="28" fillId="0" borderId="1" xfId="42" applyNumberFormat="1" applyFont="1" applyFill="1" applyBorder="1" applyAlignment="1">
      <alignment horizontal="center" vertical="center"/>
    </xf>
    <xf numFmtId="43" fontId="28" fillId="0" borderId="1" xfId="4" applyFont="1" applyFill="1" applyBorder="1" applyAlignment="1">
      <alignment horizontal="center" vertical="center"/>
    </xf>
    <xf numFmtId="43" fontId="24" fillId="0" borderId="1" xfId="4" applyFont="1" applyFill="1" applyBorder="1" applyAlignment="1">
      <alignment horizontal="center" vertical="center"/>
    </xf>
    <xf numFmtId="43" fontId="24" fillId="0" borderId="1" xfId="42" applyNumberFormat="1" applyFont="1" applyFill="1" applyBorder="1" applyAlignment="1">
      <alignment horizontal="center" vertical="center"/>
    </xf>
    <xf numFmtId="43" fontId="28" fillId="0" borderId="11" xfId="42" applyNumberFormat="1" applyFont="1" applyFill="1" applyBorder="1" applyAlignment="1">
      <alignment horizontal="center" vertical="center"/>
    </xf>
    <xf numFmtId="0" fontId="24" fillId="0" borderId="1" xfId="0" applyFont="1" applyFill="1" applyBorder="1" applyAlignment="1">
      <alignment horizontal="left" vertical="center" wrapText="1"/>
    </xf>
    <xf numFmtId="0" fontId="24" fillId="0" borderId="1" xfId="7" quotePrefix="1" applyFont="1" applyFill="1" applyBorder="1" applyAlignment="1">
      <alignment horizontal="left" vertical="center" wrapText="1"/>
    </xf>
    <xf numFmtId="0" fontId="24" fillId="0" borderId="1" xfId="38" applyFont="1" applyFill="1" applyBorder="1" applyAlignment="1">
      <alignment horizontal="center" vertical="center" wrapText="1"/>
    </xf>
    <xf numFmtId="0" fontId="24" fillId="0" borderId="12" xfId="0" applyNumberFormat="1" applyFont="1" applyFill="1" applyBorder="1" applyAlignment="1">
      <alignment horizontal="center" vertical="center"/>
    </xf>
    <xf numFmtId="0" fontId="24" fillId="0" borderId="13" xfId="7" applyFont="1" applyFill="1" applyBorder="1" applyAlignment="1">
      <alignment horizontal="left" vertical="center" wrapText="1"/>
    </xf>
    <xf numFmtId="0" fontId="24" fillId="0" borderId="13" xfId="0" applyNumberFormat="1" applyFont="1" applyFill="1" applyBorder="1" applyAlignment="1">
      <alignment horizontal="center" vertical="center"/>
    </xf>
    <xf numFmtId="0" fontId="24" fillId="0" borderId="13" xfId="1" applyFont="1" applyFill="1" applyBorder="1" applyAlignment="1">
      <alignment horizontal="center" vertical="center" wrapText="1"/>
    </xf>
    <xf numFmtId="43" fontId="24" fillId="0" borderId="12" xfId="0" applyNumberFormat="1" applyFont="1" applyFill="1" applyBorder="1" applyAlignment="1">
      <alignment horizontal="center" vertical="center"/>
    </xf>
    <xf numFmtId="43" fontId="24" fillId="0" borderId="13" xfId="0" applyNumberFormat="1" applyFont="1" applyFill="1" applyBorder="1" applyAlignment="1">
      <alignment vertical="center"/>
    </xf>
    <xf numFmtId="43" fontId="28" fillId="0" borderId="14" xfId="0" applyNumberFormat="1" applyFont="1" applyFill="1" applyBorder="1" applyAlignment="1">
      <alignment vertical="center"/>
    </xf>
    <xf numFmtId="43" fontId="28" fillId="0" borderId="13" xfId="42" applyNumberFormat="1" applyFont="1" applyFill="1" applyBorder="1" applyAlignment="1">
      <alignment horizontal="center" vertical="center"/>
    </xf>
    <xf numFmtId="43" fontId="28" fillId="0" borderId="13" xfId="4" applyFont="1" applyFill="1" applyBorder="1" applyAlignment="1">
      <alignment horizontal="center" vertical="center"/>
    </xf>
    <xf numFmtId="43" fontId="24" fillId="0" borderId="13" xfId="4" applyFont="1" applyFill="1" applyBorder="1" applyAlignment="1">
      <alignment horizontal="center" vertical="center"/>
    </xf>
    <xf numFmtId="43" fontId="24" fillId="0" borderId="13" xfId="42" applyNumberFormat="1" applyFont="1" applyFill="1" applyBorder="1" applyAlignment="1">
      <alignment horizontal="center" vertical="center"/>
    </xf>
    <xf numFmtId="43" fontId="28" fillId="0" borderId="14" xfId="42" applyNumberFormat="1" applyFont="1" applyFill="1" applyBorder="1" applyAlignment="1">
      <alignment horizontal="center" vertical="center"/>
    </xf>
    <xf numFmtId="49" fontId="29" fillId="0" borderId="16" xfId="7" applyNumberFormat="1" applyFont="1" applyFill="1" applyBorder="1" applyAlignment="1">
      <alignment horizontal="left" vertical="center" wrapText="1"/>
    </xf>
    <xf numFmtId="49" fontId="29" fillId="0" borderId="24" xfId="7" applyNumberFormat="1" applyFont="1" applyFill="1" applyBorder="1" applyAlignment="1">
      <alignment horizontal="left" vertical="center" wrapText="1"/>
    </xf>
    <xf numFmtId="0" fontId="29" fillId="0" borderId="17" xfId="7" applyNumberFormat="1" applyFont="1" applyFill="1" applyBorder="1" applyAlignment="1">
      <alignment horizontal="left" vertical="center" wrapText="1"/>
    </xf>
    <xf numFmtId="0" fontId="29" fillId="0" borderId="16" xfId="7" applyNumberFormat="1" applyFont="1" applyFill="1" applyBorder="1" applyAlignment="1">
      <alignment horizontal="left" vertical="center" wrapText="1"/>
    </xf>
    <xf numFmtId="0" fontId="29" fillId="0" borderId="18" xfId="7" applyNumberFormat="1" applyFont="1" applyFill="1" applyBorder="1" applyAlignment="1">
      <alignment horizontal="left" vertical="center" wrapText="1"/>
    </xf>
    <xf numFmtId="0" fontId="29" fillId="0" borderId="19" xfId="7" applyNumberFormat="1" applyFont="1" applyFill="1" applyBorder="1" applyAlignment="1">
      <alignment horizontal="left" vertical="center" wrapText="1"/>
    </xf>
    <xf numFmtId="0" fontId="29" fillId="0" borderId="23" xfId="7" applyNumberFormat="1" applyFont="1" applyFill="1" applyBorder="1" applyAlignment="1">
      <alignment horizontal="left" vertical="center" wrapText="1"/>
    </xf>
    <xf numFmtId="0" fontId="22" fillId="3" borderId="6" xfId="7" applyNumberFormat="1" applyFont="1" applyFill="1" applyBorder="1" applyAlignment="1">
      <alignment horizontal="center" vertical="center" wrapText="1"/>
    </xf>
    <xf numFmtId="0" fontId="24" fillId="0" borderId="10" xfId="7" applyFont="1" applyFill="1" applyBorder="1" applyAlignment="1">
      <alignment horizontal="center" vertical="center"/>
    </xf>
    <xf numFmtId="0" fontId="24" fillId="0" borderId="1" xfId="7" applyFont="1" applyFill="1" applyBorder="1" applyAlignment="1">
      <alignment horizontal="center" vertical="center"/>
    </xf>
    <xf numFmtId="0" fontId="24" fillId="0" borderId="11" xfId="1" applyFont="1" applyFill="1" applyBorder="1" applyAlignment="1">
      <alignment horizontal="center" vertical="center" wrapText="1"/>
    </xf>
    <xf numFmtId="0" fontId="24" fillId="0" borderId="12" xfId="7" applyFont="1" applyFill="1" applyBorder="1" applyAlignment="1">
      <alignment horizontal="center" vertical="center"/>
    </xf>
    <xf numFmtId="0" fontId="24" fillId="0" borderId="13" xfId="7" applyFont="1" applyFill="1" applyBorder="1" applyAlignment="1">
      <alignment horizontal="center" vertical="center"/>
    </xf>
    <xf numFmtId="0" fontId="24" fillId="0" borderId="13" xfId="7" applyFont="1" applyFill="1" applyBorder="1" applyAlignment="1">
      <alignment horizontal="center" vertical="center" wrapText="1"/>
    </xf>
    <xf numFmtId="0" fontId="24" fillId="0" borderId="14" xfId="1" applyFont="1" applyFill="1" applyBorder="1" applyAlignment="1">
      <alignment horizontal="center" vertical="center" wrapText="1"/>
    </xf>
    <xf numFmtId="0" fontId="24" fillId="0" borderId="25" xfId="7" applyFont="1" applyFill="1" applyBorder="1" applyAlignment="1">
      <alignment horizontal="center" vertical="center"/>
    </xf>
    <xf numFmtId="0" fontId="24" fillId="0" borderId="25" xfId="7" applyFont="1" applyFill="1" applyBorder="1" applyAlignment="1">
      <alignment horizontal="center" vertical="center" wrapText="1"/>
    </xf>
    <xf numFmtId="0" fontId="24" fillId="0" borderId="25" xfId="7" applyFont="1" applyFill="1" applyBorder="1" applyAlignment="1">
      <alignment horizontal="left" vertical="center" wrapText="1"/>
    </xf>
    <xf numFmtId="0" fontId="24" fillId="0" borderId="25" xfId="1" applyFont="1" applyFill="1" applyBorder="1" applyAlignment="1">
      <alignment horizontal="center" vertical="center" wrapText="1"/>
    </xf>
    <xf numFmtId="0" fontId="24" fillId="0" borderId="27" xfId="1" applyFont="1" applyFill="1" applyBorder="1" applyAlignment="1">
      <alignment horizontal="center" vertical="center" wrapText="1"/>
    </xf>
    <xf numFmtId="43" fontId="24" fillId="0" borderId="22" xfId="0" applyNumberFormat="1" applyFont="1" applyFill="1" applyBorder="1" applyAlignment="1">
      <alignment horizontal="center" vertical="center"/>
    </xf>
    <xf numFmtId="43" fontId="24" fillId="0" borderId="25" xfId="0" applyNumberFormat="1" applyFont="1" applyFill="1" applyBorder="1" applyAlignment="1">
      <alignment vertical="center"/>
    </xf>
    <xf numFmtId="43" fontId="28" fillId="0" borderId="27" xfId="0" applyNumberFormat="1" applyFont="1" applyFill="1" applyBorder="1" applyAlignment="1">
      <alignment vertical="center"/>
    </xf>
    <xf numFmtId="43" fontId="28" fillId="0" borderId="25" xfId="42" applyNumberFormat="1" applyFont="1" applyFill="1" applyBorder="1" applyAlignment="1">
      <alignment horizontal="center" vertical="center"/>
    </xf>
    <xf numFmtId="43" fontId="28" fillId="0" borderId="25" xfId="4" applyFont="1" applyFill="1" applyBorder="1" applyAlignment="1">
      <alignment horizontal="center" vertical="center"/>
    </xf>
    <xf numFmtId="43" fontId="24" fillId="0" borderId="25" xfId="4" applyFont="1" applyFill="1" applyBorder="1" applyAlignment="1">
      <alignment horizontal="center" vertical="center"/>
    </xf>
    <xf numFmtId="43" fontId="24" fillId="0" borderId="25" xfId="42" applyNumberFormat="1" applyFont="1" applyFill="1" applyBorder="1" applyAlignment="1">
      <alignment horizontal="center" vertical="center"/>
    </xf>
    <xf numFmtId="43" fontId="28" fillId="0" borderId="27" xfId="42" applyNumberFormat="1" applyFont="1" applyFill="1" applyBorder="1" applyAlignment="1">
      <alignment horizontal="center" vertical="center"/>
    </xf>
    <xf numFmtId="49" fontId="22" fillId="3" borderId="28" xfId="7" applyNumberFormat="1" applyFont="1" applyFill="1" applyBorder="1" applyAlignment="1">
      <alignment horizontal="center" vertical="center" wrapText="1"/>
    </xf>
    <xf numFmtId="0" fontId="22" fillId="3" borderId="29" xfId="7" applyNumberFormat="1" applyFont="1" applyFill="1" applyBorder="1" applyAlignment="1">
      <alignment horizontal="center" vertical="center" wrapText="1"/>
    </xf>
    <xf numFmtId="0" fontId="22" fillId="3" borderId="29" xfId="7" applyFont="1" applyFill="1" applyBorder="1" applyAlignment="1">
      <alignment horizontal="center" vertical="center" wrapText="1"/>
    </xf>
    <xf numFmtId="0" fontId="22" fillId="3" borderId="29" xfId="7" applyFont="1" applyFill="1" applyBorder="1" applyAlignment="1" applyProtection="1">
      <alignment horizontal="center" vertical="center" wrapText="1"/>
      <protection locked="0"/>
    </xf>
    <xf numFmtId="0" fontId="22" fillId="3" borderId="30" xfId="7" applyFont="1" applyFill="1" applyBorder="1" applyAlignment="1">
      <alignment horizontal="center" vertical="center" wrapText="1"/>
    </xf>
    <xf numFmtId="0" fontId="22" fillId="3" borderId="20" xfId="7" applyFont="1" applyFill="1" applyBorder="1" applyAlignment="1">
      <alignment horizontal="center" vertical="center" wrapText="1"/>
    </xf>
    <xf numFmtId="0" fontId="25" fillId="3" borderId="2" xfId="7" applyFont="1" applyFill="1" applyBorder="1" applyAlignment="1">
      <alignment horizontal="center" vertical="center" wrapText="1"/>
    </xf>
    <xf numFmtId="0" fontId="30" fillId="3" borderId="20" xfId="7" applyFont="1" applyFill="1" applyBorder="1" applyAlignment="1">
      <alignment horizontal="center" vertical="center" wrapText="1"/>
    </xf>
    <xf numFmtId="0" fontId="30" fillId="3" borderId="29" xfId="7" applyFont="1" applyFill="1" applyBorder="1" applyAlignment="1">
      <alignment horizontal="center" vertical="center" wrapText="1"/>
    </xf>
    <xf numFmtId="0" fontId="24" fillId="4" borderId="10" xfId="7" applyFont="1" applyFill="1" applyBorder="1" applyAlignment="1">
      <alignment horizontal="center" vertical="center"/>
    </xf>
    <xf numFmtId="0" fontId="24" fillId="4" borderId="26" xfId="7" applyFont="1" applyFill="1" applyBorder="1" applyAlignment="1">
      <alignment horizontal="center" vertical="center"/>
    </xf>
    <xf numFmtId="0" fontId="24" fillId="5" borderId="10" xfId="7" applyFont="1" applyFill="1" applyBorder="1" applyAlignment="1">
      <alignment horizontal="center" vertical="center"/>
    </xf>
  </cellXfs>
  <cellStyles count="43">
    <cellStyle name="Millares 2" xfId="4" xr:uid="{00000000-0005-0000-0000-000000000000}"/>
    <cellStyle name="Millares 2 2" xfId="5" xr:uid="{00000000-0005-0000-0000-000001000000}"/>
    <cellStyle name="Millares 2 3" xfId="10" xr:uid="{00000000-0005-0000-0000-000002000000}"/>
    <cellStyle name="Millares 2 4" xfId="18" xr:uid="{00000000-0005-0000-0000-000003000000}"/>
    <cellStyle name="Millares 2 5" xfId="32" xr:uid="{00000000-0005-0000-0000-000004000000}"/>
    <cellStyle name="Millares 2 6" xfId="34" xr:uid="{00000000-0005-0000-0000-000005000000}"/>
    <cellStyle name="Millares 2 7" xfId="37" xr:uid="{00000000-0005-0000-0000-000006000000}"/>
    <cellStyle name="Millares 2 8" xfId="40" xr:uid="{00000000-0005-0000-0000-000007000000}"/>
    <cellStyle name="Millares 3" xfId="12" xr:uid="{00000000-0005-0000-0000-000008000000}"/>
    <cellStyle name="Millares 4" xfId="14" xr:uid="{00000000-0005-0000-0000-000009000000}"/>
    <cellStyle name="Millares 4 2" xfId="26" xr:uid="{00000000-0005-0000-0000-00000A000000}"/>
    <cellStyle name="Millares 5" xfId="21" xr:uid="{00000000-0005-0000-0000-00000B000000}"/>
    <cellStyle name="Millares 5 2" xfId="28" xr:uid="{00000000-0005-0000-0000-00000C000000}"/>
    <cellStyle name="Millares 7" xfId="2" xr:uid="{00000000-0005-0000-0000-00000D000000}"/>
    <cellStyle name="Moneda 2" xfId="24" xr:uid="{00000000-0005-0000-0000-00000E000000}"/>
    <cellStyle name="Moneda 2 2" xfId="30" xr:uid="{00000000-0005-0000-0000-00000F000000}"/>
    <cellStyle name="Normal" xfId="0" builtinId="0"/>
    <cellStyle name="Normal 2" xfId="6" xr:uid="{00000000-0005-0000-0000-000011000000}"/>
    <cellStyle name="Normal 2 2" xfId="20" xr:uid="{00000000-0005-0000-0000-000012000000}"/>
    <cellStyle name="Normal 23" xfId="3" xr:uid="{00000000-0005-0000-0000-000013000000}"/>
    <cellStyle name="Normal 3" xfId="7" xr:uid="{00000000-0005-0000-0000-000014000000}"/>
    <cellStyle name="Normal 3 10" xfId="42" xr:uid="{F629E394-9508-48DE-9554-358E47E44CC0}"/>
    <cellStyle name="Normal 3 2" xfId="9" xr:uid="{00000000-0005-0000-0000-000015000000}"/>
    <cellStyle name="Normal 3 3" xfId="17" xr:uid="{00000000-0005-0000-0000-000016000000}"/>
    <cellStyle name="Normal 3 4" xfId="23" xr:uid="{00000000-0005-0000-0000-000017000000}"/>
    <cellStyle name="Normal 3 4 2" xfId="29" xr:uid="{00000000-0005-0000-0000-000018000000}"/>
    <cellStyle name="Normal 3 5" xfId="31" xr:uid="{00000000-0005-0000-0000-000019000000}"/>
    <cellStyle name="Normal 3 6" xfId="33" xr:uid="{00000000-0005-0000-0000-00001A000000}"/>
    <cellStyle name="Normal 3 7" xfId="36" xr:uid="{00000000-0005-0000-0000-00001B000000}"/>
    <cellStyle name="Normal 3 8" xfId="38" xr:uid="{00000000-0005-0000-0000-00001C000000}"/>
    <cellStyle name="Normal 3 8 2" xfId="41" xr:uid="{00000000-0005-0000-0000-00001D000000}"/>
    <cellStyle name="Normal 3 9" xfId="39" xr:uid="{00000000-0005-0000-0000-00001E000000}"/>
    <cellStyle name="Normal 4" xfId="11" xr:uid="{00000000-0005-0000-0000-00001F000000}"/>
    <cellStyle name="Normal 4 2" xfId="22" xr:uid="{00000000-0005-0000-0000-000020000000}"/>
    <cellStyle name="Normal 5" xfId="13" xr:uid="{00000000-0005-0000-0000-000021000000}"/>
    <cellStyle name="Normal 5 2" xfId="25" xr:uid="{00000000-0005-0000-0000-000022000000}"/>
    <cellStyle name="Normal 56 2" xfId="8" xr:uid="{00000000-0005-0000-0000-000023000000}"/>
    <cellStyle name="Normal 6" xfId="15" xr:uid="{00000000-0005-0000-0000-000024000000}"/>
    <cellStyle name="Normal 7" xfId="16" xr:uid="{00000000-0005-0000-0000-000025000000}"/>
    <cellStyle name="Normal 8" xfId="19" xr:uid="{00000000-0005-0000-0000-000026000000}"/>
    <cellStyle name="Normal 8 2" xfId="27" xr:uid="{00000000-0005-0000-0000-000027000000}"/>
    <cellStyle name="Normal 9" xfId="35" xr:uid="{00000000-0005-0000-0000-000028000000}"/>
    <cellStyle name="Normal_Hoja1" xfId="1" xr:uid="{00000000-0005-0000-0000-000029000000}"/>
  </cellStyles>
  <dxfs count="75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rgb="FF000000"/>
          <bgColor auto="1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4"/>
          <bgColor theme="5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[$-1540A]dd\-mmm\-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4"/>
          <bgColor theme="5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A50021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66676</xdr:colOff>
      <xdr:row>0</xdr:row>
      <xdr:rowOff>47625</xdr:rowOff>
    </xdr:from>
    <xdr:to>
      <xdr:col>0</xdr:col>
      <xdr:colOff>866775</xdr:colOff>
      <xdr:row>0</xdr:row>
      <xdr:rowOff>323850</xdr:rowOff>
    </xdr:to>
    <xdr:sp macro="[0]!CargarTablaPerson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66489C7-48C8-4EC0-B0DD-D9C8A767286A}"/>
            </a:ext>
          </a:extLst>
        </xdr:cNvPr>
        <xdr:cNvSpPr/>
      </xdr:nvSpPr>
      <xdr:spPr>
        <a:xfrm>
          <a:off x="66676" y="428625"/>
          <a:ext cx="800099" cy="276225"/>
        </a:xfrm>
        <a:prstGeom prst="round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Actualizar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A7BFD3-7F4E-4BB2-96FD-FFD5F859B12A}" name="Tabla1" displayName="Tabla1" ref="A2:AG54" totalsRowShown="0" headerRowDxfId="74" dataDxfId="73" tableBorderDxfId="72" headerRowCellStyle="Normal 3">
  <autoFilter ref="A2:AG54" xr:uid="{6DA7BFD3-7F4E-4BB2-96FD-FFD5F859B12A}"/>
  <tableColumns count="33">
    <tableColumn id="34" xr3:uid="{D5C157FF-7E85-44B9-9DC2-8845633F5E03}" name="EXPEDIENTE" dataDxfId="71"/>
    <tableColumn id="1" xr3:uid="{3E443C34-C6EC-44B8-A9F7-9A57D07D4721}" name="CENTRO DE COSTOS" dataDxfId="70">
      <calculatedColumnFormula>IF(Tabla1[[#This Row],[EXPEDIENTE]]&lt;&gt;"", GetData(Tabla1[[#This Row],[EXPEDIENTE]], 5), "")</calculatedColumnFormula>
    </tableColumn>
    <tableColumn id="4" xr3:uid="{D1AF17FB-73E5-4067-B775-E124C6E2783F}" name="No. PLAZA" dataDxfId="69" dataCellStyle="Normal 3">
      <calculatedColumnFormula>IF(Tabla1[[#This Row],[EXPEDIENTE]]&lt;&gt;"", GetData(Tabla1[[#This Row],[EXPEDIENTE]], 3), "")</calculatedColumnFormula>
    </tableColumn>
    <tableColumn id="5" xr3:uid="{8E0552EC-7A39-436F-A82A-E6001D83CD50}" name="CATEGORIA" dataDxfId="68" dataCellStyle="Normal_Hoja1">
      <calculatedColumnFormula>IF(Tabla1[[#This Row],[EXPEDIENTE]]&lt;&gt;"", GetData(Tabla1[[#This Row],[EXPEDIENTE]], 4), "")</calculatedColumnFormula>
    </tableColumn>
    <tableColumn id="6" xr3:uid="{206AC34B-4F86-4E9E-9FE1-ACDA1C862A9F}" name="CLAVE PLAZA" dataDxfId="67" dataCellStyle="Normal 3"/>
    <tableColumn id="8" xr3:uid="{9FCCB07D-60CD-4FAF-9A40-EE5DE7EDE79A}" name="NOMBRE " dataDxfId="66">
      <calculatedColumnFormula>IF(Tabla1[[#This Row],[EXPEDIENTE]]&lt;&gt;"", GetData(Tabla1[[#This Row],[EXPEDIENTE]], 0), "VACANTE")</calculatedColumnFormula>
    </tableColumn>
    <tableColumn id="35" xr3:uid="{5B6635F5-3929-42DD-8951-0A807FE9B24B}" name="AREA" dataDxfId="65">
      <calculatedColumnFormula>IF(Tabla1[[#This Row],[EXPEDIENTE]]&lt;&gt;"", GetData(Tabla1[[#This Row],[EXPEDIENTE]], 1), "")</calculatedColumnFormula>
    </tableColumn>
    <tableColumn id="7" xr3:uid="{F3F4AFBF-3A11-440B-B9FE-8ABA8245EEB2}" name="DESCRIPCION DEL PUESTO" dataDxfId="64">
      <calculatedColumnFormula>IF(Tabla1[[#This Row],[EXPEDIENTE]]&lt;&gt;"", GetData(Tabla1[[#This Row],[EXPEDIENTE]], 2), "")</calculatedColumnFormula>
    </tableColumn>
    <tableColumn id="9" xr3:uid="{33910007-8278-44EF-86DE-377FD0D5F710}" name="CURP" dataDxfId="63" dataCellStyle="Normal 3">
      <calculatedColumnFormula>IF(Tabla1[[#This Row],[EXPEDIENTE]]&lt;&gt;"", GetData(Tabla1[[#This Row],[EXPEDIENTE]], 6), "")</calculatedColumnFormula>
    </tableColumn>
    <tableColumn id="10" xr3:uid="{9EF0753C-0C31-4C2F-ADC7-A27140EC96D2}" name="RFC" dataDxfId="62" dataCellStyle="Normal 3">
      <calculatedColumnFormula>IF(Tabla1[[#This Row],[EXPEDIENTE]]&lt;&gt;"", GetData(Tabla1[[#This Row],[EXPEDIENTE]], 7), "")</calculatedColumnFormula>
    </tableColumn>
    <tableColumn id="11" xr3:uid="{E663C3BA-51FA-4C8F-A5C0-CD285FB8D2E3}" name="ESTATUS" dataDxfId="61">
      <calculatedColumnFormula>IF(Tabla1[[#This Row],[EXPEDIENTE]]&lt;&gt;"", GetData(Tabla1[[#This Row],[EXPEDIENTE]], 8), "")</calculatedColumnFormula>
    </tableColumn>
    <tableColumn id="12" xr3:uid="{62218CF5-E75A-4468-A37B-B715252025D3}" name="FECHA DE INGRESO" dataDxfId="60">
      <calculatedColumnFormula>IF(Tabla1[[#This Row],[EXPEDIENTE]]&lt;&gt;"", GetData(Tabla1[[#This Row],[EXPEDIENTE]], 9), "")</calculatedColumnFormula>
    </tableColumn>
    <tableColumn id="13" xr3:uid="{4FB05CF9-EE86-458A-AF87-348328900DEC}" name="15 / 30 DIAS" dataDxfId="59"/>
    <tableColumn id="14" xr3:uid="{6771DA09-64F4-481E-AF0D-02215948F938}" name="CONFIANZA" dataDxfId="58" dataCellStyle="Normal_Hoja1"/>
    <tableColumn id="15" xr3:uid="{14EF4CD1-5C00-4D32-B2E6-7FBBF273A879}" name="SEXO" dataDxfId="57" dataCellStyle="Normal 3">
      <calculatedColumnFormula>IF(Tabla1[[#This Row],[EXPEDIENTE]]&lt;&gt;"", GetData(Tabla1[[#This Row],[EXPEDIENTE]], 10), "")</calculatedColumnFormula>
    </tableColumn>
    <tableColumn id="16" xr3:uid="{58DBB30B-2430-4B4E-8A9E-DF0A5760EC6C}" name="EDAD" dataDxfId="56">
      <calculatedColumnFormula>IF(Tabla1[[#This Row],[EXPEDIENTE]]&lt;&gt;"", GetData(Tabla1[[#This Row],[EXPEDIENTE]], 11), "")</calculatedColumnFormula>
    </tableColumn>
    <tableColumn id="17" xr3:uid="{9EFA30D2-5EE5-4209-8819-D4D8A0ABA727}" name="SALARIO DIARIO" dataDxfId="55">
      <calculatedColumnFormula>Tabla1[[#This Row],[SUELDO MENSUAL]]/30</calculatedColumnFormula>
    </tableColumn>
    <tableColumn id="18" xr3:uid="{6ACC1817-8F78-4AA0-A5A2-D28E28284373}" name="SUELDO MENSUAL" dataDxfId="54"/>
    <tableColumn id="19" xr3:uid="{416F4E6C-2365-4F98-A27E-BFD1AB12503E}" name="DESPENSA MENSUAL" dataDxfId="53"/>
    <tableColumn id="20" xr3:uid="{5764FC4C-650C-4AE1-BF0B-1F78CA394EA2}" name="COMPENSACIÓN (J5)  MENSUAL" dataDxfId="52"/>
    <tableColumn id="21" xr3:uid="{52221997-9003-4D82-9294-9CBB8AB20957}" name="QUINQUENIO" dataDxfId="51"/>
    <tableColumn id="22" xr3:uid="{AA439ADF-4770-4E59-B3A9-C55638E0F95C}" name="COMPENSACIÓN (J6) MENSUAL" dataDxfId="50"/>
    <tableColumn id="23" xr3:uid="{EC4BF071-9973-41C0-8B5D-52235DB0695F}" name="TOTAL PERCEPCION GRAVABLE" dataDxfId="49">
      <calculatedColumnFormula>R3+S3+T3+U3+V3</calculatedColumnFormula>
    </tableColumn>
    <tableColumn id="24" xr3:uid="{5131C3D1-B4FC-4860-9C2B-61B1A3AC52D8}" name="ISR MENSUAL" dataDxfId="48">
      <calculatedColumnFormula>Impuesto2026(W3,M3)</calculatedColumnFormula>
    </tableColumn>
    <tableColumn id="25" xr3:uid="{AD8C9474-2CC4-4028-A627-A41B94AB1A1D}" name="ISSSTEP CUOTA MENSUAL 13%" dataDxfId="47">
      <calculatedColumnFormula>(Q3*30.4)*13%</calculatedColumnFormula>
    </tableColumn>
    <tableColumn id="26" xr3:uid="{F3A67506-DF68-4E51-A7D0-9866CD5989DE}" name="TOTAL DEDUCCIONES " dataDxfId="46" dataCellStyle="Normal 3 10">
      <calculatedColumnFormula>SUM(X3:Y3)</calculatedColumnFormula>
    </tableColumn>
    <tableColumn id="27" xr3:uid="{73C59F0A-42EB-45CD-A7CE-56D1BFF70F54}" name="NETO " dataDxfId="45" dataCellStyle="Millares 2">
      <calculatedColumnFormula>W3-Z3</calculatedColumnFormula>
    </tableColumn>
    <tableColumn id="28" xr3:uid="{F017F128-687C-4A9C-BB81-F107EE6933D0}" name="% APORT ISSTEP" dataDxfId="44" dataCellStyle="Millares 2"/>
    <tableColumn id="29" xr3:uid="{AD03F0CE-5887-4561-8896-E1CA5DFDE765}" name="ISSSTEP APORTACIÓN MENSUAL" dataDxfId="43" dataCellStyle="Millares 2">
      <calculatedColumnFormula>(Q3*30.4)*AB3</calculatedColumnFormula>
    </tableColumn>
    <tableColumn id="30" xr3:uid="{DDFD5604-BECA-4163-9C68-B6F07DB71EFB}" name="SAR MENSUAL 2%" dataDxfId="42" dataCellStyle="Normal 3 10">
      <calculatedColumnFormula>R3*2%</calculatedColumnFormula>
    </tableColumn>
    <tableColumn id="31" xr3:uid="{AADA31C2-2B2C-4522-9281-3C2AF498B622}" name="ISN_PM 3%" dataDxfId="41" dataCellStyle="Millares 2">
      <calculatedColumnFormula>W3*3%</calculatedColumnFormula>
    </tableColumn>
    <tableColumn id="32" xr3:uid="{D586A95B-ED8A-45BD-8425-C8E4B678B052}" name="TOTAL DE OBLIGACIONES MENSUALES" dataDxfId="40" dataCellStyle="Millares 2">
      <calculatedColumnFormula>SUM(AC3:AE3)</calculatedColumnFormula>
    </tableColumn>
    <tableColumn id="33" xr3:uid="{22CF940F-88A4-473F-AE35-E62C3AA9D956}" name="COSTO DE NOMINA" dataDxfId="39" dataCellStyle="Normal 3 10">
      <calculatedColumnFormula>W3+AF3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F29E5F-24C5-4B19-A900-6E02A1AAD595}" name="Tabla15" displayName="Tabla15" ref="A2:AI54" totalsRowShown="0" headerRowDxfId="38" dataDxfId="36" headerRowBorderDxfId="37" tableBorderDxfId="35" headerRowCellStyle="Normal 3">
  <autoFilter ref="A2:AI54" xr:uid="{6DA7BFD3-7F4E-4BB2-96FD-FFD5F859B12A}"/>
  <tableColumns count="35">
    <tableColumn id="34" xr3:uid="{F7B65B71-5385-44FF-B708-E5DC0D9D4FA2}" name="EXPEDIENTE" dataDxfId="34">
      <calculatedColumnFormula>IF(OCTUBRE!A3&lt;&gt;"", OCTUBRE!A3, "")</calculatedColumnFormula>
    </tableColumn>
    <tableColumn id="1" xr3:uid="{CBB95D1F-431C-48D6-B8BE-5EEB9953360F}" name="CENTRO DE COSTOS" dataDxfId="33">
      <calculatedColumnFormula>IF(OCTUBRE!B3&lt;&gt;"", OCTUBRE!B3, "")</calculatedColumnFormula>
    </tableColumn>
    <tableColumn id="4" xr3:uid="{970EB622-D16F-4AC9-8A6F-4521B5F587EB}" name="No. PLAZA" dataDxfId="32" dataCellStyle="Normal 3">
      <calculatedColumnFormula>IF(OCTUBRE!C3&lt;&gt;"", OCTUBRE!C3, "")</calculatedColumnFormula>
    </tableColumn>
    <tableColumn id="5" xr3:uid="{FF61FC4C-B845-4BE4-889A-9F9A2E63537C}" name="CATEGORIA" dataDxfId="31" dataCellStyle="Normal_Hoja1">
      <calculatedColumnFormula>IF(OCTUBRE!D3&lt;&gt;"", OCTUBRE!D3, "")</calculatedColumnFormula>
    </tableColumn>
    <tableColumn id="6" xr3:uid="{2E82AB79-87F1-46B2-AD37-E6572C3731F9}" name="CLAVE PLAZA" dataDxfId="30" dataCellStyle="Normal 3">
      <calculatedColumnFormula>IF(OCTUBRE!E3&lt;&gt;"", OCTUBRE!E3, "")</calculatedColumnFormula>
    </tableColumn>
    <tableColumn id="8" xr3:uid="{74020C26-345D-40D7-A3C6-919B9BCC552B}" name="NOMBRE " dataDxfId="29">
      <calculatedColumnFormula>IF(OCTUBRE!F3&lt;&gt;"", OCTUBRE!F3, "")</calculatedColumnFormula>
    </tableColumn>
    <tableColumn id="35" xr3:uid="{87BD1232-23F6-4BFF-8671-75AEE958BBAA}" name="AREA" dataDxfId="28">
      <calculatedColumnFormula>IF(OCTUBRE!G3&lt;&gt;"", OCTUBRE!G3, "")</calculatedColumnFormula>
    </tableColumn>
    <tableColumn id="7" xr3:uid="{B173DDC5-4584-45EF-8463-EF5B78FE97A3}" name="DESCRIPCION DEL PUESTO" dataDxfId="27">
      <calculatedColumnFormula>IF(OCTUBRE!H3&lt;&gt;"", OCTUBRE!H3, "")</calculatedColumnFormula>
    </tableColumn>
    <tableColumn id="9" xr3:uid="{28B1A94C-03EB-4B62-803C-6E0DCAA1CBB4}" name="CURP" dataDxfId="26" dataCellStyle="Normal 3">
      <calculatedColumnFormula>IF(OCTUBRE!I3&lt;&gt;"", OCTUBRE!I3, "")</calculatedColumnFormula>
    </tableColumn>
    <tableColumn id="10" xr3:uid="{035E96AE-5A32-4A50-A764-10AC9C442358}" name="RFC" dataDxfId="25" dataCellStyle="Normal 3">
      <calculatedColumnFormula>IF(OCTUBRE!J3&lt;&gt;"", OCTUBRE!J3, "")</calculatedColumnFormula>
    </tableColumn>
    <tableColumn id="11" xr3:uid="{41B442BB-98C1-41DA-9922-CDD3036DD9D1}" name="ESTATUS" dataDxfId="24">
      <calculatedColumnFormula>IF(OCTUBRE!K3&lt;&gt;"", OCTUBRE!K3, "")</calculatedColumnFormula>
    </tableColumn>
    <tableColumn id="12" xr3:uid="{13094B38-9C4C-4F12-BDC4-229B7993D717}" name="FECHA DE INGRESO" dataDxfId="23">
      <calculatedColumnFormula>IF(OCTUBRE!L3&lt;&gt;"", OCTUBRE!L3, "")</calculatedColumnFormula>
    </tableColumn>
    <tableColumn id="14" xr3:uid="{3FBC3EDD-3D73-4C6A-939F-F8EEC46D4F4E}" name="CONFIANZA" dataDxfId="22" dataCellStyle="Normal_Hoja1">
      <calculatedColumnFormula>IF(OCTUBRE!N3&lt;&gt;"", OCTUBRE!N3, "")</calculatedColumnFormula>
    </tableColumn>
    <tableColumn id="15" xr3:uid="{96B52BD7-1C60-4E30-9A92-3AA059EE61B6}" name="SEXO" dataDxfId="21" dataCellStyle="Normal 3">
      <calculatedColumnFormula>IF(OCTUBRE!O3&lt;&gt;"", OCTUBRE!O3, "")</calculatedColumnFormula>
    </tableColumn>
    <tableColumn id="16" xr3:uid="{724AA319-79BE-4E10-9EC6-6E91190058DA}" name="EDAD" dataDxfId="20">
      <calculatedColumnFormula>IF(OCTUBRE!P3&lt;&gt;"", OCTUBRE!P3, "")</calculatedColumnFormula>
    </tableColumn>
    <tableColumn id="17" xr3:uid="{58531E79-F49B-4C68-B352-AD4AC209B6BA}" name="SALARIO DIARIO" dataDxfId="19">
      <calculatedColumnFormula>Tabla1[[#This Row],[SALARIO DIARIO]]</calculatedColumnFormula>
    </tableColumn>
    <tableColumn id="2" xr3:uid="{FB19166A-0F0B-4651-A5BA-A1894161B6A8}" name="SUELDO QUINCENAL" dataDxfId="18">
      <calculatedColumnFormula>Tabla15[[#This Row],[SUELDO MENSUAL]]/2</calculatedColumnFormula>
    </tableColumn>
    <tableColumn id="18" xr3:uid="{6E0D2CBA-AB2D-4603-B5E8-CEBDF32B9E91}" name="SUELDO MENSUAL" dataDxfId="17">
      <calculatedColumnFormula>Tabla1[[#This Row],[SUELDO MENSUAL]]</calculatedColumnFormula>
    </tableColumn>
    <tableColumn id="3" xr3:uid="{867758DE-A3D7-4FFD-90DE-55BF5EB8B23E}" name="DESPENSA QUINCENAL" dataDxfId="16">
      <calculatedColumnFormula>Tabla15[[#This Row],[DESPENSA MENSUAL]]/2</calculatedColumnFormula>
    </tableColumn>
    <tableColumn id="19" xr3:uid="{378C2B8D-A6D2-4614-9A75-F2F2BE6C35FC}" name="DESPENSA MENSUAL" dataDxfId="15">
      <calculatedColumnFormula>Tabla1[[#This Row],[DESPENSA MENSUAL]]</calculatedColumnFormula>
    </tableColumn>
    <tableColumn id="13" xr3:uid="{8EA92CB4-CC12-4397-9170-5016FB77FCBB}" name="COMPENSACIÓN (J5) QUINCENAL" dataDxfId="14">
      <calculatedColumnFormula>Tabla15[[#This Row],[COMPENSACIÓN (J5)  MENSUAL]]/2</calculatedColumnFormula>
    </tableColumn>
    <tableColumn id="20" xr3:uid="{C658B66E-34A6-40F3-B9C7-E685DF40990D}" name="COMPENSACIÓN (J5)  MENSUAL" dataDxfId="13">
      <calculatedColumnFormula>Tabla1[[#This Row],[COMPENSACIÓN (J5)  MENSUAL]]</calculatedColumnFormula>
    </tableColumn>
    <tableColumn id="21" xr3:uid="{33606D9C-CCE9-4A61-B950-DAE0CBC2CD22}" name="QUINQUENIO" dataDxfId="12">
      <calculatedColumnFormula>Tabla1[[#This Row],[QUINQUENIO]]/2</calculatedColumnFormula>
    </tableColumn>
    <tableColumn id="22" xr3:uid="{ADD88135-8914-4B8E-959A-FFC106B79D1E}" name="COMPENSACIÓN (J6) MENSUAL" dataDxfId="11">
      <calculatedColumnFormula>Tabla1[[#This Row],[COMPENSACIÓN (J6) MENSUAL]]/2</calculatedColumnFormula>
    </tableColumn>
    <tableColumn id="23" xr3:uid="{D282C024-5C90-4745-97FF-C714E917278E}" name="TOTAL PERCEPCION GRAVABLE" dataDxfId="10">
      <calculatedColumnFormula>Q3+S3+U3+W3+X3</calculatedColumnFormula>
    </tableColumn>
    <tableColumn id="24" xr3:uid="{B7D5A71F-58E8-4B0F-88B9-55C99EBF5B5C}" name="ISR MENSUAL" dataDxfId="9">
      <calculatedColumnFormula>Tabla1[[#This Row],[ISR MENSUAL]]/2</calculatedColumnFormula>
    </tableColumn>
    <tableColumn id="25" xr3:uid="{D21221DD-E9F9-4692-A996-D778A739690D}" name="ISSSTEP CUOTA MENSUAL 13%" dataDxfId="8">
      <calculatedColumnFormula>(P3*30.4)*13%</calculatedColumnFormula>
    </tableColumn>
    <tableColumn id="26" xr3:uid="{3BC93F46-8A89-41FE-8D18-825100E1AF4C}" name="TOTAL DEDUCCIONES " dataDxfId="7" dataCellStyle="Normal 3 10">
      <calculatedColumnFormula>SUM(Z3:AA3)</calculatedColumnFormula>
    </tableColumn>
    <tableColumn id="27" xr3:uid="{C63453CE-459B-4199-B20B-D473E4405ED6}" name="NETO " dataDxfId="6" dataCellStyle="Millares 2">
      <calculatedColumnFormula>Y3-AB3</calculatedColumnFormula>
    </tableColumn>
    <tableColumn id="28" xr3:uid="{5AF83012-4808-4FDA-954C-447F46E296CF}" name="% APORT ISSTEP" dataDxfId="5" dataCellStyle="Millares 2"/>
    <tableColumn id="29" xr3:uid="{54709D85-1625-4558-84BC-E5E00E49B4C2}" name="ISSSTEP APORTACIÓN MENSUAL" dataDxfId="4" dataCellStyle="Millares 2">
      <calculatedColumnFormula>(P3*30.4)*AD3</calculatedColumnFormula>
    </tableColumn>
    <tableColumn id="30" xr3:uid="{FF0AE273-CE5A-4110-8935-074C6D9B9D5A}" name="SAR MENSUAL 2%" dataDxfId="3" dataCellStyle="Normal 3 10">
      <calculatedColumnFormula>R3*2%</calculatedColumnFormula>
    </tableColumn>
    <tableColumn id="31" xr3:uid="{9E43B219-E522-4F08-BCE6-73FE46EF5607}" name="ISN_PM 3%" dataDxfId="2" dataCellStyle="Millares 2">
      <calculatedColumnFormula>Y3*3%</calculatedColumnFormula>
    </tableColumn>
    <tableColumn id="32" xr3:uid="{332E221B-33E3-48DE-99AA-0325AF756594}" name="TOTAL DE OBLIGACIONES MENSUALES" dataDxfId="1" dataCellStyle="Millares 2">
      <calculatedColumnFormula>SUM(AE3:AG3)</calculatedColumnFormula>
    </tableColumn>
    <tableColumn id="33" xr3:uid="{8263CDB3-C06D-4208-B3F6-B41D5DBCAC5D}" name="COSTO DE NOMINA" dataDxfId="0" dataCellStyle="Normal 3 10">
      <calculatedColumnFormula>Y3+AH3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7F87E-DED0-4F22-940F-C7FA7EE1E950}">
  <sheetPr codeName="Hoja3"/>
  <dimension ref="A1:A33"/>
  <sheetViews>
    <sheetView workbookViewId="0">
      <selection activeCell="E16" sqref="E16"/>
    </sheetView>
  </sheetViews>
  <sheetFormatPr baseColWidth="10" defaultRowHeight="15" x14ac:dyDescent="0.25"/>
  <cols>
    <col min="1" max="1" width="60" customWidth="1"/>
  </cols>
  <sheetData>
    <row r="1" spans="1:1" ht="15.75" thickBot="1" x14ac:dyDescent="0.3">
      <c r="A1" s="63" t="s">
        <v>0</v>
      </c>
    </row>
    <row r="2" spans="1:1" ht="15.75" thickBot="1" x14ac:dyDescent="0.3">
      <c r="A2" s="64" t="s">
        <v>27</v>
      </c>
    </row>
    <row r="3" spans="1:1" ht="15.75" thickBot="1" x14ac:dyDescent="0.3">
      <c r="A3" s="65" t="s">
        <v>7</v>
      </c>
    </row>
    <row r="4" spans="1:1" ht="15.75" thickBot="1" x14ac:dyDescent="0.3">
      <c r="A4" s="66" t="s">
        <v>86</v>
      </c>
    </row>
    <row r="5" spans="1:1" ht="15.75" thickBot="1" x14ac:dyDescent="0.3">
      <c r="A5" s="65" t="s">
        <v>21</v>
      </c>
    </row>
    <row r="6" spans="1:1" ht="15.75" thickBot="1" x14ac:dyDescent="0.3">
      <c r="A6" s="66" t="s">
        <v>1</v>
      </c>
    </row>
    <row r="7" spans="1:1" ht="15.75" thickBot="1" x14ac:dyDescent="0.3">
      <c r="A7" s="66" t="s">
        <v>9</v>
      </c>
    </row>
    <row r="8" spans="1:1" ht="15.75" thickBot="1" x14ac:dyDescent="0.3">
      <c r="A8" s="66" t="s">
        <v>8</v>
      </c>
    </row>
    <row r="9" spans="1:1" ht="15.75" thickBot="1" x14ac:dyDescent="0.3">
      <c r="A9" s="66" t="s">
        <v>3</v>
      </c>
    </row>
    <row r="10" spans="1:1" ht="15.75" thickBot="1" x14ac:dyDescent="0.3">
      <c r="A10" s="66" t="s">
        <v>2</v>
      </c>
    </row>
    <row r="11" spans="1:1" ht="15.75" thickBot="1" x14ac:dyDescent="0.3">
      <c r="A11" s="66" t="s">
        <v>11</v>
      </c>
    </row>
    <row r="12" spans="1:1" ht="15.75" thickBot="1" x14ac:dyDescent="0.3">
      <c r="A12" s="66" t="s">
        <v>81</v>
      </c>
    </row>
    <row r="13" spans="1:1" ht="15.75" thickBot="1" x14ac:dyDescent="0.3">
      <c r="A13" s="65" t="s">
        <v>82</v>
      </c>
    </row>
    <row r="14" spans="1:1" ht="15.75" thickBot="1" x14ac:dyDescent="0.3">
      <c r="A14" s="65" t="s">
        <v>4</v>
      </c>
    </row>
    <row r="15" spans="1:1" ht="15.75" thickBot="1" x14ac:dyDescent="0.3">
      <c r="A15" s="66" t="s">
        <v>5</v>
      </c>
    </row>
    <row r="16" spans="1:1" ht="15.75" thickBot="1" x14ac:dyDescent="0.3">
      <c r="A16" s="67" t="s">
        <v>10</v>
      </c>
    </row>
    <row r="17" spans="1:1" ht="15.75" thickBot="1" x14ac:dyDescent="0.3">
      <c r="A17" s="68" t="s">
        <v>12</v>
      </c>
    </row>
    <row r="18" spans="1:1" ht="15.75" thickBot="1" x14ac:dyDescent="0.3">
      <c r="A18" s="66" t="s">
        <v>87</v>
      </c>
    </row>
    <row r="19" spans="1:1" ht="15.75" thickBot="1" x14ac:dyDescent="0.3">
      <c r="A19" s="66" t="s">
        <v>22</v>
      </c>
    </row>
    <row r="20" spans="1:1" ht="15.75" thickBot="1" x14ac:dyDescent="0.3">
      <c r="A20" s="66" t="s">
        <v>35</v>
      </c>
    </row>
    <row r="21" spans="1:1" ht="15.75" thickBot="1" x14ac:dyDescent="0.3">
      <c r="A21" s="66" t="s">
        <v>83</v>
      </c>
    </row>
    <row r="22" spans="1:1" ht="15.75" thickBot="1" x14ac:dyDescent="0.3">
      <c r="A22" s="66" t="s">
        <v>25</v>
      </c>
    </row>
    <row r="23" spans="1:1" ht="15.75" thickBot="1" x14ac:dyDescent="0.3">
      <c r="A23" s="67" t="s">
        <v>36</v>
      </c>
    </row>
    <row r="24" spans="1:1" ht="15.75" thickBot="1" x14ac:dyDescent="0.3">
      <c r="A24" s="69" t="s">
        <v>14</v>
      </c>
    </row>
    <row r="25" spans="1:1" ht="15.75" thickBot="1" x14ac:dyDescent="0.3">
      <c r="A25" s="66" t="s">
        <v>30</v>
      </c>
    </row>
    <row r="26" spans="1:1" ht="15.75" thickBot="1" x14ac:dyDescent="0.3">
      <c r="A26" s="66" t="s">
        <v>29</v>
      </c>
    </row>
    <row r="27" spans="1:1" ht="15.75" thickBot="1" x14ac:dyDescent="0.3">
      <c r="A27" s="66" t="s">
        <v>26</v>
      </c>
    </row>
    <row r="28" spans="1:1" ht="15.75" thickBot="1" x14ac:dyDescent="0.3">
      <c r="A28" s="66" t="s">
        <v>84</v>
      </c>
    </row>
    <row r="29" spans="1:1" ht="15.75" thickBot="1" x14ac:dyDescent="0.3">
      <c r="A29" s="66" t="s">
        <v>31</v>
      </c>
    </row>
    <row r="30" spans="1:1" ht="15.75" thickBot="1" x14ac:dyDescent="0.3">
      <c r="A30" s="66" t="s">
        <v>85</v>
      </c>
    </row>
    <row r="31" spans="1:1" ht="15.75" thickBot="1" x14ac:dyDescent="0.3">
      <c r="A31" s="66" t="s">
        <v>28</v>
      </c>
    </row>
    <row r="32" spans="1:1" ht="15.75" thickBot="1" x14ac:dyDescent="0.3">
      <c r="A32" s="66" t="s">
        <v>15</v>
      </c>
    </row>
    <row r="33" spans="1:1" x14ac:dyDescent="0.25">
      <c r="A33" s="66" t="s">
        <v>34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I54"/>
  <sheetViews>
    <sheetView tabSelected="1" workbookViewId="0">
      <pane xSplit="1" ySplit="2" topLeftCell="B3" activePane="bottomRight" state="frozen"/>
      <selection pane="topRight" activeCell="B1" sqref="B1"/>
      <selection pane="bottomLeft" activeCell="A4" sqref="A4"/>
      <selection pane="bottomRight" activeCell="A5" sqref="A5"/>
    </sheetView>
  </sheetViews>
  <sheetFormatPr baseColWidth="10" defaultColWidth="11.42578125" defaultRowHeight="15" x14ac:dyDescent="0.25"/>
  <cols>
    <col min="1" max="1" width="13.7109375" style="13" customWidth="1"/>
    <col min="2" max="2" width="8.7109375" style="13" customWidth="1"/>
    <col min="3" max="3" width="8.7109375" style="2" customWidth="1"/>
    <col min="4" max="4" width="11.7109375" style="2" customWidth="1"/>
    <col min="5" max="5" width="15.7109375" style="11" customWidth="1"/>
    <col min="6" max="6" width="45.7109375" style="3" customWidth="1"/>
    <col min="7" max="8" width="35.7109375" style="3" customWidth="1"/>
    <col min="9" max="9" width="22.7109375" style="3" customWidth="1"/>
    <col min="10" max="10" width="22.7109375" style="1" customWidth="1"/>
    <col min="11" max="11" width="10.7109375" style="3" customWidth="1"/>
    <col min="12" max="12" width="11.7109375" style="2" customWidth="1"/>
    <col min="13" max="15" width="6.7109375" style="2" customWidth="1"/>
    <col min="16" max="16" width="6.7109375" style="1" customWidth="1"/>
    <col min="17" max="17" width="15.7109375" style="1" customWidth="1"/>
    <col min="18" max="27" width="15.7109375" style="2" customWidth="1"/>
    <col min="28" max="29" width="15.7109375" style="4" customWidth="1"/>
    <col min="30" max="33" width="15.7109375" style="2" customWidth="1"/>
    <col min="34" max="16384" width="11.42578125" style="2"/>
  </cols>
  <sheetData>
    <row r="1" spans="1:35" s="7" customFormat="1" ht="30" customHeight="1" thickBot="1" x14ac:dyDescent="0.3">
      <c r="A1" s="12"/>
      <c r="B1" s="12"/>
      <c r="C1" s="8"/>
      <c r="E1" s="10"/>
      <c r="F1" s="6"/>
      <c r="G1" s="6"/>
      <c r="H1" s="6"/>
      <c r="I1" s="6"/>
      <c r="J1" s="8"/>
      <c r="K1" s="6"/>
      <c r="L1" s="9"/>
      <c r="M1" s="9"/>
      <c r="P1" s="8"/>
      <c r="Q1" s="22"/>
      <c r="R1" s="23">
        <f>SUBTOTAL(9,R3:R54)</f>
        <v>493776.29999999993</v>
      </c>
      <c r="S1" s="23">
        <f>SUBTOTAL(9,S3:S54)</f>
        <v>14754</v>
      </c>
      <c r="T1" s="23">
        <f>SUBTOTAL(9,T3:T54)</f>
        <v>674489.68000000017</v>
      </c>
      <c r="U1" s="23"/>
      <c r="V1" s="23">
        <f t="shared" ref="V1:AG1" si="0">SUBTOTAL(9,V3:V54)</f>
        <v>0</v>
      </c>
      <c r="W1" s="23">
        <f t="shared" si="0"/>
        <v>1183194.9800000004</v>
      </c>
      <c r="X1" s="23">
        <f t="shared" si="0"/>
        <v>157087.04155199992</v>
      </c>
      <c r="Y1" s="23">
        <f t="shared" si="0"/>
        <v>64790.605400000022</v>
      </c>
      <c r="Z1" s="23">
        <f t="shared" si="0"/>
        <v>221877.64695199992</v>
      </c>
      <c r="AA1" s="23">
        <f t="shared" si="0"/>
        <v>961317.33304800012</v>
      </c>
      <c r="AB1" s="23">
        <f t="shared" si="0"/>
        <v>13.239999999999991</v>
      </c>
      <c r="AC1" s="23">
        <f t="shared" si="0"/>
        <v>126767.17120000006</v>
      </c>
      <c r="AD1" s="23">
        <f t="shared" si="0"/>
        <v>9875.5260000000017</v>
      </c>
      <c r="AE1" s="23">
        <f t="shared" si="0"/>
        <v>35495.849399999992</v>
      </c>
      <c r="AF1" s="23">
        <f t="shared" si="0"/>
        <v>172138.5466</v>
      </c>
      <c r="AG1" s="24">
        <f t="shared" si="0"/>
        <v>1355333.5266000007</v>
      </c>
    </row>
    <row r="2" spans="1:35" s="5" customFormat="1" ht="50.1" customHeight="1" x14ac:dyDescent="0.25">
      <c r="A2" s="16" t="s">
        <v>0</v>
      </c>
      <c r="B2" s="70" t="s">
        <v>27</v>
      </c>
      <c r="C2" s="18" t="s">
        <v>7</v>
      </c>
      <c r="D2" s="26" t="s">
        <v>86</v>
      </c>
      <c r="E2" s="17" t="s">
        <v>21</v>
      </c>
      <c r="F2" s="20" t="s">
        <v>1</v>
      </c>
      <c r="G2" s="20" t="s">
        <v>9</v>
      </c>
      <c r="H2" s="20" t="s">
        <v>8</v>
      </c>
      <c r="I2" s="26" t="s">
        <v>3</v>
      </c>
      <c r="J2" s="26" t="s">
        <v>2</v>
      </c>
      <c r="K2" s="20" t="s">
        <v>11</v>
      </c>
      <c r="L2" s="20" t="s">
        <v>81</v>
      </c>
      <c r="M2" s="18" t="s">
        <v>82</v>
      </c>
      <c r="N2" s="17" t="s">
        <v>4</v>
      </c>
      <c r="O2" s="26" t="s">
        <v>5</v>
      </c>
      <c r="P2" s="21" t="s">
        <v>10</v>
      </c>
      <c r="Q2" s="19" t="s">
        <v>12</v>
      </c>
      <c r="R2" s="20" t="s">
        <v>87</v>
      </c>
      <c r="S2" s="20" t="s">
        <v>22</v>
      </c>
      <c r="T2" s="20" t="s">
        <v>35</v>
      </c>
      <c r="U2" s="20" t="s">
        <v>83</v>
      </c>
      <c r="V2" s="20" t="s">
        <v>25</v>
      </c>
      <c r="W2" s="21" t="s">
        <v>36</v>
      </c>
      <c r="X2" s="25" t="s">
        <v>14</v>
      </c>
      <c r="Y2" s="20" t="s">
        <v>30</v>
      </c>
      <c r="Z2" s="20" t="s">
        <v>29</v>
      </c>
      <c r="AA2" s="20" t="s">
        <v>26</v>
      </c>
      <c r="AB2" s="20" t="s">
        <v>84</v>
      </c>
      <c r="AC2" s="20" t="s">
        <v>31</v>
      </c>
      <c r="AD2" s="20" t="s">
        <v>85</v>
      </c>
      <c r="AE2" s="20" t="s">
        <v>28</v>
      </c>
      <c r="AF2" s="20" t="s">
        <v>15</v>
      </c>
      <c r="AG2" s="21" t="s">
        <v>34</v>
      </c>
      <c r="AI2" s="15"/>
    </row>
    <row r="3" spans="1:35" s="1" customFormat="1" ht="30" customHeight="1" x14ac:dyDescent="0.25">
      <c r="A3" s="27">
        <v>92700199</v>
      </c>
      <c r="B3" s="28" t="str">
        <f>IF(Tabla1[[#This Row],[EXPEDIENTE]]&lt;&gt;"", GetData(Tabla1[[#This Row],[EXPEDIENTE]], 5), "")</f>
        <v>167</v>
      </c>
      <c r="C3" s="29" t="str">
        <f>IF(Tabla1[[#This Row],[EXPEDIENTE]]&lt;&gt;"", GetData(Tabla1[[#This Row],[EXPEDIENTE]], 3), "")</f>
        <v>11</v>
      </c>
      <c r="D3" s="30" t="str">
        <f>IF(Tabla1[[#This Row],[EXPEDIENTE]]&lt;&gt;"", GetData(Tabla1[[#This Row],[EXPEDIENTE]], 4), "")</f>
        <v>G0403</v>
      </c>
      <c r="E3" s="31" t="s">
        <v>37</v>
      </c>
      <c r="F3" s="32" t="str">
        <f>IF(Tabla1[[#This Row],[EXPEDIENTE]]&lt;&gt;"", GetData(Tabla1[[#This Row],[EXPEDIENTE]], 0), "VACANTE")</f>
        <v>MARTINEZ ARROYO APOLINARIA</v>
      </c>
      <c r="G3" s="32" t="str">
        <f>IF(Tabla1[[#This Row],[EXPEDIENTE]]&lt;&gt;"", GetData(Tabla1[[#This Row],[EXPEDIENTE]], 1), "")</f>
        <v>DIRECCIÓN GENERAL</v>
      </c>
      <c r="H3" s="32" t="str">
        <f>IF(Tabla1[[#This Row],[EXPEDIENTE]]&lt;&gt;"", GetData(Tabla1[[#This Row],[EXPEDIENTE]], 2), "")</f>
        <v>DIRECTORA GENERAL</v>
      </c>
      <c r="I3" s="33" t="str">
        <f>IF(Tabla1[[#This Row],[EXPEDIENTE]]&lt;&gt;"", GetData(Tabla1[[#This Row],[EXPEDIENTE]], 6), "")</f>
        <v>MAAA830209MPLRRP06</v>
      </c>
      <c r="J3" s="33" t="str">
        <f>IF(Tabla1[[#This Row],[EXPEDIENTE]]&lt;&gt;"", GetData(Tabla1[[#This Row],[EXPEDIENTE]], 7), "")</f>
        <v>MAAA830209PGA</v>
      </c>
      <c r="K3" s="34" t="str">
        <f>IF(Tabla1[[#This Row],[EXPEDIENTE]]&lt;&gt;"", GetData(Tabla1[[#This Row],[EXPEDIENTE]], 8), "")</f>
        <v>ACTIVO</v>
      </c>
      <c r="L3" s="35" t="str">
        <f>IF(Tabla1[[#This Row],[EXPEDIENTE]]&lt;&gt;"", GetData(Tabla1[[#This Row],[EXPEDIENTE]], 9), "")</f>
        <v>14/12/2024</v>
      </c>
      <c r="M3" s="36">
        <v>30</v>
      </c>
      <c r="N3" s="30" t="s">
        <v>6</v>
      </c>
      <c r="O3" s="37" t="str">
        <f>IF(Tabla1[[#This Row],[EXPEDIENTE]]&lt;&gt;"", GetData(Tabla1[[#This Row],[EXPEDIENTE]], 10), "")</f>
        <v>M</v>
      </c>
      <c r="P3" s="38" t="str">
        <f>IF(Tabla1[[#This Row],[EXPEDIENTE]]&lt;&gt;"", GetData(Tabla1[[#This Row],[EXPEDIENTE]], 11), "")</f>
        <v>42</v>
      </c>
      <c r="Q3" s="39">
        <f>Tabla1[[#This Row],[SUELDO MENSUAL]]/30</f>
        <v>734.99</v>
      </c>
      <c r="R3" s="40">
        <v>22049.7</v>
      </c>
      <c r="S3" s="40">
        <v>270</v>
      </c>
      <c r="T3" s="40">
        <v>39180</v>
      </c>
      <c r="U3" s="40">
        <v>0</v>
      </c>
      <c r="V3" s="40"/>
      <c r="W3" s="41">
        <f t="shared" ref="W3:W34" si="1">R3+S3+T3+U3+V3</f>
        <v>61499.7</v>
      </c>
      <c r="X3" s="42">
        <f>Impuesto2026(W3,M3)</f>
        <v>12185.992999999999</v>
      </c>
      <c r="Y3" s="40">
        <f>R3*13%</f>
        <v>2866.4610000000002</v>
      </c>
      <c r="Z3" s="43">
        <f>SUM(X3:Y3)</f>
        <v>15052.453999999998</v>
      </c>
      <c r="AA3" s="44">
        <f>W3-Z3</f>
        <v>46447.245999999999</v>
      </c>
      <c r="AB3" s="45">
        <v>0.26</v>
      </c>
      <c r="AC3" s="45">
        <f>R3*AB3</f>
        <v>5732.9220000000005</v>
      </c>
      <c r="AD3" s="46">
        <f t="shared" ref="AD3:AD54" si="2">R3*2%</f>
        <v>440.99400000000003</v>
      </c>
      <c r="AE3" s="45">
        <f t="shared" ref="AE3:AE54" si="3">W3*3%</f>
        <v>1844.9909999999998</v>
      </c>
      <c r="AF3" s="44">
        <f>SUM(AC3:AE3)</f>
        <v>8018.9070000000002</v>
      </c>
      <c r="AG3" s="47">
        <f t="shared" ref="AG3:AG54" si="4">W3+AF3</f>
        <v>69518.607000000004</v>
      </c>
    </row>
    <row r="4" spans="1:35" s="1" customFormat="1" ht="30" customHeight="1" x14ac:dyDescent="0.25">
      <c r="A4" s="27">
        <v>92700206</v>
      </c>
      <c r="B4" s="28" t="str">
        <f>IF(Tabla1[[#This Row],[EXPEDIENTE]]&lt;&gt;"", GetData(Tabla1[[#This Row],[EXPEDIENTE]], 5), "")</f>
        <v>167</v>
      </c>
      <c r="C4" s="29" t="str">
        <f>IF(Tabla1[[#This Row],[EXPEDIENTE]]&lt;&gt;"", GetData(Tabla1[[#This Row],[EXPEDIENTE]], 3), "")</f>
        <v>13</v>
      </c>
      <c r="D4" s="30" t="str">
        <f>IF(Tabla1[[#This Row],[EXPEDIENTE]]&lt;&gt;"", GetData(Tabla1[[#This Row],[EXPEDIENTE]], 4), "")</f>
        <v>G0807</v>
      </c>
      <c r="E4" s="48" t="s">
        <v>38</v>
      </c>
      <c r="F4" s="32" t="str">
        <f>IF(Tabla1[[#This Row],[EXPEDIENTE]]&lt;&gt;"", GetData(Tabla1[[#This Row],[EXPEDIENTE]], 0), "VACANTE")</f>
        <v>ALTA ZAQUEROZ YANEI</v>
      </c>
      <c r="G4" s="32" t="str">
        <f>IF(Tabla1[[#This Row],[EXPEDIENTE]]&lt;&gt;"", GetData(Tabla1[[#This Row],[EXPEDIENTE]], 1), "")</f>
        <v>DIRECCIÓN GENERAL</v>
      </c>
      <c r="H4" s="32" t="str">
        <f>IF(Tabla1[[#This Row],[EXPEDIENTE]]&lt;&gt;"", GetData(Tabla1[[#This Row],[EXPEDIENTE]], 2), "")</f>
        <v>Analista Especializado Consultivo B</v>
      </c>
      <c r="I4" s="33" t="str">
        <f>IF(Tabla1[[#This Row],[EXPEDIENTE]]&lt;&gt;"", GetData(Tabla1[[#This Row],[EXPEDIENTE]], 6), "")</f>
        <v>AAZY970518MPLLQN09</v>
      </c>
      <c r="J4" s="33" t="str">
        <f>IF(Tabla1[[#This Row],[EXPEDIENTE]]&lt;&gt;"", GetData(Tabla1[[#This Row],[EXPEDIENTE]], 7), "")</f>
        <v>AAZY970518LP5</v>
      </c>
      <c r="K4" s="34" t="str">
        <f>IF(Tabla1[[#This Row],[EXPEDIENTE]]&lt;&gt;"", GetData(Tabla1[[#This Row],[EXPEDIENTE]], 8), "")</f>
        <v>ACTIVO</v>
      </c>
      <c r="L4" s="35" t="str">
        <f>IF(Tabla1[[#This Row],[EXPEDIENTE]]&lt;&gt;"", GetData(Tabla1[[#This Row],[EXPEDIENTE]], 9), "")</f>
        <v>01/01/2025</v>
      </c>
      <c r="M4" s="36">
        <v>30</v>
      </c>
      <c r="N4" s="30" t="s">
        <v>6</v>
      </c>
      <c r="O4" s="37" t="str">
        <f>IF(Tabla1[[#This Row],[EXPEDIENTE]]&lt;&gt;"", GetData(Tabla1[[#This Row],[EXPEDIENTE]], 10), "")</f>
        <v>M</v>
      </c>
      <c r="P4" s="38" t="str">
        <f>IF(Tabla1[[#This Row],[EXPEDIENTE]]&lt;&gt;"", GetData(Tabla1[[#This Row],[EXPEDIENTE]], 11), "")</f>
        <v>28</v>
      </c>
      <c r="Q4" s="39">
        <f>Tabla1[[#This Row],[SUELDO MENSUAL]]/30</f>
        <v>280.76</v>
      </c>
      <c r="R4" s="40">
        <v>8422.7999999999993</v>
      </c>
      <c r="S4" s="40">
        <v>284</v>
      </c>
      <c r="T4" s="40">
        <v>11000</v>
      </c>
      <c r="U4" s="40">
        <v>0</v>
      </c>
      <c r="V4" s="40">
        <v>0</v>
      </c>
      <c r="W4" s="41">
        <f t="shared" si="1"/>
        <v>19706.8</v>
      </c>
      <c r="X4" s="42">
        <f t="shared" ref="X4:X54" si="5">Impuesto2026(W4,M4)</f>
        <v>2321.0248399999996</v>
      </c>
      <c r="Y4" s="40">
        <v>1101.82</v>
      </c>
      <c r="Z4" s="43">
        <f t="shared" ref="Z4:Z34" si="6">SUM(X4:Y4)</f>
        <v>3422.8448399999997</v>
      </c>
      <c r="AA4" s="44">
        <f t="shared" ref="AA4:AA54" si="7">W4-Z4</f>
        <v>16283.95516</v>
      </c>
      <c r="AB4" s="45">
        <v>0.26</v>
      </c>
      <c r="AC4" s="45">
        <v>2203.6352000000002</v>
      </c>
      <c r="AD4" s="46">
        <f t="shared" si="2"/>
        <v>168.45599999999999</v>
      </c>
      <c r="AE4" s="45">
        <f t="shared" si="3"/>
        <v>591.20399999999995</v>
      </c>
      <c r="AF4" s="44">
        <f t="shared" ref="AF4:AF54" si="8">SUM(AC4:AE4)</f>
        <v>2963.2952000000005</v>
      </c>
      <c r="AG4" s="47">
        <f t="shared" si="4"/>
        <v>22670.0952</v>
      </c>
    </row>
    <row r="5" spans="1:35" s="1" customFormat="1" ht="30" customHeight="1" x14ac:dyDescent="0.25">
      <c r="A5" s="27"/>
      <c r="B5" s="28" t="str">
        <f>IF(Tabla1[[#This Row],[EXPEDIENTE]]&lt;&gt;"", GetData(Tabla1[[#This Row],[EXPEDIENTE]], 5), "")</f>
        <v/>
      </c>
      <c r="C5" s="29" t="str">
        <f>IF(Tabla1[[#This Row],[EXPEDIENTE]]&lt;&gt;"", GetData(Tabla1[[#This Row],[EXPEDIENTE]], 3), "")</f>
        <v/>
      </c>
      <c r="D5" s="30" t="str">
        <f>IF(Tabla1[[#This Row],[EXPEDIENTE]]&lt;&gt;"", GetData(Tabla1[[#This Row],[EXPEDIENTE]], 4), "")</f>
        <v/>
      </c>
      <c r="E5" s="48" t="s">
        <v>75</v>
      </c>
      <c r="F5" s="32" t="str">
        <f>IF(Tabla1[[#This Row],[EXPEDIENTE]]&lt;&gt;"", GetData(Tabla1[[#This Row],[EXPEDIENTE]], 0), "VACANTE")</f>
        <v>VACANTE</v>
      </c>
      <c r="G5" s="32" t="str">
        <f>IF(Tabla1[[#This Row],[EXPEDIENTE]]&lt;&gt;"", GetData(Tabla1[[#This Row],[EXPEDIENTE]], 1), "")</f>
        <v/>
      </c>
      <c r="H5" s="32" t="str">
        <f>IF(Tabla1[[#This Row],[EXPEDIENTE]]&lt;&gt;"", GetData(Tabla1[[#This Row],[EXPEDIENTE]], 2), "")</f>
        <v/>
      </c>
      <c r="I5" s="33" t="str">
        <f>IF(Tabla1[[#This Row],[EXPEDIENTE]]&lt;&gt;"", GetData(Tabla1[[#This Row],[EXPEDIENTE]], 6), "")</f>
        <v/>
      </c>
      <c r="J5" s="33" t="str">
        <f>IF(Tabla1[[#This Row],[EXPEDIENTE]]&lt;&gt;"", GetData(Tabla1[[#This Row],[EXPEDIENTE]], 7), "")</f>
        <v/>
      </c>
      <c r="K5" s="34" t="str">
        <f>IF(Tabla1[[#This Row],[EXPEDIENTE]]&lt;&gt;"", GetData(Tabla1[[#This Row],[EXPEDIENTE]], 8), "")</f>
        <v/>
      </c>
      <c r="L5" s="35" t="str">
        <f>IF(Tabla1[[#This Row],[EXPEDIENTE]]&lt;&gt;"", GetData(Tabla1[[#This Row],[EXPEDIENTE]], 9), "")</f>
        <v/>
      </c>
      <c r="M5" s="36">
        <v>30</v>
      </c>
      <c r="N5" s="30" t="s">
        <v>6</v>
      </c>
      <c r="O5" s="37" t="str">
        <f>IF(Tabla1[[#This Row],[EXPEDIENTE]]&lt;&gt;"", GetData(Tabla1[[#This Row],[EXPEDIENTE]], 10), "")</f>
        <v/>
      </c>
      <c r="P5" s="38" t="str">
        <f>IF(Tabla1[[#This Row],[EXPEDIENTE]]&lt;&gt;"", GetData(Tabla1[[#This Row],[EXPEDIENTE]], 11), "")</f>
        <v/>
      </c>
      <c r="Q5" s="39">
        <f>Tabla1[[#This Row],[SUELDO MENSUAL]]/30</f>
        <v>280.76</v>
      </c>
      <c r="R5" s="40">
        <v>8422.7999999999993</v>
      </c>
      <c r="S5" s="40">
        <v>284</v>
      </c>
      <c r="T5" s="40">
        <v>11000</v>
      </c>
      <c r="U5" s="40">
        <v>0</v>
      </c>
      <c r="V5" s="40">
        <v>0</v>
      </c>
      <c r="W5" s="41">
        <f t="shared" si="1"/>
        <v>19706.8</v>
      </c>
      <c r="X5" s="42">
        <f t="shared" si="5"/>
        <v>2321.0248399999996</v>
      </c>
      <c r="Y5" s="40">
        <v>1101.82</v>
      </c>
      <c r="Z5" s="43">
        <f t="shared" si="6"/>
        <v>3422.8448399999997</v>
      </c>
      <c r="AA5" s="44">
        <f t="shared" si="7"/>
        <v>16283.95516</v>
      </c>
      <c r="AB5" s="45">
        <v>0.26</v>
      </c>
      <c r="AC5" s="45">
        <v>2203.6352000000002</v>
      </c>
      <c r="AD5" s="46">
        <f t="shared" si="2"/>
        <v>168.45599999999999</v>
      </c>
      <c r="AE5" s="45">
        <f t="shared" si="3"/>
        <v>591.20399999999995</v>
      </c>
      <c r="AF5" s="44">
        <f t="shared" si="8"/>
        <v>2963.2952000000005</v>
      </c>
      <c r="AG5" s="47">
        <f t="shared" si="4"/>
        <v>22670.0952</v>
      </c>
    </row>
    <row r="6" spans="1:35" s="1" customFormat="1" ht="30" customHeight="1" x14ac:dyDescent="0.25">
      <c r="A6" s="27">
        <v>92700237</v>
      </c>
      <c r="B6" s="28" t="str">
        <f>IF(Tabla1[[#This Row],[EXPEDIENTE]]&lt;&gt;"", GetData(Tabla1[[#This Row],[EXPEDIENTE]], 5), "")</f>
        <v>185</v>
      </c>
      <c r="C6" s="29" t="str">
        <f>IF(Tabla1[[#This Row],[EXPEDIENTE]]&lt;&gt;"", GetData(Tabla1[[#This Row],[EXPEDIENTE]], 3), "")</f>
        <v>55</v>
      </c>
      <c r="D6" s="30" t="str">
        <f>IF(Tabla1[[#This Row],[EXPEDIENTE]]&lt;&gt;"", GetData(Tabla1[[#This Row],[EXPEDIENTE]], 4), "")</f>
        <v>G0808</v>
      </c>
      <c r="E6" s="49" t="s">
        <v>40</v>
      </c>
      <c r="F6" s="32" t="str">
        <f>IF(Tabla1[[#This Row],[EXPEDIENTE]]&lt;&gt;"", GetData(Tabla1[[#This Row],[EXPEDIENTE]], 0), "VACANTE")</f>
        <v>SANCHEZ ROLDAN KARIME ELVIRA</v>
      </c>
      <c r="G6" s="32" t="str">
        <f>IF(Tabla1[[#This Row],[EXPEDIENTE]]&lt;&gt;"", GetData(Tabla1[[#This Row],[EXPEDIENTE]], 1), "")</f>
        <v>DIRECCIÓN GENERAL</v>
      </c>
      <c r="H6" s="32" t="str">
        <f>IF(Tabla1[[#This Row],[EXPEDIENTE]]&lt;&gt;"", GetData(Tabla1[[#This Row],[EXPEDIENTE]], 2), "")</f>
        <v>Analista Especializado Consultivo C</v>
      </c>
      <c r="I6" s="33" t="str">
        <f>IF(Tabla1[[#This Row],[EXPEDIENTE]]&lt;&gt;"", GetData(Tabla1[[#This Row],[EXPEDIENTE]], 6), "")</f>
        <v>SARK950511MPLNLR08</v>
      </c>
      <c r="J6" s="33" t="str">
        <f>IF(Tabla1[[#This Row],[EXPEDIENTE]]&lt;&gt;"", GetData(Tabla1[[#This Row],[EXPEDIENTE]], 7), "")</f>
        <v>SARK950511I96</v>
      </c>
      <c r="K6" s="34" t="str">
        <f>IF(Tabla1[[#This Row],[EXPEDIENTE]]&lt;&gt;"", GetData(Tabla1[[#This Row],[EXPEDIENTE]], 8), "")</f>
        <v>ACTIVO</v>
      </c>
      <c r="L6" s="35" t="str">
        <f>IF(Tabla1[[#This Row],[EXPEDIENTE]]&lt;&gt;"", GetData(Tabla1[[#This Row],[EXPEDIENTE]], 9), "")</f>
        <v>01/03/2025</v>
      </c>
      <c r="M6" s="36">
        <v>30</v>
      </c>
      <c r="N6" s="30" t="s">
        <v>6</v>
      </c>
      <c r="O6" s="37" t="str">
        <f>IF(Tabla1[[#This Row],[EXPEDIENTE]]&lt;&gt;"", GetData(Tabla1[[#This Row],[EXPEDIENTE]], 10), "")</f>
        <v>M</v>
      </c>
      <c r="P6" s="38" t="str">
        <f>IF(Tabla1[[#This Row],[EXPEDIENTE]]&lt;&gt;"", GetData(Tabla1[[#This Row],[EXPEDIENTE]], 11), "")</f>
        <v>30</v>
      </c>
      <c r="Q6" s="39">
        <f>Tabla1[[#This Row],[SUELDO MENSUAL]]/30</f>
        <v>278.8</v>
      </c>
      <c r="R6" s="40">
        <v>8364</v>
      </c>
      <c r="S6" s="40">
        <v>284</v>
      </c>
      <c r="T6" s="40">
        <v>6016</v>
      </c>
      <c r="U6" s="40">
        <v>0</v>
      </c>
      <c r="V6" s="40">
        <v>0</v>
      </c>
      <c r="W6" s="41">
        <f t="shared" si="1"/>
        <v>14664</v>
      </c>
      <c r="X6" s="42">
        <f t="shared" si="5"/>
        <v>1342.6075200000002</v>
      </c>
      <c r="Y6" s="40">
        <f>(Q6*30.4)*13%</f>
        <v>1101.8176000000001</v>
      </c>
      <c r="Z6" s="43">
        <f t="shared" si="6"/>
        <v>2444.4251200000003</v>
      </c>
      <c r="AA6" s="44">
        <f t="shared" si="7"/>
        <v>12219.57488</v>
      </c>
      <c r="AB6" s="45">
        <v>0.26</v>
      </c>
      <c r="AC6" s="45">
        <f>(Q6*30.4)*AB6</f>
        <v>2203.6352000000002</v>
      </c>
      <c r="AD6" s="46">
        <f t="shared" si="2"/>
        <v>167.28</v>
      </c>
      <c r="AE6" s="45">
        <f t="shared" si="3"/>
        <v>439.91999999999996</v>
      </c>
      <c r="AF6" s="44">
        <f t="shared" si="8"/>
        <v>2810.8352000000004</v>
      </c>
      <c r="AG6" s="47">
        <f t="shared" si="4"/>
        <v>17474.835200000001</v>
      </c>
    </row>
    <row r="7" spans="1:35" s="1" customFormat="1" ht="30" customHeight="1" x14ac:dyDescent="0.25">
      <c r="A7" s="27">
        <v>92700204</v>
      </c>
      <c r="B7" s="28" t="str">
        <f>IF(Tabla1[[#This Row],[EXPEDIENTE]]&lt;&gt;"", GetData(Tabla1[[#This Row],[EXPEDIENTE]], 5), "")</f>
        <v>168</v>
      </c>
      <c r="C7" s="29" t="str">
        <f>IF(Tabla1[[#This Row],[EXPEDIENTE]]&lt;&gt;"", GetData(Tabla1[[#This Row],[EXPEDIENTE]], 3), "")</f>
        <v>15</v>
      </c>
      <c r="D7" s="30" t="str">
        <f>IF(Tabla1[[#This Row],[EXPEDIENTE]]&lt;&gt;"", GetData(Tabla1[[#This Row],[EXPEDIENTE]], 4), "")</f>
        <v>G0501</v>
      </c>
      <c r="E7" s="48" t="s">
        <v>41</v>
      </c>
      <c r="F7" s="32" t="str">
        <f>IF(Tabla1[[#This Row],[EXPEDIENTE]]&lt;&gt;"", GetData(Tabla1[[#This Row],[EXPEDIENTE]], 0), "VACANTE")</f>
        <v>JIMENEZ VAZQUEZ MIGUEL ANGEL</v>
      </c>
      <c r="G7" s="32" t="str">
        <f>IF(Tabla1[[#This Row],[EXPEDIENTE]]&lt;&gt;"", GetData(Tabla1[[#This Row],[EXPEDIENTE]], 1), "")</f>
        <v>DIRECCIÓN GENERAL</v>
      </c>
      <c r="H7" s="32" t="str">
        <f>IF(Tabla1[[#This Row],[EXPEDIENTE]]&lt;&gt;"", GetData(Tabla1[[#This Row],[EXPEDIENTE]], 2), "")</f>
        <v>Secretario Técnico</v>
      </c>
      <c r="I7" s="33" t="str">
        <f>IF(Tabla1[[#This Row],[EXPEDIENTE]]&lt;&gt;"", GetData(Tabla1[[#This Row],[EXPEDIENTE]], 6), "")</f>
        <v>JIVM790929HPLMZG09</v>
      </c>
      <c r="J7" s="33" t="str">
        <f>IF(Tabla1[[#This Row],[EXPEDIENTE]]&lt;&gt;"", GetData(Tabla1[[#This Row],[EXPEDIENTE]], 7), "")</f>
        <v>JIVM790929AZ3</v>
      </c>
      <c r="K7" s="34" t="str">
        <f>IF(Tabla1[[#This Row],[EXPEDIENTE]]&lt;&gt;"", GetData(Tabla1[[#This Row],[EXPEDIENTE]], 8), "")</f>
        <v>ACTIVO</v>
      </c>
      <c r="L7" s="35" t="str">
        <f>IF(Tabla1[[#This Row],[EXPEDIENTE]]&lt;&gt;"", GetData(Tabla1[[#This Row],[EXPEDIENTE]], 9), "")</f>
        <v>01/01/2025</v>
      </c>
      <c r="M7" s="36">
        <v>30</v>
      </c>
      <c r="N7" s="30" t="s">
        <v>6</v>
      </c>
      <c r="O7" s="37" t="str">
        <f>IF(Tabla1[[#This Row],[EXPEDIENTE]]&lt;&gt;"", GetData(Tabla1[[#This Row],[EXPEDIENTE]], 10), "")</f>
        <v>H</v>
      </c>
      <c r="P7" s="38" t="str">
        <f>IF(Tabla1[[#This Row],[EXPEDIENTE]]&lt;&gt;"", GetData(Tabla1[[#This Row],[EXPEDIENTE]], 11), "")</f>
        <v>46</v>
      </c>
      <c r="Q7" s="39">
        <f>Tabla1[[#This Row],[SUELDO MENSUAL]]/30</f>
        <v>492.46</v>
      </c>
      <c r="R7" s="40">
        <v>14773.8</v>
      </c>
      <c r="S7" s="40">
        <v>284</v>
      </c>
      <c r="T7" s="40">
        <v>26400</v>
      </c>
      <c r="U7" s="40">
        <v>0</v>
      </c>
      <c r="V7" s="40">
        <v>0</v>
      </c>
      <c r="W7" s="41">
        <f t="shared" si="1"/>
        <v>41457.800000000003</v>
      </c>
      <c r="X7" s="42">
        <f t="shared" si="5"/>
        <v>7098.6945920000016</v>
      </c>
      <c r="Y7" s="40">
        <f>R7*13%</f>
        <v>1920.5940000000001</v>
      </c>
      <c r="Z7" s="43">
        <f t="shared" si="6"/>
        <v>9019.2885920000008</v>
      </c>
      <c r="AA7" s="44">
        <f t="shared" si="7"/>
        <v>32438.511408000002</v>
      </c>
      <c r="AB7" s="45">
        <v>0.26</v>
      </c>
      <c r="AC7" s="45">
        <f>R7*AB7</f>
        <v>3841.1880000000001</v>
      </c>
      <c r="AD7" s="46">
        <f t="shared" si="2"/>
        <v>295.476</v>
      </c>
      <c r="AE7" s="45">
        <f t="shared" si="3"/>
        <v>1243.7340000000002</v>
      </c>
      <c r="AF7" s="44">
        <f t="shared" si="8"/>
        <v>5380.3980000000001</v>
      </c>
      <c r="AG7" s="47">
        <f t="shared" si="4"/>
        <v>46838.198000000004</v>
      </c>
    </row>
    <row r="8" spans="1:35" s="1" customFormat="1" ht="30" customHeight="1" x14ac:dyDescent="0.25">
      <c r="A8" s="27">
        <v>105110</v>
      </c>
      <c r="B8" s="28" t="str">
        <f>IF(Tabla1[[#This Row],[EXPEDIENTE]]&lt;&gt;"", GetData(Tabla1[[#This Row],[EXPEDIENTE]], 5), "")</f>
        <v>168</v>
      </c>
      <c r="C8" s="29" t="str">
        <f>IF(Tabla1[[#This Row],[EXPEDIENTE]]&lt;&gt;"", GetData(Tabla1[[#This Row],[EXPEDIENTE]], 3), "")</f>
        <v>12</v>
      </c>
      <c r="D8" s="30" t="str">
        <f>IF(Tabla1[[#This Row],[EXPEDIENTE]]&lt;&gt;"", GetData(Tabla1[[#This Row],[EXPEDIENTE]], 4), "")</f>
        <v>G0808</v>
      </c>
      <c r="E8" s="48" t="s">
        <v>42</v>
      </c>
      <c r="F8" s="32" t="str">
        <f>IF(Tabla1[[#This Row],[EXPEDIENTE]]&lt;&gt;"", GetData(Tabla1[[#This Row],[EXPEDIENTE]], 0), "VACANTE")</f>
        <v>ARROYO GRANILLO YEIMI KAREN</v>
      </c>
      <c r="G8" s="32" t="str">
        <f>IF(Tabla1[[#This Row],[EXPEDIENTE]]&lt;&gt;"", GetData(Tabla1[[#This Row],[EXPEDIENTE]], 1), "")</f>
        <v>SUBDIRECCIÓN JURÍDICA</v>
      </c>
      <c r="H8" s="32" t="str">
        <f>IF(Tabla1[[#This Row],[EXPEDIENTE]]&lt;&gt;"", GetData(Tabla1[[#This Row],[EXPEDIENTE]], 2), "")</f>
        <v>ANALISTA ESPECIALIZADO CONSULTIVO C</v>
      </c>
      <c r="I8" s="33" t="str">
        <f>IF(Tabla1[[#This Row],[EXPEDIENTE]]&lt;&gt;"", GetData(Tabla1[[#This Row],[EXPEDIENTE]], 6), "")</f>
        <v>AOGY930310MPLRRM04</v>
      </c>
      <c r="J8" s="33" t="str">
        <f>IF(Tabla1[[#This Row],[EXPEDIENTE]]&lt;&gt;"", GetData(Tabla1[[#This Row],[EXPEDIENTE]], 7), "")</f>
        <v>AOGY930310E15</v>
      </c>
      <c r="K8" s="34" t="str">
        <f>IF(Tabla1[[#This Row],[EXPEDIENTE]]&lt;&gt;"", GetData(Tabla1[[#This Row],[EXPEDIENTE]], 8), "")</f>
        <v>ACTIVO</v>
      </c>
      <c r="L8" s="35" t="str">
        <f>IF(Tabla1[[#This Row],[EXPEDIENTE]]&lt;&gt;"", GetData(Tabla1[[#This Row],[EXPEDIENTE]], 9), "")</f>
        <v/>
      </c>
      <c r="M8" s="36">
        <v>30</v>
      </c>
      <c r="N8" s="30" t="s">
        <v>6</v>
      </c>
      <c r="O8" s="37" t="str">
        <f>IF(Tabla1[[#This Row],[EXPEDIENTE]]&lt;&gt;"", GetData(Tabla1[[#This Row],[EXPEDIENTE]], 10), "")</f>
        <v>M</v>
      </c>
      <c r="P8" s="38" t="str">
        <f>IF(Tabla1[[#This Row],[EXPEDIENTE]]&lt;&gt;"", GetData(Tabla1[[#This Row],[EXPEDIENTE]], 11), "")</f>
        <v>32</v>
      </c>
      <c r="Q8" s="39">
        <f>Tabla1[[#This Row],[SUELDO MENSUAL]]/30</f>
        <v>278.8</v>
      </c>
      <c r="R8" s="40">
        <v>8364</v>
      </c>
      <c r="S8" s="40">
        <v>284</v>
      </c>
      <c r="T8" s="40">
        <v>10000</v>
      </c>
      <c r="U8" s="40">
        <v>0</v>
      </c>
      <c r="V8" s="40">
        <v>0</v>
      </c>
      <c r="W8" s="41">
        <f t="shared" si="1"/>
        <v>18648</v>
      </c>
      <c r="X8" s="42">
        <f t="shared" si="5"/>
        <v>2094.8651599999994</v>
      </c>
      <c r="Y8" s="40">
        <f>(Q8*30.4)*13%</f>
        <v>1101.8176000000001</v>
      </c>
      <c r="Z8" s="43">
        <f t="shared" si="6"/>
        <v>3196.6827599999997</v>
      </c>
      <c r="AA8" s="44">
        <f t="shared" si="7"/>
        <v>15451.31724</v>
      </c>
      <c r="AB8" s="45">
        <v>0.26</v>
      </c>
      <c r="AC8" s="45">
        <f>(Q8*30.4)*AB8</f>
        <v>2203.6352000000002</v>
      </c>
      <c r="AD8" s="46">
        <f t="shared" si="2"/>
        <v>167.28</v>
      </c>
      <c r="AE8" s="45">
        <f t="shared" si="3"/>
        <v>559.43999999999994</v>
      </c>
      <c r="AF8" s="44">
        <f t="shared" si="8"/>
        <v>2930.3552000000004</v>
      </c>
      <c r="AG8" s="47">
        <f t="shared" si="4"/>
        <v>21578.355200000002</v>
      </c>
    </row>
    <row r="9" spans="1:35" s="1" customFormat="1" ht="30" customHeight="1" x14ac:dyDescent="0.25">
      <c r="A9" s="27">
        <v>107530</v>
      </c>
      <c r="B9" s="28" t="str">
        <f>IF(Tabla1[[#This Row],[EXPEDIENTE]]&lt;&gt;"", GetData(Tabla1[[#This Row],[EXPEDIENTE]], 5), "")</f>
        <v>169</v>
      </c>
      <c r="C9" s="29" t="str">
        <f>IF(Tabla1[[#This Row],[EXPEDIENTE]]&lt;&gt;"", GetData(Tabla1[[#This Row],[EXPEDIENTE]], 3), "")</f>
        <v>17</v>
      </c>
      <c r="D9" s="30" t="str">
        <f>IF(Tabla1[[#This Row],[EXPEDIENTE]]&lt;&gt;"", GetData(Tabla1[[#This Row],[EXPEDIENTE]], 4), "")</f>
        <v>G0801</v>
      </c>
      <c r="E9" s="48" t="s">
        <v>43</v>
      </c>
      <c r="F9" s="32" t="str">
        <f>IF(Tabla1[[#This Row],[EXPEDIENTE]]&lt;&gt;"", GetData(Tabla1[[#This Row],[EXPEDIENTE]], 0), "VACANTE")</f>
        <v>ROSAS CABRERA MOISES ISMAEL</v>
      </c>
      <c r="G9" s="32" t="str">
        <f>IF(Tabla1[[#This Row],[EXPEDIENTE]]&lt;&gt;"", GetData(Tabla1[[#This Row],[EXPEDIENTE]], 1), "")</f>
        <v xml:space="preserve"> SUBDIRECCIÓN DESARROLLO DE  TECNOLOGÍAS DE LA INFORMACIÓN</v>
      </c>
      <c r="H9" s="32" t="str">
        <f>IF(Tabla1[[#This Row],[EXPEDIENTE]]&lt;&gt;"", GetData(Tabla1[[#This Row],[EXPEDIENTE]], 2), "")</f>
        <v xml:space="preserve"> SUBDIRECTOR DESARROLLO DE  TECNOLOGÍAS DE LA INFORMACIÓN</v>
      </c>
      <c r="I9" s="33" t="str">
        <f>IF(Tabla1[[#This Row],[EXPEDIENTE]]&lt;&gt;"", GetData(Tabla1[[#This Row],[EXPEDIENTE]], 6), "")</f>
        <v>ROCM800117HDFSBS00</v>
      </c>
      <c r="J9" s="33" t="str">
        <f>IF(Tabla1[[#This Row],[EXPEDIENTE]]&lt;&gt;"", GetData(Tabla1[[#This Row],[EXPEDIENTE]], 7), "")</f>
        <v>ROCM8001178B4</v>
      </c>
      <c r="K9" s="34" t="str">
        <f>IF(Tabla1[[#This Row],[EXPEDIENTE]]&lt;&gt;"", GetData(Tabla1[[#This Row],[EXPEDIENTE]], 8), "")</f>
        <v>ACTIVO</v>
      </c>
      <c r="L9" s="35" t="str">
        <f>IF(Tabla1[[#This Row],[EXPEDIENTE]]&lt;&gt;"", GetData(Tabla1[[#This Row],[EXPEDIENTE]], 9), "")</f>
        <v>01/08/2020</v>
      </c>
      <c r="M9" s="36">
        <v>30</v>
      </c>
      <c r="N9" s="50" t="s">
        <v>6</v>
      </c>
      <c r="O9" s="37" t="str">
        <f>IF(Tabla1[[#This Row],[EXPEDIENTE]]&lt;&gt;"", GetData(Tabla1[[#This Row],[EXPEDIENTE]], 10), "")</f>
        <v>H</v>
      </c>
      <c r="P9" s="38" t="str">
        <f>IF(Tabla1[[#This Row],[EXPEDIENTE]]&lt;&gt;"", GetData(Tabla1[[#This Row],[EXPEDIENTE]], 11), "")</f>
        <v>45</v>
      </c>
      <c r="Q9" s="39">
        <f>Tabla1[[#This Row],[SUELDO MENSUAL]]/30</f>
        <v>280.76</v>
      </c>
      <c r="R9" s="40">
        <v>8422.7999999999993</v>
      </c>
      <c r="S9" s="40">
        <v>284</v>
      </c>
      <c r="T9" s="40">
        <v>18000</v>
      </c>
      <c r="U9" s="40">
        <v>87.5</v>
      </c>
      <c r="V9" s="40">
        <v>0</v>
      </c>
      <c r="W9" s="41">
        <f t="shared" si="1"/>
        <v>26794.3</v>
      </c>
      <c r="X9" s="42">
        <f t="shared" si="5"/>
        <v>3834.9148399999995</v>
      </c>
      <c r="Y9" s="40">
        <v>1101.82</v>
      </c>
      <c r="Z9" s="43">
        <f t="shared" si="6"/>
        <v>4936.7348399999992</v>
      </c>
      <c r="AA9" s="44">
        <f t="shared" si="7"/>
        <v>21857.565159999998</v>
      </c>
      <c r="AB9" s="45">
        <v>0.26</v>
      </c>
      <c r="AC9" s="45">
        <v>2203.64</v>
      </c>
      <c r="AD9" s="46">
        <f t="shared" si="2"/>
        <v>168.45599999999999</v>
      </c>
      <c r="AE9" s="45">
        <f t="shared" si="3"/>
        <v>803.82899999999995</v>
      </c>
      <c r="AF9" s="44">
        <f t="shared" si="8"/>
        <v>3175.9250000000002</v>
      </c>
      <c r="AG9" s="47">
        <f t="shared" si="4"/>
        <v>29970.224999999999</v>
      </c>
    </row>
    <row r="10" spans="1:35" s="1" customFormat="1" ht="30" customHeight="1" x14ac:dyDescent="0.25">
      <c r="A10" s="27">
        <v>92700185</v>
      </c>
      <c r="B10" s="28" t="str">
        <f>IF(Tabla1[[#This Row],[EXPEDIENTE]]&lt;&gt;"", GetData(Tabla1[[#This Row],[EXPEDIENTE]], 5), "")</f>
        <v>170</v>
      </c>
      <c r="C10" s="29" t="str">
        <f>IF(Tabla1[[#This Row],[EXPEDIENTE]]&lt;&gt;"", GetData(Tabla1[[#This Row],[EXPEDIENTE]], 3), "")</f>
        <v>28</v>
      </c>
      <c r="D10" s="30" t="str">
        <f>IF(Tabla1[[#This Row],[EXPEDIENTE]]&lt;&gt;"", GetData(Tabla1[[#This Row],[EXPEDIENTE]], 4), "")</f>
        <v>G0808</v>
      </c>
      <c r="E10" s="48" t="s">
        <v>50</v>
      </c>
      <c r="F10" s="32" t="str">
        <f>IF(Tabla1[[#This Row],[EXPEDIENTE]]&lt;&gt;"", GetData(Tabla1[[#This Row],[EXPEDIENTE]], 0), "VACANTE")</f>
        <v xml:space="preserve">GOMEZ HERNANDEZ MIGUEL TRINIDAD </v>
      </c>
      <c r="G10" s="32" t="str">
        <f>IF(Tabla1[[#This Row],[EXPEDIENTE]]&lt;&gt;"", GetData(Tabla1[[#This Row],[EXPEDIENTE]], 1), "")</f>
        <v>OFICINA REGIONAL TEHUACAN</v>
      </c>
      <c r="H10" s="32" t="str">
        <f>IF(Tabla1[[#This Row],[EXPEDIENTE]]&lt;&gt;"", GetData(Tabla1[[#This Row],[EXPEDIENTE]], 2), "")</f>
        <v>ANALISTA ESPECIALIZADO CONSULTIVO C</v>
      </c>
      <c r="I10" s="33" t="str">
        <f>IF(Tabla1[[#This Row],[EXPEDIENTE]]&lt;&gt;"", GetData(Tabla1[[#This Row],[EXPEDIENTE]], 6), "")</f>
        <v>GOHM971021HPLMRG03</v>
      </c>
      <c r="J10" s="33" t="str">
        <f>IF(Tabla1[[#This Row],[EXPEDIENTE]]&lt;&gt;"", GetData(Tabla1[[#This Row],[EXPEDIENTE]], 7), "")</f>
        <v>GOHM971021QT7</v>
      </c>
      <c r="K10" s="34" t="str">
        <f>IF(Tabla1[[#This Row],[EXPEDIENTE]]&lt;&gt;"", GetData(Tabla1[[#This Row],[EXPEDIENTE]], 8), "")</f>
        <v>ACTIVO</v>
      </c>
      <c r="L10" s="35" t="str">
        <f>IF(Tabla1[[#This Row],[EXPEDIENTE]]&lt;&gt;"", GetData(Tabla1[[#This Row],[EXPEDIENTE]], 9), "")</f>
        <v/>
      </c>
      <c r="M10" s="36">
        <v>30</v>
      </c>
      <c r="N10" s="30" t="s">
        <v>6</v>
      </c>
      <c r="O10" s="37" t="str">
        <f>IF(Tabla1[[#This Row],[EXPEDIENTE]]&lt;&gt;"", GetData(Tabla1[[#This Row],[EXPEDIENTE]], 10), "")</f>
        <v>H</v>
      </c>
      <c r="P10" s="38" t="str">
        <f>IF(Tabla1[[#This Row],[EXPEDIENTE]]&lt;&gt;"", GetData(Tabla1[[#This Row],[EXPEDIENTE]], 11), "")</f>
        <v>28</v>
      </c>
      <c r="Q10" s="39">
        <f>Tabla1[[#This Row],[SUELDO MENSUAL]]/30</f>
        <v>278.8</v>
      </c>
      <c r="R10" s="40">
        <v>8364</v>
      </c>
      <c r="S10" s="40">
        <v>284</v>
      </c>
      <c r="T10" s="40">
        <v>10000</v>
      </c>
      <c r="U10" s="40">
        <v>0</v>
      </c>
      <c r="V10" s="40">
        <v>0</v>
      </c>
      <c r="W10" s="41">
        <f t="shared" si="1"/>
        <v>18648</v>
      </c>
      <c r="X10" s="42">
        <f t="shared" si="5"/>
        <v>2094.8651599999994</v>
      </c>
      <c r="Y10" s="40">
        <f>(Q10*30.4)*13%</f>
        <v>1101.8176000000001</v>
      </c>
      <c r="Z10" s="43">
        <f t="shared" si="6"/>
        <v>3196.6827599999997</v>
      </c>
      <c r="AA10" s="44">
        <f t="shared" si="7"/>
        <v>15451.31724</v>
      </c>
      <c r="AB10" s="45">
        <v>0.26</v>
      </c>
      <c r="AC10" s="45">
        <f>(Q10*30.4)*AB10</f>
        <v>2203.6352000000002</v>
      </c>
      <c r="AD10" s="46">
        <f t="shared" si="2"/>
        <v>167.28</v>
      </c>
      <c r="AE10" s="45">
        <f t="shared" si="3"/>
        <v>559.43999999999994</v>
      </c>
      <c r="AF10" s="44">
        <f t="shared" si="8"/>
        <v>2930.3552000000004</v>
      </c>
      <c r="AG10" s="47">
        <f t="shared" si="4"/>
        <v>21578.355200000002</v>
      </c>
    </row>
    <row r="11" spans="1:35" s="1" customFormat="1" ht="30" customHeight="1" x14ac:dyDescent="0.25">
      <c r="A11" s="27">
        <v>92700203</v>
      </c>
      <c r="B11" s="28" t="str">
        <f>IF(Tabla1[[#This Row],[EXPEDIENTE]]&lt;&gt;"", GetData(Tabla1[[#This Row],[EXPEDIENTE]], 5), "")</f>
        <v>171</v>
      </c>
      <c r="C11" s="29" t="str">
        <f>IF(Tabla1[[#This Row],[EXPEDIENTE]]&lt;&gt;"", GetData(Tabla1[[#This Row],[EXPEDIENTE]], 3), "")</f>
        <v>19</v>
      </c>
      <c r="D11" s="30" t="str">
        <f>IF(Tabla1[[#This Row],[EXPEDIENTE]]&lt;&gt;"", GetData(Tabla1[[#This Row],[EXPEDIENTE]], 4), "")</f>
        <v>G0801</v>
      </c>
      <c r="E11" s="48" t="s">
        <v>45</v>
      </c>
      <c r="F11" s="32" t="str">
        <f>IF(Tabla1[[#This Row],[EXPEDIENTE]]&lt;&gt;"", GetData(Tabla1[[#This Row],[EXPEDIENTE]], 0), "VACANTE")</f>
        <v>ARCHUNDIA LÓPEZ DAVID</v>
      </c>
      <c r="G11" s="32" t="str">
        <f>IF(Tabla1[[#This Row],[EXPEDIENTE]]&lt;&gt;"", GetData(Tabla1[[#This Row],[EXPEDIENTE]], 1), "")</f>
        <v>SUBDIRECCIÓN JURÍDICA</v>
      </c>
      <c r="H11" s="32" t="str">
        <f>IF(Tabla1[[#This Row],[EXPEDIENTE]]&lt;&gt;"", GetData(Tabla1[[#This Row],[EXPEDIENTE]], 2), "")</f>
        <v>SUBDIRECTOR JURÍDICO</v>
      </c>
      <c r="I11" s="33" t="str">
        <f>IF(Tabla1[[#This Row],[EXPEDIENTE]]&lt;&gt;"", GetData(Tabla1[[#This Row],[EXPEDIENTE]], 6), "")</f>
        <v>AULD790114HPLRPV06</v>
      </c>
      <c r="J11" s="33" t="str">
        <f>IF(Tabla1[[#This Row],[EXPEDIENTE]]&lt;&gt;"", GetData(Tabla1[[#This Row],[EXPEDIENTE]], 7), "")</f>
        <v>AULD790114HT8</v>
      </c>
      <c r="K11" s="34" t="str">
        <f>IF(Tabla1[[#This Row],[EXPEDIENTE]]&lt;&gt;"", GetData(Tabla1[[#This Row],[EXPEDIENTE]], 8), "")</f>
        <v>ACTIVO</v>
      </c>
      <c r="L11" s="35" t="str">
        <f>IF(Tabla1[[#This Row],[EXPEDIENTE]]&lt;&gt;"", GetData(Tabla1[[#This Row],[EXPEDIENTE]], 9), "")</f>
        <v>01/01/2025</v>
      </c>
      <c r="M11" s="36">
        <v>30</v>
      </c>
      <c r="N11" s="30" t="s">
        <v>6</v>
      </c>
      <c r="O11" s="37" t="str">
        <f>IF(Tabla1[[#This Row],[EXPEDIENTE]]&lt;&gt;"", GetData(Tabla1[[#This Row],[EXPEDIENTE]], 10), "")</f>
        <v>H</v>
      </c>
      <c r="P11" s="38" t="str">
        <f>IF(Tabla1[[#This Row],[EXPEDIENTE]]&lt;&gt;"", GetData(Tabla1[[#This Row],[EXPEDIENTE]], 11), "")</f>
        <v>47</v>
      </c>
      <c r="Q11" s="39">
        <f>Tabla1[[#This Row],[SUELDO MENSUAL]]/30</f>
        <v>280.76</v>
      </c>
      <c r="R11" s="40">
        <v>8422.7999999999993</v>
      </c>
      <c r="S11" s="40">
        <v>284</v>
      </c>
      <c r="T11" s="40">
        <v>18000</v>
      </c>
      <c r="U11" s="40">
        <v>0</v>
      </c>
      <c r="V11" s="40">
        <v>0</v>
      </c>
      <c r="W11" s="41">
        <f t="shared" si="1"/>
        <v>26706.799999999999</v>
      </c>
      <c r="X11" s="42">
        <f t="shared" si="5"/>
        <v>3816.2248399999994</v>
      </c>
      <c r="Y11" s="40">
        <v>1101.82</v>
      </c>
      <c r="Z11" s="43">
        <f t="shared" si="6"/>
        <v>4918.0448399999996</v>
      </c>
      <c r="AA11" s="44">
        <f t="shared" si="7"/>
        <v>21788.755160000001</v>
      </c>
      <c r="AB11" s="45">
        <v>0.26</v>
      </c>
      <c r="AC11" s="45">
        <v>2203.6352000000002</v>
      </c>
      <c r="AD11" s="46">
        <f t="shared" si="2"/>
        <v>168.45599999999999</v>
      </c>
      <c r="AE11" s="45">
        <f t="shared" si="3"/>
        <v>801.20399999999995</v>
      </c>
      <c r="AF11" s="44">
        <f t="shared" si="8"/>
        <v>3173.2952000000005</v>
      </c>
      <c r="AG11" s="47">
        <f t="shared" si="4"/>
        <v>29880.0952</v>
      </c>
    </row>
    <row r="12" spans="1:35" s="1" customFormat="1" ht="30" customHeight="1" x14ac:dyDescent="0.25">
      <c r="A12" s="27">
        <v>92700236</v>
      </c>
      <c r="B12" s="28" t="str">
        <f>IF(Tabla1[[#This Row],[EXPEDIENTE]]&lt;&gt;"", GetData(Tabla1[[#This Row],[EXPEDIENTE]], 5), "")</f>
        <v>173</v>
      </c>
      <c r="C12" s="29" t="str">
        <f>IF(Tabla1[[#This Row],[EXPEDIENTE]]&lt;&gt;"", GetData(Tabla1[[#This Row],[EXPEDIENTE]], 3), "")</f>
        <v>69</v>
      </c>
      <c r="D12" s="30" t="str">
        <f>IF(Tabla1[[#This Row],[EXPEDIENTE]]&lt;&gt;"", GetData(Tabla1[[#This Row],[EXPEDIENTE]], 4), "")</f>
        <v>G0805</v>
      </c>
      <c r="E12" s="48" t="s">
        <v>46</v>
      </c>
      <c r="F12" s="32" t="str">
        <f>IF(Tabla1[[#This Row],[EXPEDIENTE]]&lt;&gt;"", GetData(Tabla1[[#This Row],[EXPEDIENTE]], 0), "VACANTE")</f>
        <v>GONZALEZ JUAREZ JOSE CARLOS</v>
      </c>
      <c r="G12" s="32" t="str">
        <f>IF(Tabla1[[#This Row],[EXPEDIENTE]]&lt;&gt;"", GetData(Tabla1[[#This Row],[EXPEDIENTE]], 1), "")</f>
        <v>SUBDIRECCIÓN JURÍDICA</v>
      </c>
      <c r="H12" s="32" t="str">
        <f>IF(Tabla1[[#This Row],[EXPEDIENTE]]&lt;&gt;"", GetData(Tabla1[[#This Row],[EXPEDIENTE]], 2), "")</f>
        <v>Jefe de Departamento Contencioso</v>
      </c>
      <c r="I12" s="33" t="str">
        <f>IF(Tabla1[[#This Row],[EXPEDIENTE]]&lt;&gt;"", GetData(Tabla1[[#This Row],[EXPEDIENTE]], 6), "")</f>
        <v>GOJC881118HMCNRR09</v>
      </c>
      <c r="J12" s="33" t="str">
        <f>IF(Tabla1[[#This Row],[EXPEDIENTE]]&lt;&gt;"", GetData(Tabla1[[#This Row],[EXPEDIENTE]], 7), "")</f>
        <v>GOJC881118R12</v>
      </c>
      <c r="K12" s="34" t="str">
        <f>IF(Tabla1[[#This Row],[EXPEDIENTE]]&lt;&gt;"", GetData(Tabla1[[#This Row],[EXPEDIENTE]], 8), "")</f>
        <v>ACTIVO</v>
      </c>
      <c r="L12" s="35" t="str">
        <f>IF(Tabla1[[#This Row],[EXPEDIENTE]]&lt;&gt;"", GetData(Tabla1[[#This Row],[EXPEDIENTE]], 9), "")</f>
        <v>01/03/2025</v>
      </c>
      <c r="M12" s="36">
        <v>30</v>
      </c>
      <c r="N12" s="30" t="s">
        <v>6</v>
      </c>
      <c r="O12" s="37" t="str">
        <f>IF(Tabla1[[#This Row],[EXPEDIENTE]]&lt;&gt;"", GetData(Tabla1[[#This Row],[EXPEDIENTE]], 10), "")</f>
        <v>H</v>
      </c>
      <c r="P12" s="38" t="str">
        <f>IF(Tabla1[[#This Row],[EXPEDIENTE]]&lt;&gt;"", GetData(Tabla1[[#This Row],[EXPEDIENTE]], 11), "")</f>
        <v>37</v>
      </c>
      <c r="Q12" s="39">
        <f>Tabla1[[#This Row],[SUELDO MENSUAL]]/30</f>
        <v>278.8</v>
      </c>
      <c r="R12" s="40">
        <v>8364</v>
      </c>
      <c r="S12" s="40">
        <v>284</v>
      </c>
      <c r="T12" s="40">
        <v>11283.14</v>
      </c>
      <c r="U12" s="40">
        <v>0</v>
      </c>
      <c r="V12" s="40">
        <v>0</v>
      </c>
      <c r="W12" s="41">
        <f t="shared" si="1"/>
        <v>19931.14</v>
      </c>
      <c r="X12" s="42">
        <f t="shared" si="5"/>
        <v>2368.9438639999994</v>
      </c>
      <c r="Y12" s="40">
        <f>(Q12*30.4)*13%</f>
        <v>1101.8176000000001</v>
      </c>
      <c r="Z12" s="43">
        <f t="shared" si="6"/>
        <v>3470.7614639999993</v>
      </c>
      <c r="AA12" s="44">
        <f t="shared" si="7"/>
        <v>16460.378536</v>
      </c>
      <c r="AB12" s="45">
        <v>0.26</v>
      </c>
      <c r="AC12" s="45">
        <f>(Q12*30.4)*AB12</f>
        <v>2203.6352000000002</v>
      </c>
      <c r="AD12" s="46">
        <f t="shared" si="2"/>
        <v>167.28</v>
      </c>
      <c r="AE12" s="45">
        <f t="shared" si="3"/>
        <v>597.93419999999992</v>
      </c>
      <c r="AF12" s="44">
        <f t="shared" si="8"/>
        <v>2968.8494000000001</v>
      </c>
      <c r="AG12" s="47">
        <f t="shared" si="4"/>
        <v>22899.989399999999</v>
      </c>
    </row>
    <row r="13" spans="1:35" s="1" customFormat="1" ht="30" customHeight="1" x14ac:dyDescent="0.25">
      <c r="A13" s="27"/>
      <c r="B13" s="28" t="str">
        <f>IF(Tabla1[[#This Row],[EXPEDIENTE]]&lt;&gt;"", GetData(Tabla1[[#This Row],[EXPEDIENTE]], 5), "")</f>
        <v/>
      </c>
      <c r="C13" s="29" t="str">
        <f>IF(Tabla1[[#This Row],[EXPEDIENTE]]&lt;&gt;"", GetData(Tabla1[[#This Row],[EXPEDIENTE]], 3), "")</f>
        <v/>
      </c>
      <c r="D13" s="30" t="str">
        <f>IF(Tabla1[[#This Row],[EXPEDIENTE]]&lt;&gt;"", GetData(Tabla1[[#This Row],[EXPEDIENTE]], 4), "")</f>
        <v/>
      </c>
      <c r="E13" s="48" t="s">
        <v>47</v>
      </c>
      <c r="F13" s="32" t="str">
        <f>IF(Tabla1[[#This Row],[EXPEDIENTE]]&lt;&gt;"", GetData(Tabla1[[#This Row],[EXPEDIENTE]], 0), "VACANTE")</f>
        <v>VACANTE</v>
      </c>
      <c r="G13" s="32" t="str">
        <f>IF(Tabla1[[#This Row],[EXPEDIENTE]]&lt;&gt;"", GetData(Tabla1[[#This Row],[EXPEDIENTE]], 1), "")</f>
        <v/>
      </c>
      <c r="H13" s="32" t="str">
        <f>IF(Tabla1[[#This Row],[EXPEDIENTE]]&lt;&gt;"", GetData(Tabla1[[#This Row],[EXPEDIENTE]], 2), "")</f>
        <v/>
      </c>
      <c r="I13" s="33" t="str">
        <f>IF(Tabla1[[#This Row],[EXPEDIENTE]]&lt;&gt;"", GetData(Tabla1[[#This Row],[EXPEDIENTE]], 6), "")</f>
        <v/>
      </c>
      <c r="J13" s="33" t="str">
        <f>IF(Tabla1[[#This Row],[EXPEDIENTE]]&lt;&gt;"", GetData(Tabla1[[#This Row],[EXPEDIENTE]], 7), "")</f>
        <v/>
      </c>
      <c r="K13" s="34" t="str">
        <f>IF(Tabla1[[#This Row],[EXPEDIENTE]]&lt;&gt;"", GetData(Tabla1[[#This Row],[EXPEDIENTE]], 8), "")</f>
        <v/>
      </c>
      <c r="L13" s="35" t="str">
        <f>IF(Tabla1[[#This Row],[EXPEDIENTE]]&lt;&gt;"", GetData(Tabla1[[#This Row],[EXPEDIENTE]], 9), "")</f>
        <v/>
      </c>
      <c r="M13" s="36">
        <v>30</v>
      </c>
      <c r="N13" s="30" t="s">
        <v>6</v>
      </c>
      <c r="O13" s="37" t="str">
        <f>IF(Tabla1[[#This Row],[EXPEDIENTE]]&lt;&gt;"", GetData(Tabla1[[#This Row],[EXPEDIENTE]], 10), "")</f>
        <v/>
      </c>
      <c r="P13" s="38" t="str">
        <f>IF(Tabla1[[#This Row],[EXPEDIENTE]]&lt;&gt;"", GetData(Tabla1[[#This Row],[EXPEDIENTE]], 11), "")</f>
        <v/>
      </c>
      <c r="Q13" s="39">
        <f>Tabla1[[#This Row],[SUELDO MENSUAL]]/30</f>
        <v>278.8</v>
      </c>
      <c r="R13" s="40">
        <v>8364</v>
      </c>
      <c r="S13" s="40">
        <v>284</v>
      </c>
      <c r="T13" s="40">
        <v>10000</v>
      </c>
      <c r="U13" s="40">
        <v>0</v>
      </c>
      <c r="V13" s="40">
        <v>0</v>
      </c>
      <c r="W13" s="41">
        <f t="shared" si="1"/>
        <v>18648</v>
      </c>
      <c r="X13" s="42">
        <f t="shared" si="5"/>
        <v>2094.8651599999994</v>
      </c>
      <c r="Y13" s="40">
        <f>(Q13*30.4)*13%</f>
        <v>1101.8176000000001</v>
      </c>
      <c r="Z13" s="43">
        <f t="shared" si="6"/>
        <v>3196.6827599999997</v>
      </c>
      <c r="AA13" s="44">
        <f t="shared" si="7"/>
        <v>15451.31724</v>
      </c>
      <c r="AB13" s="45">
        <v>0.26</v>
      </c>
      <c r="AC13" s="45">
        <f>(Q13*30.4)*AB13</f>
        <v>2203.6352000000002</v>
      </c>
      <c r="AD13" s="46">
        <f t="shared" si="2"/>
        <v>167.28</v>
      </c>
      <c r="AE13" s="45">
        <f t="shared" si="3"/>
        <v>559.43999999999994</v>
      </c>
      <c r="AF13" s="44">
        <f t="shared" si="8"/>
        <v>2930.3552000000004</v>
      </c>
      <c r="AG13" s="47">
        <f t="shared" si="4"/>
        <v>21578.355200000002</v>
      </c>
    </row>
    <row r="14" spans="1:35" s="1" customFormat="1" ht="30" customHeight="1" x14ac:dyDescent="0.25">
      <c r="A14" s="27">
        <v>92700202</v>
      </c>
      <c r="B14" s="28" t="str">
        <f>IF(Tabla1[[#This Row],[EXPEDIENTE]]&lt;&gt;"", GetData(Tabla1[[#This Row],[EXPEDIENTE]], 5), "")</f>
        <v>174</v>
      </c>
      <c r="C14" s="29" t="str">
        <f>IF(Tabla1[[#This Row],[EXPEDIENTE]]&lt;&gt;"", GetData(Tabla1[[#This Row],[EXPEDIENTE]], 3), "")</f>
        <v>23</v>
      </c>
      <c r="D14" s="30" t="str">
        <f>IF(Tabla1[[#This Row],[EXPEDIENTE]]&lt;&gt;"", GetData(Tabla1[[#This Row],[EXPEDIENTE]], 4), "")</f>
        <v>G0501</v>
      </c>
      <c r="E14" s="48" t="s">
        <v>48</v>
      </c>
      <c r="F14" s="32" t="str">
        <f>IF(Tabla1[[#This Row],[EXPEDIENTE]]&lt;&gt;"", GetData(Tabla1[[#This Row],[EXPEDIENTE]], 0), "VACANTE")</f>
        <v>MENDEZ SANTOS LUZ TERESA</v>
      </c>
      <c r="G14" s="32" t="str">
        <f>IF(Tabla1[[#This Row],[EXPEDIENTE]]&lt;&gt;"", GetData(Tabla1[[#This Row],[EXPEDIENTE]], 1), "")</f>
        <v>DIRECCIÓN DE DESARROLLO CON IDENTIDAD INDÍGENA</v>
      </c>
      <c r="H14" s="32" t="str">
        <f>IF(Tabla1[[#This Row],[EXPEDIENTE]]&lt;&gt;"", GetData(Tabla1[[#This Row],[EXPEDIENTE]], 2), "")</f>
        <v>Directora de Desarrollo con Identidad Indígena</v>
      </c>
      <c r="I14" s="33" t="str">
        <f>IF(Tabla1[[#This Row],[EXPEDIENTE]]&lt;&gt;"", GetData(Tabla1[[#This Row],[EXPEDIENTE]], 6), "")</f>
        <v>MESL790513MPLNNZ01</v>
      </c>
      <c r="J14" s="33" t="str">
        <f>IF(Tabla1[[#This Row],[EXPEDIENTE]]&lt;&gt;"", GetData(Tabla1[[#This Row],[EXPEDIENTE]], 7), "")</f>
        <v>MESL790513TZ4</v>
      </c>
      <c r="K14" s="34" t="str">
        <f>IF(Tabla1[[#This Row],[EXPEDIENTE]]&lt;&gt;"", GetData(Tabla1[[#This Row],[EXPEDIENTE]], 8), "")</f>
        <v>ACTIVO</v>
      </c>
      <c r="L14" s="35" t="str">
        <f>IF(Tabla1[[#This Row],[EXPEDIENTE]]&lt;&gt;"", GetData(Tabla1[[#This Row],[EXPEDIENTE]], 9), "")</f>
        <v>01/01/2025</v>
      </c>
      <c r="M14" s="36">
        <v>30</v>
      </c>
      <c r="N14" s="30" t="s">
        <v>6</v>
      </c>
      <c r="O14" s="37" t="str">
        <f>IF(Tabla1[[#This Row],[EXPEDIENTE]]&lt;&gt;"", GetData(Tabla1[[#This Row],[EXPEDIENTE]], 10), "")</f>
        <v>M</v>
      </c>
      <c r="P14" s="38" t="str">
        <f>IF(Tabla1[[#This Row],[EXPEDIENTE]]&lt;&gt;"", GetData(Tabla1[[#This Row],[EXPEDIENTE]], 11), "")</f>
        <v>46</v>
      </c>
      <c r="Q14" s="39">
        <f>Tabla1[[#This Row],[SUELDO MENSUAL]]/30</f>
        <v>492.46</v>
      </c>
      <c r="R14" s="40">
        <v>14773.8</v>
      </c>
      <c r="S14" s="40">
        <v>284</v>
      </c>
      <c r="T14" s="40">
        <v>26400</v>
      </c>
      <c r="U14" s="40">
        <v>0</v>
      </c>
      <c r="V14" s="40">
        <v>0</v>
      </c>
      <c r="W14" s="41">
        <f t="shared" si="1"/>
        <v>41457.800000000003</v>
      </c>
      <c r="X14" s="42">
        <f t="shared" si="5"/>
        <v>7098.6945920000016</v>
      </c>
      <c r="Y14" s="40">
        <f>R14*13%</f>
        <v>1920.5940000000001</v>
      </c>
      <c r="Z14" s="43">
        <f t="shared" si="6"/>
        <v>9019.2885920000008</v>
      </c>
      <c r="AA14" s="44">
        <f t="shared" si="7"/>
        <v>32438.511408000002</v>
      </c>
      <c r="AB14" s="45">
        <v>0.26</v>
      </c>
      <c r="AC14" s="45">
        <f>R14*AB14</f>
        <v>3841.1880000000001</v>
      </c>
      <c r="AD14" s="46">
        <f t="shared" si="2"/>
        <v>295.476</v>
      </c>
      <c r="AE14" s="45">
        <f t="shared" si="3"/>
        <v>1243.7340000000002</v>
      </c>
      <c r="AF14" s="44">
        <f t="shared" si="8"/>
        <v>5380.3980000000001</v>
      </c>
      <c r="AG14" s="47">
        <f t="shared" si="4"/>
        <v>46838.198000000004</v>
      </c>
    </row>
    <row r="15" spans="1:35" s="1" customFormat="1" ht="30" customHeight="1" x14ac:dyDescent="0.25">
      <c r="A15" s="27">
        <v>92700181</v>
      </c>
      <c r="B15" s="28" t="str">
        <f>IF(Tabla1[[#This Row],[EXPEDIENTE]]&lt;&gt;"", GetData(Tabla1[[#This Row],[EXPEDIENTE]], 5), "")</f>
        <v>175</v>
      </c>
      <c r="C15" s="29" t="str">
        <f>IF(Tabla1[[#This Row],[EXPEDIENTE]]&lt;&gt;"", GetData(Tabla1[[#This Row],[EXPEDIENTE]], 3), "")</f>
        <v>25</v>
      </c>
      <c r="D15" s="30" t="str">
        <f>IF(Tabla1[[#This Row],[EXPEDIENTE]]&lt;&gt;"", GetData(Tabla1[[#This Row],[EXPEDIENTE]], 4), "")</f>
        <v>G0805</v>
      </c>
      <c r="E15" s="48" t="s">
        <v>49</v>
      </c>
      <c r="F15" s="32" t="str">
        <f>IF(Tabla1[[#This Row],[EXPEDIENTE]]&lt;&gt;"", GetData(Tabla1[[#This Row],[EXPEDIENTE]], 0), "VACANTE")</f>
        <v>MORALES CARRETERO JOSE ALBERTO</v>
      </c>
      <c r="G15" s="32" t="str">
        <f>IF(Tabla1[[#This Row],[EXPEDIENTE]]&lt;&gt;"", GetData(Tabla1[[#This Row],[EXPEDIENTE]], 1), "")</f>
        <v>DIRECCIÓN DE DIÁLOGO Y CONCERTACIÓN</v>
      </c>
      <c r="H15" s="32" t="str">
        <f>IF(Tabla1[[#This Row],[EXPEDIENTE]]&lt;&gt;"", GetData(Tabla1[[#This Row],[EXPEDIENTE]], 2), "")</f>
        <v>JEFE DE DEPARTAMENTO DE INFRAESTRUCTURA INDÍGENA</v>
      </c>
      <c r="I15" s="33" t="str">
        <f>IF(Tabla1[[#This Row],[EXPEDIENTE]]&lt;&gt;"", GetData(Tabla1[[#This Row],[EXPEDIENTE]], 6), "")</f>
        <v>MOCA980205HPLRRL01</v>
      </c>
      <c r="J15" s="33" t="str">
        <f>IF(Tabla1[[#This Row],[EXPEDIENTE]]&lt;&gt;"", GetData(Tabla1[[#This Row],[EXPEDIENTE]], 7), "")</f>
        <v>MOCA980205324</v>
      </c>
      <c r="K15" s="34" t="str">
        <f>IF(Tabla1[[#This Row],[EXPEDIENTE]]&lt;&gt;"", GetData(Tabla1[[#This Row],[EXPEDIENTE]], 8), "")</f>
        <v>ACTIVO</v>
      </c>
      <c r="L15" s="35" t="str">
        <f>IF(Tabla1[[#This Row],[EXPEDIENTE]]&lt;&gt;"", GetData(Tabla1[[#This Row],[EXPEDIENTE]], 9), "")</f>
        <v/>
      </c>
      <c r="M15" s="36">
        <v>30</v>
      </c>
      <c r="N15" s="30" t="s">
        <v>6</v>
      </c>
      <c r="O15" s="37" t="str">
        <f>IF(Tabla1[[#This Row],[EXPEDIENTE]]&lt;&gt;"", GetData(Tabla1[[#This Row],[EXPEDIENTE]], 10), "")</f>
        <v>H</v>
      </c>
      <c r="P15" s="38" t="str">
        <f>IF(Tabla1[[#This Row],[EXPEDIENTE]]&lt;&gt;"", GetData(Tabla1[[#This Row],[EXPEDIENTE]], 11), "")</f>
        <v>27</v>
      </c>
      <c r="Q15" s="39">
        <f>Tabla1[[#This Row],[SUELDO MENSUAL]]/30</f>
        <v>278.8</v>
      </c>
      <c r="R15" s="40">
        <v>8364</v>
      </c>
      <c r="S15" s="40">
        <v>284</v>
      </c>
      <c r="T15" s="40">
        <v>11283.14</v>
      </c>
      <c r="U15" s="40">
        <v>0</v>
      </c>
      <c r="V15" s="40">
        <v>0</v>
      </c>
      <c r="W15" s="41">
        <f t="shared" si="1"/>
        <v>19931.14</v>
      </c>
      <c r="X15" s="42">
        <f t="shared" si="5"/>
        <v>2368.9438639999994</v>
      </c>
      <c r="Y15" s="40">
        <f>(Q15*30.4)*13%</f>
        <v>1101.8176000000001</v>
      </c>
      <c r="Z15" s="43">
        <f t="shared" si="6"/>
        <v>3470.7614639999993</v>
      </c>
      <c r="AA15" s="44">
        <f t="shared" si="7"/>
        <v>16460.378536</v>
      </c>
      <c r="AB15" s="45">
        <v>0.26</v>
      </c>
      <c r="AC15" s="45">
        <f>(Q15*30.4)*AB15</f>
        <v>2203.6352000000002</v>
      </c>
      <c r="AD15" s="46">
        <f t="shared" si="2"/>
        <v>167.28</v>
      </c>
      <c r="AE15" s="45">
        <f t="shared" si="3"/>
        <v>597.93419999999992</v>
      </c>
      <c r="AF15" s="44">
        <f t="shared" si="8"/>
        <v>2968.8494000000001</v>
      </c>
      <c r="AG15" s="47">
        <f t="shared" si="4"/>
        <v>22899.989399999999</v>
      </c>
    </row>
    <row r="16" spans="1:35" s="1" customFormat="1" ht="30" customHeight="1" x14ac:dyDescent="0.25">
      <c r="A16" s="27"/>
      <c r="B16" s="28" t="str">
        <f>IF(Tabla1[[#This Row],[EXPEDIENTE]]&lt;&gt;"", GetData(Tabla1[[#This Row],[EXPEDIENTE]], 5), "")</f>
        <v/>
      </c>
      <c r="C16" s="29" t="str">
        <f>IF(Tabla1[[#This Row],[EXPEDIENTE]]&lt;&gt;"", GetData(Tabla1[[#This Row],[EXPEDIENTE]], 3), "")</f>
        <v/>
      </c>
      <c r="D16" s="30" t="str">
        <f>IF(Tabla1[[#This Row],[EXPEDIENTE]]&lt;&gt;"", GetData(Tabla1[[#This Row],[EXPEDIENTE]], 4), "")</f>
        <v/>
      </c>
      <c r="E16" s="31" t="s">
        <v>44</v>
      </c>
      <c r="F16" s="32" t="str">
        <f>IF(Tabla1[[#This Row],[EXPEDIENTE]]&lt;&gt;"", GetData(Tabla1[[#This Row],[EXPEDIENTE]], 0), "VACANTE")</f>
        <v>VACANTE</v>
      </c>
      <c r="G16" s="32" t="str">
        <f>IF(Tabla1[[#This Row],[EXPEDIENTE]]&lt;&gt;"", GetData(Tabla1[[#This Row],[EXPEDIENTE]], 1), "")</f>
        <v/>
      </c>
      <c r="H16" s="32" t="str">
        <f>IF(Tabla1[[#This Row],[EXPEDIENTE]]&lt;&gt;"", GetData(Tabla1[[#This Row],[EXPEDIENTE]], 2), "")</f>
        <v/>
      </c>
      <c r="I16" s="33" t="str">
        <f>IF(Tabla1[[#This Row],[EXPEDIENTE]]&lt;&gt;"", GetData(Tabla1[[#This Row],[EXPEDIENTE]], 6), "")</f>
        <v/>
      </c>
      <c r="J16" s="33" t="str">
        <f>IF(Tabla1[[#This Row],[EXPEDIENTE]]&lt;&gt;"", GetData(Tabla1[[#This Row],[EXPEDIENTE]], 7), "")</f>
        <v/>
      </c>
      <c r="K16" s="34" t="str">
        <f>IF(Tabla1[[#This Row],[EXPEDIENTE]]&lt;&gt;"", GetData(Tabla1[[#This Row],[EXPEDIENTE]], 8), "")</f>
        <v/>
      </c>
      <c r="L16" s="35" t="str">
        <f>IF(Tabla1[[#This Row],[EXPEDIENTE]]&lt;&gt;"", GetData(Tabla1[[#This Row],[EXPEDIENTE]], 9), "")</f>
        <v/>
      </c>
      <c r="M16" s="36">
        <v>30</v>
      </c>
      <c r="N16" s="30" t="s">
        <v>6</v>
      </c>
      <c r="O16" s="37" t="str">
        <f>IF(Tabla1[[#This Row],[EXPEDIENTE]]&lt;&gt;"", GetData(Tabla1[[#This Row],[EXPEDIENTE]], 10), "")</f>
        <v/>
      </c>
      <c r="P16" s="38" t="str">
        <f>IF(Tabla1[[#This Row],[EXPEDIENTE]]&lt;&gt;"", GetData(Tabla1[[#This Row],[EXPEDIENTE]], 11), "")</f>
        <v/>
      </c>
      <c r="Q16" s="39">
        <f>Tabla1[[#This Row],[SUELDO MENSUAL]]/30</f>
        <v>278.8</v>
      </c>
      <c r="R16" s="40">
        <v>8364</v>
      </c>
      <c r="S16" s="40">
        <v>284</v>
      </c>
      <c r="T16" s="40">
        <v>6016</v>
      </c>
      <c r="U16" s="40">
        <v>0</v>
      </c>
      <c r="V16" s="40">
        <v>0</v>
      </c>
      <c r="W16" s="41">
        <f t="shared" si="1"/>
        <v>14664</v>
      </c>
      <c r="X16" s="42">
        <f t="shared" si="5"/>
        <v>1342.6075200000002</v>
      </c>
      <c r="Y16" s="40">
        <f>(Q16*30.4)*13%</f>
        <v>1101.8176000000001</v>
      </c>
      <c r="Z16" s="43">
        <f t="shared" si="6"/>
        <v>2444.4251200000003</v>
      </c>
      <c r="AA16" s="44">
        <f t="shared" si="7"/>
        <v>12219.57488</v>
      </c>
      <c r="AB16" s="45">
        <v>0.26</v>
      </c>
      <c r="AC16" s="45">
        <f>(Q16*30.4)*AB16</f>
        <v>2203.6352000000002</v>
      </c>
      <c r="AD16" s="46">
        <f t="shared" si="2"/>
        <v>167.28</v>
      </c>
      <c r="AE16" s="45">
        <f t="shared" si="3"/>
        <v>439.91999999999996</v>
      </c>
      <c r="AF16" s="44">
        <f t="shared" si="8"/>
        <v>2810.8352000000004</v>
      </c>
      <c r="AG16" s="47">
        <f t="shared" si="4"/>
        <v>17474.835200000001</v>
      </c>
    </row>
    <row r="17" spans="1:33" s="14" customFormat="1" ht="30" customHeight="1" x14ac:dyDescent="0.25">
      <c r="A17" s="27">
        <v>92700209</v>
      </c>
      <c r="B17" s="28" t="str">
        <f>IF(Tabla1[[#This Row],[EXPEDIENTE]]&lt;&gt;"", GetData(Tabla1[[#This Row],[EXPEDIENTE]], 5), "")</f>
        <v>177</v>
      </c>
      <c r="C17" s="29" t="str">
        <f>IF(Tabla1[[#This Row],[EXPEDIENTE]]&lt;&gt;"", GetData(Tabla1[[#This Row],[EXPEDIENTE]], 3), "")</f>
        <v>27</v>
      </c>
      <c r="D17" s="30" t="str">
        <f>IF(Tabla1[[#This Row],[EXPEDIENTE]]&lt;&gt;"", GetData(Tabla1[[#This Row],[EXPEDIENTE]], 4), "")</f>
        <v>G0805</v>
      </c>
      <c r="E17" s="48" t="s">
        <v>33</v>
      </c>
      <c r="F17" s="32" t="str">
        <f>IF(Tabla1[[#This Row],[EXPEDIENTE]]&lt;&gt;"", GetData(Tabla1[[#This Row],[EXPEDIENTE]], 0), "VACANTE")</f>
        <v>CUADRADO GALEANO AMADEUZ</v>
      </c>
      <c r="G17" s="32" t="str">
        <f>IF(Tabla1[[#This Row],[EXPEDIENTE]]&lt;&gt;"", GetData(Tabla1[[#This Row],[EXPEDIENTE]], 1), "")</f>
        <v>DIRECCIÓN DE DESARROLLO CON IDENTIDAD INDÍGENA</v>
      </c>
      <c r="H17" s="32" t="str">
        <f>IF(Tabla1[[#This Row],[EXPEDIENTE]]&lt;&gt;"", GetData(Tabla1[[#This Row],[EXPEDIENTE]], 2), "")</f>
        <v>JEFE DE DEPARTAMENTO DE PLANEACIÓN TERRITORIAL</v>
      </c>
      <c r="I17" s="33" t="str">
        <f>IF(Tabla1[[#This Row],[EXPEDIENTE]]&lt;&gt;"", GetData(Tabla1[[#This Row],[EXPEDIENTE]], 6), "")</f>
        <v>CUGA941124HPLDLM05</v>
      </c>
      <c r="J17" s="33" t="str">
        <f>IF(Tabla1[[#This Row],[EXPEDIENTE]]&lt;&gt;"", GetData(Tabla1[[#This Row],[EXPEDIENTE]], 7), "")</f>
        <v>CUGA9411245S5</v>
      </c>
      <c r="K17" s="34" t="str">
        <f>IF(Tabla1[[#This Row],[EXPEDIENTE]]&lt;&gt;"", GetData(Tabla1[[#This Row],[EXPEDIENTE]], 8), "")</f>
        <v>ACTIVO</v>
      </c>
      <c r="L17" s="35" t="str">
        <f>IF(Tabla1[[#This Row],[EXPEDIENTE]]&lt;&gt;"", GetData(Tabla1[[#This Row],[EXPEDIENTE]], 9), "")</f>
        <v>01/01/2025</v>
      </c>
      <c r="M17" s="36">
        <v>30</v>
      </c>
      <c r="N17" s="37" t="s">
        <v>6</v>
      </c>
      <c r="O17" s="37" t="str">
        <f>IF(Tabla1[[#This Row],[EXPEDIENTE]]&lt;&gt;"", GetData(Tabla1[[#This Row],[EXPEDIENTE]], 10), "")</f>
        <v>H</v>
      </c>
      <c r="P17" s="38" t="str">
        <f>IF(Tabla1[[#This Row],[EXPEDIENTE]]&lt;&gt;"", GetData(Tabla1[[#This Row],[EXPEDIENTE]], 11), "")</f>
        <v>31</v>
      </c>
      <c r="Q17" s="39">
        <f>Tabla1[[#This Row],[SUELDO MENSUAL]]/30</f>
        <v>278.8</v>
      </c>
      <c r="R17" s="40">
        <v>8364</v>
      </c>
      <c r="S17" s="40">
        <v>284</v>
      </c>
      <c r="T17" s="40">
        <v>11283.14</v>
      </c>
      <c r="U17" s="40">
        <v>0</v>
      </c>
      <c r="V17" s="40">
        <v>0</v>
      </c>
      <c r="W17" s="41">
        <f t="shared" si="1"/>
        <v>19931.14</v>
      </c>
      <c r="X17" s="42">
        <f t="shared" si="5"/>
        <v>2368.9438639999994</v>
      </c>
      <c r="Y17" s="40">
        <f>(Q17*30.4)*13%</f>
        <v>1101.8176000000001</v>
      </c>
      <c r="Z17" s="43">
        <f t="shared" si="6"/>
        <v>3470.7614639999993</v>
      </c>
      <c r="AA17" s="44">
        <f t="shared" si="7"/>
        <v>16460.378536</v>
      </c>
      <c r="AB17" s="45">
        <v>0.26</v>
      </c>
      <c r="AC17" s="45">
        <f>(Q17*30.4)*AB17</f>
        <v>2203.6352000000002</v>
      </c>
      <c r="AD17" s="46">
        <f t="shared" si="2"/>
        <v>167.28</v>
      </c>
      <c r="AE17" s="45">
        <f t="shared" si="3"/>
        <v>597.93419999999992</v>
      </c>
      <c r="AF17" s="44">
        <f t="shared" si="8"/>
        <v>2968.8494000000001</v>
      </c>
      <c r="AG17" s="47">
        <f t="shared" si="4"/>
        <v>22899.989399999999</v>
      </c>
    </row>
    <row r="18" spans="1:33" s="1" customFormat="1" ht="30" customHeight="1" x14ac:dyDescent="0.25">
      <c r="A18" s="27">
        <v>92700234</v>
      </c>
      <c r="B18" s="28" t="str">
        <f>IF(Tabla1[[#This Row],[EXPEDIENTE]]&lt;&gt;"", GetData(Tabla1[[#This Row],[EXPEDIENTE]], 5), "")</f>
        <v>177</v>
      </c>
      <c r="C18" s="29" t="str">
        <f>IF(Tabla1[[#This Row],[EXPEDIENTE]]&lt;&gt;"", GetData(Tabla1[[#This Row],[EXPEDIENTE]], 3), "")</f>
        <v>6</v>
      </c>
      <c r="D18" s="30" t="str">
        <f>IF(Tabla1[[#This Row],[EXPEDIENTE]]&lt;&gt;"", GetData(Tabla1[[#This Row],[EXPEDIENTE]], 4), "")</f>
        <v>G0808</v>
      </c>
      <c r="E18" s="48" t="s">
        <v>80</v>
      </c>
      <c r="F18" s="32" t="str">
        <f>IF(Tabla1[[#This Row],[EXPEDIENTE]]&lt;&gt;"", GetData(Tabla1[[#This Row],[EXPEDIENTE]], 0), "VACANTE")</f>
        <v>PEREZ FLORENTINO UZIEL</v>
      </c>
      <c r="G18" s="32" t="str">
        <f>IF(Tabla1[[#This Row],[EXPEDIENTE]]&lt;&gt;"", GetData(Tabla1[[#This Row],[EXPEDIENTE]], 1), "")</f>
        <v>DIRECCIÓN DE DESARROLLO CON IDENTIDAD INDÍGENA</v>
      </c>
      <c r="H18" s="32" t="str">
        <f>IF(Tabla1[[#This Row],[EXPEDIENTE]]&lt;&gt;"", GetData(Tabla1[[#This Row],[EXPEDIENTE]], 2), "")</f>
        <v>Analista Especializado Consultivo C</v>
      </c>
      <c r="I18" s="33" t="str">
        <f>IF(Tabla1[[#This Row],[EXPEDIENTE]]&lt;&gt;"", GetData(Tabla1[[#This Row],[EXPEDIENTE]], 6), "")</f>
        <v>PEFU900128HPLRLZ04</v>
      </c>
      <c r="J18" s="33" t="str">
        <f>IF(Tabla1[[#This Row],[EXPEDIENTE]]&lt;&gt;"", GetData(Tabla1[[#This Row],[EXPEDIENTE]], 7), "")</f>
        <v>PEFU900128T85</v>
      </c>
      <c r="K18" s="34" t="str">
        <f>IF(Tabla1[[#This Row],[EXPEDIENTE]]&lt;&gt;"", GetData(Tabla1[[#This Row],[EXPEDIENTE]], 8), "")</f>
        <v>ACTIVO</v>
      </c>
      <c r="L18" s="35" t="str">
        <f>IF(Tabla1[[#This Row],[EXPEDIENTE]]&lt;&gt;"", GetData(Tabla1[[#This Row],[EXPEDIENTE]], 9), "")</f>
        <v/>
      </c>
      <c r="M18" s="36">
        <v>30</v>
      </c>
      <c r="N18" s="30" t="s">
        <v>6</v>
      </c>
      <c r="O18" s="37" t="str">
        <f>IF(Tabla1[[#This Row],[EXPEDIENTE]]&lt;&gt;"", GetData(Tabla1[[#This Row],[EXPEDIENTE]], 10), "")</f>
        <v>H</v>
      </c>
      <c r="P18" s="38" t="str">
        <f>IF(Tabla1[[#This Row],[EXPEDIENTE]]&lt;&gt;"", GetData(Tabla1[[#This Row],[EXPEDIENTE]], 11), "")</f>
        <v>35</v>
      </c>
      <c r="Q18" s="39">
        <f>Tabla1[[#This Row],[SUELDO MENSUAL]]/30</f>
        <v>278.8</v>
      </c>
      <c r="R18" s="40">
        <v>8364</v>
      </c>
      <c r="S18" s="40">
        <v>284</v>
      </c>
      <c r="T18" s="40">
        <v>10000</v>
      </c>
      <c r="U18" s="40">
        <v>0</v>
      </c>
      <c r="V18" s="40">
        <v>0</v>
      </c>
      <c r="W18" s="41">
        <f t="shared" si="1"/>
        <v>18648</v>
      </c>
      <c r="X18" s="42">
        <f t="shared" si="5"/>
        <v>2094.8651599999994</v>
      </c>
      <c r="Y18" s="40">
        <f>(Q18*30.4)*13%</f>
        <v>1101.8176000000001</v>
      </c>
      <c r="Z18" s="43">
        <f t="shared" si="6"/>
        <v>3196.6827599999997</v>
      </c>
      <c r="AA18" s="44">
        <f t="shared" si="7"/>
        <v>15451.31724</v>
      </c>
      <c r="AB18" s="45">
        <v>0.26</v>
      </c>
      <c r="AC18" s="45">
        <f>(Q18*30.4)*AB18</f>
        <v>2203.6352000000002</v>
      </c>
      <c r="AD18" s="46">
        <f t="shared" si="2"/>
        <v>167.28</v>
      </c>
      <c r="AE18" s="45">
        <f t="shared" si="3"/>
        <v>559.43999999999994</v>
      </c>
      <c r="AF18" s="44">
        <f t="shared" si="8"/>
        <v>2930.3552000000004</v>
      </c>
      <c r="AG18" s="47">
        <f t="shared" si="4"/>
        <v>21578.355200000002</v>
      </c>
    </row>
    <row r="19" spans="1:33" s="1" customFormat="1" ht="30" customHeight="1" x14ac:dyDescent="0.25">
      <c r="A19" s="27"/>
      <c r="B19" s="28" t="str">
        <f>IF(Tabla1[[#This Row],[EXPEDIENTE]]&lt;&gt;"", GetData(Tabla1[[#This Row],[EXPEDIENTE]], 5), "")</f>
        <v/>
      </c>
      <c r="C19" s="29" t="str">
        <f>IF(Tabla1[[#This Row],[EXPEDIENTE]]&lt;&gt;"", GetData(Tabla1[[#This Row],[EXPEDIENTE]], 3), "")</f>
        <v/>
      </c>
      <c r="D19" s="30" t="str">
        <f>IF(Tabla1[[#This Row],[EXPEDIENTE]]&lt;&gt;"", GetData(Tabla1[[#This Row],[EXPEDIENTE]], 4), "")</f>
        <v/>
      </c>
      <c r="E19" s="48" t="s">
        <v>51</v>
      </c>
      <c r="F19" s="32" t="str">
        <f>IF(Tabla1[[#This Row],[EXPEDIENTE]]&lt;&gt;"", GetData(Tabla1[[#This Row],[EXPEDIENTE]], 0), "VACANTE")</f>
        <v>VACANTE</v>
      </c>
      <c r="G19" s="32" t="str">
        <f>IF(Tabla1[[#This Row],[EXPEDIENTE]]&lt;&gt;"", GetData(Tabla1[[#This Row],[EXPEDIENTE]], 1), "")</f>
        <v/>
      </c>
      <c r="H19" s="32" t="str">
        <f>IF(Tabla1[[#This Row],[EXPEDIENTE]]&lt;&gt;"", GetData(Tabla1[[#This Row],[EXPEDIENTE]], 2), "")</f>
        <v/>
      </c>
      <c r="I19" s="33" t="str">
        <f>IF(Tabla1[[#This Row],[EXPEDIENTE]]&lt;&gt;"", GetData(Tabla1[[#This Row],[EXPEDIENTE]], 6), "")</f>
        <v/>
      </c>
      <c r="J19" s="33" t="str">
        <f>IF(Tabla1[[#This Row],[EXPEDIENTE]]&lt;&gt;"", GetData(Tabla1[[#This Row],[EXPEDIENTE]], 7), "")</f>
        <v/>
      </c>
      <c r="K19" s="34" t="str">
        <f>IF(Tabla1[[#This Row],[EXPEDIENTE]]&lt;&gt;"", GetData(Tabla1[[#This Row],[EXPEDIENTE]], 8), "")</f>
        <v/>
      </c>
      <c r="L19" s="35" t="str">
        <f>IF(Tabla1[[#This Row],[EXPEDIENTE]]&lt;&gt;"", GetData(Tabla1[[#This Row],[EXPEDIENTE]], 9), "")</f>
        <v/>
      </c>
      <c r="M19" s="36">
        <v>30</v>
      </c>
      <c r="N19" s="30" t="s">
        <v>6</v>
      </c>
      <c r="O19" s="37" t="str">
        <f>IF(Tabla1[[#This Row],[EXPEDIENTE]]&lt;&gt;"", GetData(Tabla1[[#This Row],[EXPEDIENTE]], 10), "")</f>
        <v/>
      </c>
      <c r="P19" s="38" t="str">
        <f>IF(Tabla1[[#This Row],[EXPEDIENTE]]&lt;&gt;"", GetData(Tabla1[[#This Row],[EXPEDIENTE]], 11), "")</f>
        <v/>
      </c>
      <c r="Q19" s="39">
        <f>Tabla1[[#This Row],[SUELDO MENSUAL]]/30</f>
        <v>492.46</v>
      </c>
      <c r="R19" s="40">
        <v>14773.8</v>
      </c>
      <c r="S19" s="40">
        <v>284</v>
      </c>
      <c r="T19" s="40">
        <v>26400</v>
      </c>
      <c r="U19" s="40">
        <v>0</v>
      </c>
      <c r="V19" s="40">
        <v>0</v>
      </c>
      <c r="W19" s="41">
        <f t="shared" si="1"/>
        <v>41457.800000000003</v>
      </c>
      <c r="X19" s="42">
        <f t="shared" si="5"/>
        <v>7098.6945920000016</v>
      </c>
      <c r="Y19" s="40">
        <f>R19*13%</f>
        <v>1920.5940000000001</v>
      </c>
      <c r="Z19" s="43">
        <f t="shared" si="6"/>
        <v>9019.2885920000008</v>
      </c>
      <c r="AA19" s="44">
        <f t="shared" si="7"/>
        <v>32438.511408000002</v>
      </c>
      <c r="AB19" s="45">
        <v>0.26</v>
      </c>
      <c r="AC19" s="45">
        <f>R19*AB19</f>
        <v>3841.1880000000001</v>
      </c>
      <c r="AD19" s="46">
        <f t="shared" si="2"/>
        <v>295.476</v>
      </c>
      <c r="AE19" s="45">
        <f t="shared" si="3"/>
        <v>1243.7340000000002</v>
      </c>
      <c r="AF19" s="44">
        <f t="shared" si="8"/>
        <v>5380.3980000000001</v>
      </c>
      <c r="AG19" s="47">
        <f t="shared" si="4"/>
        <v>46838.198000000004</v>
      </c>
    </row>
    <row r="20" spans="1:33" s="1" customFormat="1" ht="30" customHeight="1" x14ac:dyDescent="0.25">
      <c r="A20" s="27">
        <v>92700208</v>
      </c>
      <c r="B20" s="28" t="str">
        <f>IF(Tabla1[[#This Row],[EXPEDIENTE]]&lt;&gt;"", GetData(Tabla1[[#This Row],[EXPEDIENTE]], 5), "")</f>
        <v>179</v>
      </c>
      <c r="C20" s="29" t="str">
        <f>IF(Tabla1[[#This Row],[EXPEDIENTE]]&lt;&gt;"", GetData(Tabla1[[#This Row],[EXPEDIENTE]], 3), "")</f>
        <v>34</v>
      </c>
      <c r="D20" s="30" t="str">
        <f>IF(Tabla1[[#This Row],[EXPEDIENTE]]&lt;&gt;"", GetData(Tabla1[[#This Row],[EXPEDIENTE]], 4), "")</f>
        <v>G0805</v>
      </c>
      <c r="E20" s="48" t="s">
        <v>52</v>
      </c>
      <c r="F20" s="32" t="str">
        <f>IF(Tabla1[[#This Row],[EXPEDIENTE]]&lt;&gt;"", GetData(Tabla1[[#This Row],[EXPEDIENTE]], 0), "VACANTE")</f>
        <v>LOPEZ CORTES JUAN PABLO</v>
      </c>
      <c r="G20" s="32" t="str">
        <f>IF(Tabla1[[#This Row],[EXPEDIENTE]]&lt;&gt;"", GetData(Tabla1[[#This Row],[EXPEDIENTE]], 1), "")</f>
        <v xml:space="preserve">DIRECCIÓN DE PATRIMONIO CULTURAL, INVESTIGACIÓN Y EDUCACIÓN PARA LA EQUIDAD </v>
      </c>
      <c r="H20" s="32" t="str">
        <f>IF(Tabla1[[#This Row],[EXPEDIENTE]]&lt;&gt;"", GetData(Tabla1[[#This Row],[EXPEDIENTE]], 2), "")</f>
        <v>Jefe de Departamento de Investigación</v>
      </c>
      <c r="I20" s="33" t="str">
        <f>IF(Tabla1[[#This Row],[EXPEDIENTE]]&lt;&gt;"", GetData(Tabla1[[#This Row],[EXPEDIENTE]], 6), "")</f>
        <v>LOCJ900522HPLPRN06</v>
      </c>
      <c r="J20" s="33" t="str">
        <f>IF(Tabla1[[#This Row],[EXPEDIENTE]]&lt;&gt;"", GetData(Tabla1[[#This Row],[EXPEDIENTE]], 7), "")</f>
        <v>LOCJ900522KD1</v>
      </c>
      <c r="K20" s="34" t="str">
        <f>IF(Tabla1[[#This Row],[EXPEDIENTE]]&lt;&gt;"", GetData(Tabla1[[#This Row],[EXPEDIENTE]], 8), "")</f>
        <v>ACTIVO</v>
      </c>
      <c r="L20" s="35" t="str">
        <f>IF(Tabla1[[#This Row],[EXPEDIENTE]]&lt;&gt;"", GetData(Tabla1[[#This Row],[EXPEDIENTE]], 9), "")</f>
        <v>01/01/2025</v>
      </c>
      <c r="M20" s="36">
        <v>30</v>
      </c>
      <c r="N20" s="30" t="s">
        <v>6</v>
      </c>
      <c r="O20" s="37" t="str">
        <f>IF(Tabla1[[#This Row],[EXPEDIENTE]]&lt;&gt;"", GetData(Tabla1[[#This Row],[EXPEDIENTE]], 10), "")</f>
        <v>H</v>
      </c>
      <c r="P20" s="38" t="str">
        <f>IF(Tabla1[[#This Row],[EXPEDIENTE]]&lt;&gt;"", GetData(Tabla1[[#This Row],[EXPEDIENTE]], 11), "")</f>
        <v>35</v>
      </c>
      <c r="Q20" s="39">
        <f>Tabla1[[#This Row],[SUELDO MENSUAL]]/30</f>
        <v>278.8</v>
      </c>
      <c r="R20" s="40">
        <v>8364</v>
      </c>
      <c r="S20" s="40">
        <v>284</v>
      </c>
      <c r="T20" s="40">
        <v>11283.14</v>
      </c>
      <c r="U20" s="40">
        <v>0</v>
      </c>
      <c r="V20" s="40">
        <v>0</v>
      </c>
      <c r="W20" s="41">
        <f t="shared" si="1"/>
        <v>19931.14</v>
      </c>
      <c r="X20" s="42">
        <f t="shared" si="5"/>
        <v>2368.9438639999994</v>
      </c>
      <c r="Y20" s="40">
        <f>(Q20*30.4)*13%</f>
        <v>1101.8176000000001</v>
      </c>
      <c r="Z20" s="43">
        <f t="shared" si="6"/>
        <v>3470.7614639999993</v>
      </c>
      <c r="AA20" s="44">
        <f t="shared" si="7"/>
        <v>16460.378536</v>
      </c>
      <c r="AB20" s="45">
        <v>0.26</v>
      </c>
      <c r="AC20" s="45">
        <f>(Q20*30.4)*AB20</f>
        <v>2203.6352000000002</v>
      </c>
      <c r="AD20" s="46">
        <f t="shared" si="2"/>
        <v>167.28</v>
      </c>
      <c r="AE20" s="45">
        <f t="shared" si="3"/>
        <v>597.93419999999992</v>
      </c>
      <c r="AF20" s="44">
        <f t="shared" si="8"/>
        <v>2968.8494000000001</v>
      </c>
      <c r="AG20" s="47">
        <f t="shared" si="4"/>
        <v>22899.989399999999</v>
      </c>
    </row>
    <row r="21" spans="1:33" s="1" customFormat="1" ht="30" customHeight="1" x14ac:dyDescent="0.25">
      <c r="A21" s="27"/>
      <c r="B21" s="28" t="str">
        <f>IF(Tabla1[[#This Row],[EXPEDIENTE]]&lt;&gt;"", GetData(Tabla1[[#This Row],[EXPEDIENTE]], 5), "")</f>
        <v/>
      </c>
      <c r="C21" s="29" t="str">
        <f>IF(Tabla1[[#This Row],[EXPEDIENTE]]&lt;&gt;"", GetData(Tabla1[[#This Row],[EXPEDIENTE]], 3), "")</f>
        <v/>
      </c>
      <c r="D21" s="30" t="str">
        <f>IF(Tabla1[[#This Row],[EXPEDIENTE]]&lt;&gt;"", GetData(Tabla1[[#This Row],[EXPEDIENTE]], 4), "")</f>
        <v/>
      </c>
      <c r="E21" s="48" t="s">
        <v>53</v>
      </c>
      <c r="F21" s="32" t="str">
        <f>IF(Tabla1[[#This Row],[EXPEDIENTE]]&lt;&gt;"", GetData(Tabla1[[#This Row],[EXPEDIENTE]], 0), "VACANTE")</f>
        <v>VACANTE</v>
      </c>
      <c r="G21" s="32" t="str">
        <f>IF(Tabla1[[#This Row],[EXPEDIENTE]]&lt;&gt;"", GetData(Tabla1[[#This Row],[EXPEDIENTE]], 1), "")</f>
        <v/>
      </c>
      <c r="H21" s="32" t="str">
        <f>IF(Tabla1[[#This Row],[EXPEDIENTE]]&lt;&gt;"", GetData(Tabla1[[#This Row],[EXPEDIENTE]], 2), "")</f>
        <v/>
      </c>
      <c r="I21" s="33" t="str">
        <f>IF(Tabla1[[#This Row],[EXPEDIENTE]]&lt;&gt;"", GetData(Tabla1[[#This Row],[EXPEDIENTE]], 6), "")</f>
        <v/>
      </c>
      <c r="J21" s="33" t="str">
        <f>IF(Tabla1[[#This Row],[EXPEDIENTE]]&lt;&gt;"", GetData(Tabla1[[#This Row],[EXPEDIENTE]], 7), "")</f>
        <v/>
      </c>
      <c r="K21" s="34" t="str">
        <f>IF(Tabla1[[#This Row],[EXPEDIENTE]]&lt;&gt;"", GetData(Tabla1[[#This Row],[EXPEDIENTE]], 8), "")</f>
        <v/>
      </c>
      <c r="L21" s="35" t="str">
        <f>IF(Tabla1[[#This Row],[EXPEDIENTE]]&lt;&gt;"", GetData(Tabla1[[#This Row],[EXPEDIENTE]], 9), "")</f>
        <v/>
      </c>
      <c r="M21" s="36">
        <v>30</v>
      </c>
      <c r="N21" s="30" t="s">
        <v>6</v>
      </c>
      <c r="O21" s="37" t="str">
        <f>IF(Tabla1[[#This Row],[EXPEDIENTE]]&lt;&gt;"", GetData(Tabla1[[#This Row],[EXPEDIENTE]], 10), "")</f>
        <v/>
      </c>
      <c r="P21" s="38" t="str">
        <f>IF(Tabla1[[#This Row],[EXPEDIENTE]]&lt;&gt;"", GetData(Tabla1[[#This Row],[EXPEDIENTE]], 11), "")</f>
        <v/>
      </c>
      <c r="Q21" s="39">
        <f>Tabla1[[#This Row],[SUELDO MENSUAL]]/30</f>
        <v>278.8</v>
      </c>
      <c r="R21" s="40">
        <v>8364</v>
      </c>
      <c r="S21" s="40">
        <v>284</v>
      </c>
      <c r="T21" s="40">
        <v>11283.14</v>
      </c>
      <c r="U21" s="40">
        <v>0</v>
      </c>
      <c r="V21" s="40">
        <v>0</v>
      </c>
      <c r="W21" s="41">
        <f t="shared" si="1"/>
        <v>19931.14</v>
      </c>
      <c r="X21" s="42">
        <f t="shared" si="5"/>
        <v>2368.9438639999994</v>
      </c>
      <c r="Y21" s="40">
        <f>(Q21*30.4)*13%</f>
        <v>1101.8176000000001</v>
      </c>
      <c r="Z21" s="43">
        <f t="shared" si="6"/>
        <v>3470.7614639999993</v>
      </c>
      <c r="AA21" s="44">
        <f t="shared" si="7"/>
        <v>16460.378536</v>
      </c>
      <c r="AB21" s="45">
        <v>0.26</v>
      </c>
      <c r="AC21" s="45">
        <f>(Q21*30.4)*AB21</f>
        <v>2203.6352000000002</v>
      </c>
      <c r="AD21" s="46">
        <f t="shared" si="2"/>
        <v>167.28</v>
      </c>
      <c r="AE21" s="45">
        <f t="shared" si="3"/>
        <v>597.93419999999992</v>
      </c>
      <c r="AF21" s="44">
        <f t="shared" si="8"/>
        <v>2968.8494000000001</v>
      </c>
      <c r="AG21" s="47">
        <f t="shared" si="4"/>
        <v>22899.989399999999</v>
      </c>
    </row>
    <row r="22" spans="1:33" s="1" customFormat="1" ht="30" customHeight="1" x14ac:dyDescent="0.25">
      <c r="A22" s="27">
        <v>92700249</v>
      </c>
      <c r="B22" s="28" t="str">
        <f>IF(Tabla1[[#This Row],[EXPEDIENTE]]&lt;&gt;"", GetData(Tabla1[[#This Row],[EXPEDIENTE]], 5), "")</f>
        <v>180</v>
      </c>
      <c r="C22" s="29" t="str">
        <f>IF(Tabla1[[#This Row],[EXPEDIENTE]]&lt;&gt;"", GetData(Tabla1[[#This Row],[EXPEDIENTE]], 3), "")</f>
        <v>44</v>
      </c>
      <c r="D22" s="30" t="str">
        <f>IF(Tabla1[[#This Row],[EXPEDIENTE]]&lt;&gt;"", GetData(Tabla1[[#This Row],[EXPEDIENTE]], 4), "")</f>
        <v>G0808</v>
      </c>
      <c r="E22" s="48" t="s">
        <v>54</v>
      </c>
      <c r="F22" s="32" t="str">
        <f>IF(Tabla1[[#This Row],[EXPEDIENTE]]&lt;&gt;"", GetData(Tabla1[[#This Row],[EXPEDIENTE]], 0), "VACANTE")</f>
        <v>ROSETE DAVALOS ANGELA MARIANA</v>
      </c>
      <c r="G22" s="32" t="str">
        <f>IF(Tabla1[[#This Row],[EXPEDIENTE]]&lt;&gt;"", GetData(Tabla1[[#This Row],[EXPEDIENTE]], 1), "")</f>
        <v>DEPARTAMENTO DE PATRIMONIO CULTURAL</v>
      </c>
      <c r="H22" s="32" t="str">
        <f>IF(Tabla1[[#This Row],[EXPEDIENTE]]&lt;&gt;"", GetData(Tabla1[[#This Row],[EXPEDIENTE]], 2), "")</f>
        <v>Analista Especializado Consultivo C</v>
      </c>
      <c r="I22" s="33" t="str">
        <f>IF(Tabla1[[#This Row],[EXPEDIENTE]]&lt;&gt;"", GetData(Tabla1[[#This Row],[EXPEDIENTE]], 6), "")</f>
        <v>RODA970315MTLSVN04</v>
      </c>
      <c r="J22" s="33" t="str">
        <f>IF(Tabla1[[#This Row],[EXPEDIENTE]]&lt;&gt;"", GetData(Tabla1[[#This Row],[EXPEDIENTE]], 7), "")</f>
        <v>RODA970315UM8</v>
      </c>
      <c r="K22" s="34" t="str">
        <f>IF(Tabla1[[#This Row],[EXPEDIENTE]]&lt;&gt;"", GetData(Tabla1[[#This Row],[EXPEDIENTE]], 8), "")</f>
        <v>ACTIVO</v>
      </c>
      <c r="L22" s="35" t="str">
        <f>IF(Tabla1[[#This Row],[EXPEDIENTE]]&lt;&gt;"", GetData(Tabla1[[#This Row],[EXPEDIENTE]], 9), "")</f>
        <v>01/06/2025</v>
      </c>
      <c r="M22" s="36">
        <v>30</v>
      </c>
      <c r="N22" s="30" t="s">
        <v>6</v>
      </c>
      <c r="O22" s="37" t="str">
        <f>IF(Tabla1[[#This Row],[EXPEDIENTE]]&lt;&gt;"", GetData(Tabla1[[#This Row],[EXPEDIENTE]], 10), "")</f>
        <v>M</v>
      </c>
      <c r="P22" s="38" t="str">
        <f>IF(Tabla1[[#This Row],[EXPEDIENTE]]&lt;&gt;"", GetData(Tabla1[[#This Row],[EXPEDIENTE]], 11), "")</f>
        <v>28</v>
      </c>
      <c r="Q22" s="39">
        <f>Tabla1[[#This Row],[SUELDO MENSUAL]]/30</f>
        <v>278.8</v>
      </c>
      <c r="R22" s="40">
        <v>8364</v>
      </c>
      <c r="S22" s="40">
        <v>284</v>
      </c>
      <c r="T22" s="40">
        <v>10000</v>
      </c>
      <c r="U22" s="40">
        <v>0</v>
      </c>
      <c r="V22" s="40">
        <v>0</v>
      </c>
      <c r="W22" s="41">
        <f t="shared" si="1"/>
        <v>18648</v>
      </c>
      <c r="X22" s="42">
        <f t="shared" si="5"/>
        <v>2094.8651599999994</v>
      </c>
      <c r="Y22" s="40">
        <f>(Q22*30.4)*13%</f>
        <v>1101.8176000000001</v>
      </c>
      <c r="Z22" s="43">
        <f t="shared" si="6"/>
        <v>3196.6827599999997</v>
      </c>
      <c r="AA22" s="44">
        <f t="shared" si="7"/>
        <v>15451.31724</v>
      </c>
      <c r="AB22" s="45">
        <v>0.26</v>
      </c>
      <c r="AC22" s="45">
        <f>(Q22*30.4)*AB22</f>
        <v>2203.6352000000002</v>
      </c>
      <c r="AD22" s="46">
        <f t="shared" si="2"/>
        <v>167.28</v>
      </c>
      <c r="AE22" s="45">
        <f t="shared" si="3"/>
        <v>559.43999999999994</v>
      </c>
      <c r="AF22" s="44">
        <f t="shared" si="8"/>
        <v>2930.3552000000004</v>
      </c>
      <c r="AG22" s="47">
        <f t="shared" si="4"/>
        <v>21578.355200000002</v>
      </c>
    </row>
    <row r="23" spans="1:33" s="1" customFormat="1" ht="30" customHeight="1" x14ac:dyDescent="0.25">
      <c r="A23" s="27"/>
      <c r="B23" s="28" t="str">
        <f>IF(Tabla1[[#This Row],[EXPEDIENTE]]&lt;&gt;"", GetData(Tabla1[[#This Row],[EXPEDIENTE]], 5), "")</f>
        <v/>
      </c>
      <c r="C23" s="29" t="str">
        <f>IF(Tabla1[[#This Row],[EXPEDIENTE]]&lt;&gt;"", GetData(Tabla1[[#This Row],[EXPEDIENTE]], 3), "")</f>
        <v/>
      </c>
      <c r="D23" s="30" t="str">
        <f>IF(Tabla1[[#This Row],[EXPEDIENTE]]&lt;&gt;"", GetData(Tabla1[[#This Row],[EXPEDIENTE]], 4), "")</f>
        <v/>
      </c>
      <c r="E23" s="48" t="s">
        <v>16</v>
      </c>
      <c r="F23" s="32" t="str">
        <f>IF(Tabla1[[#This Row],[EXPEDIENTE]]&lt;&gt;"", GetData(Tabla1[[#This Row],[EXPEDIENTE]], 0), "VACANTE")</f>
        <v>VACANTE</v>
      </c>
      <c r="G23" s="32" t="str">
        <f>IF(Tabla1[[#This Row],[EXPEDIENTE]]&lt;&gt;"", GetData(Tabla1[[#This Row],[EXPEDIENTE]], 1), "")</f>
        <v/>
      </c>
      <c r="H23" s="32" t="str">
        <f>IF(Tabla1[[#This Row],[EXPEDIENTE]]&lt;&gt;"", GetData(Tabla1[[#This Row],[EXPEDIENTE]], 2), "")</f>
        <v/>
      </c>
      <c r="I23" s="33" t="str">
        <f>IF(Tabla1[[#This Row],[EXPEDIENTE]]&lt;&gt;"", GetData(Tabla1[[#This Row],[EXPEDIENTE]], 6), "")</f>
        <v/>
      </c>
      <c r="J23" s="33" t="str">
        <f>IF(Tabla1[[#This Row],[EXPEDIENTE]]&lt;&gt;"", GetData(Tabla1[[#This Row],[EXPEDIENTE]], 7), "")</f>
        <v/>
      </c>
      <c r="K23" s="34" t="str">
        <f>IF(Tabla1[[#This Row],[EXPEDIENTE]]&lt;&gt;"", GetData(Tabla1[[#This Row],[EXPEDIENTE]], 8), "")</f>
        <v/>
      </c>
      <c r="L23" s="35" t="str">
        <f>IF(Tabla1[[#This Row],[EXPEDIENTE]]&lt;&gt;"", GetData(Tabla1[[#This Row],[EXPEDIENTE]], 9), "")</f>
        <v/>
      </c>
      <c r="M23" s="36">
        <v>30</v>
      </c>
      <c r="N23" s="30" t="s">
        <v>6</v>
      </c>
      <c r="O23" s="37" t="str">
        <f>IF(Tabla1[[#This Row],[EXPEDIENTE]]&lt;&gt;"", GetData(Tabla1[[#This Row],[EXPEDIENTE]], 10), "")</f>
        <v/>
      </c>
      <c r="P23" s="38" t="str">
        <f>IF(Tabla1[[#This Row],[EXPEDIENTE]]&lt;&gt;"", GetData(Tabla1[[#This Row],[EXPEDIENTE]], 11), "")</f>
        <v/>
      </c>
      <c r="Q23" s="39">
        <f>Tabla1[[#This Row],[SUELDO MENSUAL]]/30</f>
        <v>492.46</v>
      </c>
      <c r="R23" s="40">
        <v>14773.8</v>
      </c>
      <c r="S23" s="40">
        <v>284</v>
      </c>
      <c r="T23" s="40">
        <v>26400</v>
      </c>
      <c r="U23" s="40">
        <v>0</v>
      </c>
      <c r="V23" s="40">
        <v>0</v>
      </c>
      <c r="W23" s="41">
        <f t="shared" si="1"/>
        <v>41457.800000000003</v>
      </c>
      <c r="X23" s="42">
        <f t="shared" si="5"/>
        <v>7098.6945920000016</v>
      </c>
      <c r="Y23" s="40">
        <f>R23*13%</f>
        <v>1920.5940000000001</v>
      </c>
      <c r="Z23" s="43">
        <f t="shared" si="6"/>
        <v>9019.2885920000008</v>
      </c>
      <c r="AA23" s="44">
        <f t="shared" si="7"/>
        <v>32438.511408000002</v>
      </c>
      <c r="AB23" s="45">
        <v>0.19</v>
      </c>
      <c r="AC23" s="45">
        <f>R23*AB23</f>
        <v>2807.0219999999999</v>
      </c>
      <c r="AD23" s="46">
        <f t="shared" si="2"/>
        <v>295.476</v>
      </c>
      <c r="AE23" s="45">
        <f t="shared" si="3"/>
        <v>1243.7340000000002</v>
      </c>
      <c r="AF23" s="44">
        <f t="shared" si="8"/>
        <v>4346.232</v>
      </c>
      <c r="AG23" s="47">
        <f t="shared" si="4"/>
        <v>45804.032000000007</v>
      </c>
    </row>
    <row r="24" spans="1:33" s="1" customFormat="1" ht="30" customHeight="1" x14ac:dyDescent="0.25">
      <c r="A24" s="27">
        <v>92700194</v>
      </c>
      <c r="B24" s="28" t="str">
        <f>IF(Tabla1[[#This Row],[EXPEDIENTE]]&lt;&gt;"", GetData(Tabla1[[#This Row],[EXPEDIENTE]], 5), "")</f>
        <v>184</v>
      </c>
      <c r="C24" s="29" t="str">
        <f>IF(Tabla1[[#This Row],[EXPEDIENTE]]&lt;&gt;"", GetData(Tabla1[[#This Row],[EXPEDIENTE]], 3), "")</f>
        <v>43</v>
      </c>
      <c r="D24" s="30" t="str">
        <f>IF(Tabla1[[#This Row],[EXPEDIENTE]]&lt;&gt;"", GetData(Tabla1[[#This Row],[EXPEDIENTE]], 4), "")</f>
        <v>G0805</v>
      </c>
      <c r="E24" s="48" t="s">
        <v>16</v>
      </c>
      <c r="F24" s="32" t="str">
        <f>IF(Tabla1[[#This Row],[EXPEDIENTE]]&lt;&gt;"", GetData(Tabla1[[#This Row],[EXPEDIENTE]], 0), "VACANTE")</f>
        <v>CARRERA DACOSTA SANDRA</v>
      </c>
      <c r="G24" s="32" t="str">
        <f>IF(Tabla1[[#This Row],[EXPEDIENTE]]&lt;&gt;"", GetData(Tabla1[[#This Row],[EXPEDIENTE]], 1), "")</f>
        <v>DEPARTAMENTO DE CONSULTA Y PARTICIPACIÓN</v>
      </c>
      <c r="H24" s="32" t="str">
        <f>IF(Tabla1[[#This Row],[EXPEDIENTE]]&lt;&gt;"", GetData(Tabla1[[#This Row],[EXPEDIENTE]], 2), "")</f>
        <v>Jefa de Departamento de Consulta y Participación</v>
      </c>
      <c r="I24" s="33" t="str">
        <f>IF(Tabla1[[#This Row],[EXPEDIENTE]]&lt;&gt;"", GetData(Tabla1[[#This Row],[EXPEDIENTE]], 6), "")</f>
        <v>CADS980512MPLRCN07</v>
      </c>
      <c r="J24" s="33" t="str">
        <f>IF(Tabla1[[#This Row],[EXPEDIENTE]]&lt;&gt;"", GetData(Tabla1[[#This Row],[EXPEDIENTE]], 7), "")</f>
        <v>CADS9805123T2</v>
      </c>
      <c r="K24" s="34" t="str">
        <f>IF(Tabla1[[#This Row],[EXPEDIENTE]]&lt;&gt;"", GetData(Tabla1[[#This Row],[EXPEDIENTE]], 8), "")</f>
        <v>ACTIVO</v>
      </c>
      <c r="L24" s="35" t="str">
        <f>IF(Tabla1[[#This Row],[EXPEDIENTE]]&lt;&gt;"", GetData(Tabla1[[#This Row],[EXPEDIENTE]], 9), "")</f>
        <v/>
      </c>
      <c r="M24" s="36">
        <v>30</v>
      </c>
      <c r="N24" s="30" t="s">
        <v>6</v>
      </c>
      <c r="O24" s="37" t="str">
        <f>IF(Tabla1[[#This Row],[EXPEDIENTE]]&lt;&gt;"", GetData(Tabla1[[#This Row],[EXPEDIENTE]], 10), "")</f>
        <v>M</v>
      </c>
      <c r="P24" s="38" t="str">
        <f>IF(Tabla1[[#This Row],[EXPEDIENTE]]&lt;&gt;"", GetData(Tabla1[[#This Row],[EXPEDIENTE]], 11), "")</f>
        <v>27</v>
      </c>
      <c r="Q24" s="39">
        <f>Tabla1[[#This Row],[SUELDO MENSUAL]]/30</f>
        <v>278.8</v>
      </c>
      <c r="R24" s="40">
        <v>8364</v>
      </c>
      <c r="S24" s="40">
        <v>284</v>
      </c>
      <c r="T24" s="40">
        <v>11283.14</v>
      </c>
      <c r="U24" s="40">
        <v>0</v>
      </c>
      <c r="V24" s="40">
        <v>0</v>
      </c>
      <c r="W24" s="41">
        <f t="shared" si="1"/>
        <v>19931.14</v>
      </c>
      <c r="X24" s="42">
        <f t="shared" si="5"/>
        <v>2368.9438639999994</v>
      </c>
      <c r="Y24" s="40">
        <f>(Q24*30.4)*13%</f>
        <v>1101.8176000000001</v>
      </c>
      <c r="Z24" s="43">
        <f t="shared" si="6"/>
        <v>3470.7614639999993</v>
      </c>
      <c r="AA24" s="44">
        <f t="shared" si="7"/>
        <v>16460.378536</v>
      </c>
      <c r="AB24" s="45">
        <v>0.26</v>
      </c>
      <c r="AC24" s="45">
        <f>(Q24*30.4)*AB24</f>
        <v>2203.6352000000002</v>
      </c>
      <c r="AD24" s="46">
        <f t="shared" si="2"/>
        <v>167.28</v>
      </c>
      <c r="AE24" s="45">
        <f t="shared" si="3"/>
        <v>597.93419999999992</v>
      </c>
      <c r="AF24" s="44">
        <f t="shared" si="8"/>
        <v>2968.8494000000001</v>
      </c>
      <c r="AG24" s="47">
        <f t="shared" si="4"/>
        <v>22899.989399999999</v>
      </c>
    </row>
    <row r="25" spans="1:33" s="1" customFormat="1" ht="30" customHeight="1" x14ac:dyDescent="0.25">
      <c r="A25" s="27">
        <v>92700213</v>
      </c>
      <c r="B25" s="28" t="str">
        <f>IF(Tabla1[[#This Row],[EXPEDIENTE]]&lt;&gt;"", GetData(Tabla1[[#This Row],[EXPEDIENTE]], 5), "")</f>
        <v>184</v>
      </c>
      <c r="C25" s="29" t="str">
        <f>IF(Tabla1[[#This Row],[EXPEDIENTE]]&lt;&gt;"", GetData(Tabla1[[#This Row],[EXPEDIENTE]], 3), "")</f>
        <v>76</v>
      </c>
      <c r="D25" s="30" t="str">
        <f>IF(Tabla1[[#This Row],[EXPEDIENTE]]&lt;&gt;"", GetData(Tabla1[[#This Row],[EXPEDIENTE]], 4), "")</f>
        <v>G0808</v>
      </c>
      <c r="E25" s="48" t="s">
        <v>55</v>
      </c>
      <c r="F25" s="32" t="str">
        <f>IF(Tabla1[[#This Row],[EXPEDIENTE]]&lt;&gt;"", GetData(Tabla1[[#This Row],[EXPEDIENTE]], 0), "VACANTE")</f>
        <v>ZAMORA SILVA RODRIGO VALENTIN</v>
      </c>
      <c r="G25" s="32" t="str">
        <f>IF(Tabla1[[#This Row],[EXPEDIENTE]]&lt;&gt;"", GetData(Tabla1[[#This Row],[EXPEDIENTE]], 1), "")</f>
        <v>DIRECCIÓN DE DIÁLOGO Y CONCERTACIÓN</v>
      </c>
      <c r="H25" s="32" t="str">
        <f>IF(Tabla1[[#This Row],[EXPEDIENTE]]&lt;&gt;"", GetData(Tabla1[[#This Row],[EXPEDIENTE]], 2), "")</f>
        <v>Analista Especializado Consultivo C</v>
      </c>
      <c r="I25" s="33" t="str">
        <f>IF(Tabla1[[#This Row],[EXPEDIENTE]]&lt;&gt;"", GetData(Tabla1[[#This Row],[EXPEDIENTE]], 6), "")</f>
        <v>ZASR800314HPLMLD00</v>
      </c>
      <c r="J25" s="33" t="str">
        <f>IF(Tabla1[[#This Row],[EXPEDIENTE]]&lt;&gt;"", GetData(Tabla1[[#This Row],[EXPEDIENTE]], 7), "")</f>
        <v>ZASR800314E45</v>
      </c>
      <c r="K25" s="34" t="str">
        <f>IF(Tabla1[[#This Row],[EXPEDIENTE]]&lt;&gt;"", GetData(Tabla1[[#This Row],[EXPEDIENTE]], 8), "")</f>
        <v>ACTIVO</v>
      </c>
      <c r="L25" s="35" t="str">
        <f>IF(Tabla1[[#This Row],[EXPEDIENTE]]&lt;&gt;"", GetData(Tabla1[[#This Row],[EXPEDIENTE]], 9), "")</f>
        <v>01/01/2025</v>
      </c>
      <c r="M25" s="36">
        <v>30</v>
      </c>
      <c r="N25" s="30" t="s">
        <v>6</v>
      </c>
      <c r="O25" s="37" t="str">
        <f>IF(Tabla1[[#This Row],[EXPEDIENTE]]&lt;&gt;"", GetData(Tabla1[[#This Row],[EXPEDIENTE]], 10), "")</f>
        <v>H</v>
      </c>
      <c r="P25" s="38" t="str">
        <f>IF(Tabla1[[#This Row],[EXPEDIENTE]]&lt;&gt;"", GetData(Tabla1[[#This Row],[EXPEDIENTE]], 11), "")</f>
        <v>45</v>
      </c>
      <c r="Q25" s="39">
        <f>Tabla1[[#This Row],[SUELDO MENSUAL]]/30</f>
        <v>278.8</v>
      </c>
      <c r="R25" s="40">
        <v>8364</v>
      </c>
      <c r="S25" s="40">
        <v>284</v>
      </c>
      <c r="T25" s="40">
        <v>10000</v>
      </c>
      <c r="U25" s="40">
        <v>0</v>
      </c>
      <c r="V25" s="40">
        <v>0</v>
      </c>
      <c r="W25" s="41">
        <f t="shared" si="1"/>
        <v>18648</v>
      </c>
      <c r="X25" s="42">
        <f t="shared" si="5"/>
        <v>2094.8651599999994</v>
      </c>
      <c r="Y25" s="40">
        <f>(Q25*30.4)*13%</f>
        <v>1101.8176000000001</v>
      </c>
      <c r="Z25" s="43">
        <f t="shared" si="6"/>
        <v>3196.6827599999997</v>
      </c>
      <c r="AA25" s="44">
        <f t="shared" si="7"/>
        <v>15451.31724</v>
      </c>
      <c r="AB25" s="45">
        <v>0.26</v>
      </c>
      <c r="AC25" s="45">
        <f>(Q25*30.4)*AB25</f>
        <v>2203.6352000000002</v>
      </c>
      <c r="AD25" s="46">
        <f t="shared" si="2"/>
        <v>167.28</v>
      </c>
      <c r="AE25" s="45">
        <f t="shared" si="3"/>
        <v>559.43999999999994</v>
      </c>
      <c r="AF25" s="44">
        <f t="shared" si="8"/>
        <v>2930.3552000000004</v>
      </c>
      <c r="AG25" s="47">
        <f t="shared" si="4"/>
        <v>21578.355200000002</v>
      </c>
    </row>
    <row r="26" spans="1:33" s="1" customFormat="1" ht="30" customHeight="1" x14ac:dyDescent="0.25">
      <c r="A26" s="27"/>
      <c r="B26" s="28" t="str">
        <f>IF(Tabla1[[#This Row],[EXPEDIENTE]]&lt;&gt;"", GetData(Tabla1[[#This Row],[EXPEDIENTE]], 5), "")</f>
        <v/>
      </c>
      <c r="C26" s="29" t="str">
        <f>IF(Tabla1[[#This Row],[EXPEDIENTE]]&lt;&gt;"", GetData(Tabla1[[#This Row],[EXPEDIENTE]], 3), "")</f>
        <v/>
      </c>
      <c r="D26" s="30" t="str">
        <f>IF(Tabla1[[#This Row],[EXPEDIENTE]]&lt;&gt;"", GetData(Tabla1[[#This Row],[EXPEDIENTE]], 4), "")</f>
        <v/>
      </c>
      <c r="E26" s="48" t="s">
        <v>17</v>
      </c>
      <c r="F26" s="32" t="str">
        <f>IF(Tabla1[[#This Row],[EXPEDIENTE]]&lt;&gt;"", GetData(Tabla1[[#This Row],[EXPEDIENTE]], 0), "VACANTE")</f>
        <v>VACANTE</v>
      </c>
      <c r="G26" s="32" t="str">
        <f>IF(Tabla1[[#This Row],[EXPEDIENTE]]&lt;&gt;"", GetData(Tabla1[[#This Row],[EXPEDIENTE]], 1), "")</f>
        <v/>
      </c>
      <c r="H26" s="32" t="str">
        <f>IF(Tabla1[[#This Row],[EXPEDIENTE]]&lt;&gt;"", GetData(Tabla1[[#This Row],[EXPEDIENTE]], 2), "")</f>
        <v/>
      </c>
      <c r="I26" s="33" t="str">
        <f>IF(Tabla1[[#This Row],[EXPEDIENTE]]&lt;&gt;"", GetData(Tabla1[[#This Row],[EXPEDIENTE]], 6), "")</f>
        <v/>
      </c>
      <c r="J26" s="33" t="str">
        <f>IF(Tabla1[[#This Row],[EXPEDIENTE]]&lt;&gt;"", GetData(Tabla1[[#This Row],[EXPEDIENTE]], 7), "")</f>
        <v/>
      </c>
      <c r="K26" s="34" t="str">
        <f>IF(Tabla1[[#This Row],[EXPEDIENTE]]&lt;&gt;"", GetData(Tabla1[[#This Row],[EXPEDIENTE]], 8), "")</f>
        <v/>
      </c>
      <c r="L26" s="35" t="str">
        <f>IF(Tabla1[[#This Row],[EXPEDIENTE]]&lt;&gt;"", GetData(Tabla1[[#This Row],[EXPEDIENTE]], 9), "")</f>
        <v/>
      </c>
      <c r="M26" s="36">
        <v>30</v>
      </c>
      <c r="N26" s="30" t="s">
        <v>6</v>
      </c>
      <c r="O26" s="37" t="str">
        <f>IF(Tabla1[[#This Row],[EXPEDIENTE]]&lt;&gt;"", GetData(Tabla1[[#This Row],[EXPEDIENTE]], 10), "")</f>
        <v/>
      </c>
      <c r="P26" s="38" t="str">
        <f>IF(Tabla1[[#This Row],[EXPEDIENTE]]&lt;&gt;"", GetData(Tabla1[[#This Row],[EXPEDIENTE]], 11), "")</f>
        <v/>
      </c>
      <c r="Q26" s="39">
        <f>Tabla1[[#This Row],[SUELDO MENSUAL]]/30</f>
        <v>278.8</v>
      </c>
      <c r="R26" s="40">
        <v>8364</v>
      </c>
      <c r="S26" s="40">
        <v>284</v>
      </c>
      <c r="T26" s="40">
        <v>11283.14</v>
      </c>
      <c r="U26" s="40">
        <v>0</v>
      </c>
      <c r="V26" s="40">
        <v>0</v>
      </c>
      <c r="W26" s="41">
        <f t="shared" si="1"/>
        <v>19931.14</v>
      </c>
      <c r="X26" s="42">
        <f t="shared" si="5"/>
        <v>2368.9438639999994</v>
      </c>
      <c r="Y26" s="40">
        <f>(Q26*30.4)*13%</f>
        <v>1101.8176000000001</v>
      </c>
      <c r="Z26" s="43">
        <f t="shared" si="6"/>
        <v>3470.7614639999993</v>
      </c>
      <c r="AA26" s="44">
        <f t="shared" si="7"/>
        <v>16460.378536</v>
      </c>
      <c r="AB26" s="45">
        <v>0.26</v>
      </c>
      <c r="AC26" s="45">
        <f>(Q26*30.4)*AB26</f>
        <v>2203.6352000000002</v>
      </c>
      <c r="AD26" s="46">
        <f t="shared" si="2"/>
        <v>167.28</v>
      </c>
      <c r="AE26" s="45">
        <f t="shared" si="3"/>
        <v>597.93419999999992</v>
      </c>
      <c r="AF26" s="44">
        <f t="shared" si="8"/>
        <v>2968.8494000000001</v>
      </c>
      <c r="AG26" s="47">
        <f t="shared" si="4"/>
        <v>22899.989399999999</v>
      </c>
    </row>
    <row r="27" spans="1:33" s="1" customFormat="1" ht="30" customHeight="1" x14ac:dyDescent="0.25">
      <c r="A27" s="27">
        <v>92700210</v>
      </c>
      <c r="B27" s="28" t="str">
        <f>IF(Tabla1[[#This Row],[EXPEDIENTE]]&lt;&gt;"", GetData(Tabla1[[#This Row],[EXPEDIENTE]], 5), "")</f>
        <v>185</v>
      </c>
      <c r="C27" s="29" t="str">
        <f>IF(Tabla1[[#This Row],[EXPEDIENTE]]&lt;&gt;"", GetData(Tabla1[[#This Row],[EXPEDIENTE]], 3), "")</f>
        <v>74</v>
      </c>
      <c r="D27" s="30" t="str">
        <f>IF(Tabla1[[#This Row],[EXPEDIENTE]]&lt;&gt;"", GetData(Tabla1[[#This Row],[EXPEDIENTE]], 4), "")</f>
        <v>G0808</v>
      </c>
      <c r="E27" s="31" t="s">
        <v>56</v>
      </c>
      <c r="F27" s="32" t="str">
        <f>IF(Tabla1[[#This Row],[EXPEDIENTE]]&lt;&gt;"", GetData(Tabla1[[#This Row],[EXPEDIENTE]], 0), "VACANTE")</f>
        <v>DIAZ MACARENO LENNICA</v>
      </c>
      <c r="G27" s="32" t="str">
        <f>IF(Tabla1[[#This Row],[EXPEDIENTE]]&lt;&gt;"", GetData(Tabla1[[#This Row],[EXPEDIENTE]], 1), "")</f>
        <v>DIRECCIÓN DE DIÁLOGO Y CONCERTACIÓN</v>
      </c>
      <c r="H27" s="32" t="str">
        <f>IF(Tabla1[[#This Row],[EXPEDIENTE]]&lt;&gt;"", GetData(Tabla1[[#This Row],[EXPEDIENTE]], 2), "")</f>
        <v>Analista Especializado Consultivo C</v>
      </c>
      <c r="I27" s="33" t="str">
        <f>IF(Tabla1[[#This Row],[EXPEDIENTE]]&lt;&gt;"", GetData(Tabla1[[#This Row],[EXPEDIENTE]], 6), "")</f>
        <v>DIML950624MPLZCN09</v>
      </c>
      <c r="J27" s="33" t="str">
        <f>IF(Tabla1[[#This Row],[EXPEDIENTE]]&lt;&gt;"", GetData(Tabla1[[#This Row],[EXPEDIENTE]], 7), "")</f>
        <v>DIML950624UQA</v>
      </c>
      <c r="K27" s="34" t="str">
        <f>IF(Tabla1[[#This Row],[EXPEDIENTE]]&lt;&gt;"", GetData(Tabla1[[#This Row],[EXPEDIENTE]], 8), "")</f>
        <v>ACTIVO</v>
      </c>
      <c r="L27" s="35" t="str">
        <f>IF(Tabla1[[#This Row],[EXPEDIENTE]]&lt;&gt;"", GetData(Tabla1[[#This Row],[EXPEDIENTE]], 9), "")</f>
        <v/>
      </c>
      <c r="M27" s="36">
        <v>30</v>
      </c>
      <c r="N27" s="30" t="s">
        <v>6</v>
      </c>
      <c r="O27" s="37" t="str">
        <f>IF(Tabla1[[#This Row],[EXPEDIENTE]]&lt;&gt;"", GetData(Tabla1[[#This Row],[EXPEDIENTE]], 10), "")</f>
        <v>M</v>
      </c>
      <c r="P27" s="38" t="str">
        <f>IF(Tabla1[[#This Row],[EXPEDIENTE]]&lt;&gt;"", GetData(Tabla1[[#This Row],[EXPEDIENTE]], 11), "")</f>
        <v>30</v>
      </c>
      <c r="Q27" s="39">
        <f>Tabla1[[#This Row],[SUELDO MENSUAL]]/30</f>
        <v>278.8</v>
      </c>
      <c r="R27" s="40">
        <v>8364</v>
      </c>
      <c r="S27" s="40">
        <v>284</v>
      </c>
      <c r="T27" s="40">
        <v>10000</v>
      </c>
      <c r="U27" s="40">
        <v>0</v>
      </c>
      <c r="V27" s="40">
        <v>0</v>
      </c>
      <c r="W27" s="41">
        <f t="shared" si="1"/>
        <v>18648</v>
      </c>
      <c r="X27" s="42">
        <f t="shared" si="5"/>
        <v>2094.8651599999994</v>
      </c>
      <c r="Y27" s="40">
        <f>(Q27*30.4)*13%</f>
        <v>1101.8176000000001</v>
      </c>
      <c r="Z27" s="43">
        <f t="shared" si="6"/>
        <v>3196.6827599999997</v>
      </c>
      <c r="AA27" s="44">
        <f t="shared" si="7"/>
        <v>15451.31724</v>
      </c>
      <c r="AB27" s="45">
        <v>0.26</v>
      </c>
      <c r="AC27" s="45">
        <f>(Q27*30.4)*AB27</f>
        <v>2203.6352000000002</v>
      </c>
      <c r="AD27" s="46">
        <f t="shared" si="2"/>
        <v>167.28</v>
      </c>
      <c r="AE27" s="45">
        <f t="shared" si="3"/>
        <v>559.43999999999994</v>
      </c>
      <c r="AF27" s="44">
        <f t="shared" si="8"/>
        <v>2930.3552000000004</v>
      </c>
      <c r="AG27" s="47">
        <f t="shared" si="4"/>
        <v>21578.355200000002</v>
      </c>
    </row>
    <row r="28" spans="1:33" s="1" customFormat="1" ht="30" customHeight="1" x14ac:dyDescent="0.25">
      <c r="A28" s="27">
        <v>92700244</v>
      </c>
      <c r="B28" s="28" t="str">
        <f>IF(Tabla1[[#This Row],[EXPEDIENTE]]&lt;&gt;"", GetData(Tabla1[[#This Row],[EXPEDIENTE]], 5), "")</f>
        <v>167</v>
      </c>
      <c r="C28" s="29" t="str">
        <f>IF(Tabla1[[#This Row],[EXPEDIENTE]]&lt;&gt;"", GetData(Tabla1[[#This Row],[EXPEDIENTE]], 3), "")</f>
        <v>14</v>
      </c>
      <c r="D28" s="30" t="str">
        <f>IF(Tabla1[[#This Row],[EXPEDIENTE]]&lt;&gt;"", GetData(Tabla1[[#This Row],[EXPEDIENTE]], 4), "")</f>
        <v>G0808</v>
      </c>
      <c r="E28" s="31" t="s">
        <v>57</v>
      </c>
      <c r="F28" s="32" t="str">
        <f>IF(Tabla1[[#This Row],[EXPEDIENTE]]&lt;&gt;"", GetData(Tabla1[[#This Row],[EXPEDIENTE]], 0), "VACANTE")</f>
        <v>BALDERAS HERNANDEZ ANA KAREN</v>
      </c>
      <c r="G28" s="32" t="str">
        <f>IF(Tabla1[[#This Row],[EXPEDIENTE]]&lt;&gt;"", GetData(Tabla1[[#This Row],[EXPEDIENTE]], 1), "")</f>
        <v>DEPARTAMENTO DE COMUNICACIÓN INDIGENA</v>
      </c>
      <c r="H28" s="32" t="str">
        <f>IF(Tabla1[[#This Row],[EXPEDIENTE]]&lt;&gt;"", GetData(Tabla1[[#This Row],[EXPEDIENTE]], 2), "")</f>
        <v>Analista Especializado Consultivo C</v>
      </c>
      <c r="I28" s="33" t="str">
        <f>IF(Tabla1[[#This Row],[EXPEDIENTE]]&lt;&gt;"", GetData(Tabla1[[#This Row],[EXPEDIENTE]], 6), "")</f>
        <v>BAHA900124MPLLRN07</v>
      </c>
      <c r="J28" s="33" t="str">
        <f>IF(Tabla1[[#This Row],[EXPEDIENTE]]&lt;&gt;"", GetData(Tabla1[[#This Row],[EXPEDIENTE]], 7), "")</f>
        <v>BAHA900124QA6</v>
      </c>
      <c r="K28" s="34" t="str">
        <f>IF(Tabla1[[#This Row],[EXPEDIENTE]]&lt;&gt;"", GetData(Tabla1[[#This Row],[EXPEDIENTE]], 8), "")</f>
        <v>ACTIVO</v>
      </c>
      <c r="L28" s="35" t="str">
        <f>IF(Tabla1[[#This Row],[EXPEDIENTE]]&lt;&gt;"", GetData(Tabla1[[#This Row],[EXPEDIENTE]], 9), "")</f>
        <v>01/05/2025</v>
      </c>
      <c r="M28" s="36">
        <v>30</v>
      </c>
      <c r="N28" s="30" t="s">
        <v>6</v>
      </c>
      <c r="O28" s="37" t="str">
        <f>IF(Tabla1[[#This Row],[EXPEDIENTE]]&lt;&gt;"", GetData(Tabla1[[#This Row],[EXPEDIENTE]], 10), "")</f>
        <v>M</v>
      </c>
      <c r="P28" s="38" t="str">
        <f>IF(Tabla1[[#This Row],[EXPEDIENTE]]&lt;&gt;"", GetData(Tabla1[[#This Row],[EXPEDIENTE]], 11), "")</f>
        <v>35</v>
      </c>
      <c r="Q28" s="39">
        <f>Tabla1[[#This Row],[SUELDO MENSUAL]]/30</f>
        <v>278.8</v>
      </c>
      <c r="R28" s="40">
        <v>8364</v>
      </c>
      <c r="S28" s="40">
        <v>284</v>
      </c>
      <c r="T28" s="40">
        <v>6016</v>
      </c>
      <c r="U28" s="40">
        <v>0</v>
      </c>
      <c r="V28" s="40">
        <v>0</v>
      </c>
      <c r="W28" s="41">
        <f t="shared" si="1"/>
        <v>14664</v>
      </c>
      <c r="X28" s="42">
        <f t="shared" si="5"/>
        <v>1342.6075200000002</v>
      </c>
      <c r="Y28" s="40">
        <f>(Q28*30.4)*13%</f>
        <v>1101.8176000000001</v>
      </c>
      <c r="Z28" s="43">
        <f t="shared" si="6"/>
        <v>2444.4251200000003</v>
      </c>
      <c r="AA28" s="44">
        <f t="shared" si="7"/>
        <v>12219.57488</v>
      </c>
      <c r="AB28" s="45">
        <v>0.26</v>
      </c>
      <c r="AC28" s="45">
        <f>(Q28*30.4)*AB28</f>
        <v>2203.6352000000002</v>
      </c>
      <c r="AD28" s="46">
        <f t="shared" si="2"/>
        <v>167.28</v>
      </c>
      <c r="AE28" s="45">
        <f t="shared" si="3"/>
        <v>439.91999999999996</v>
      </c>
      <c r="AF28" s="44">
        <f t="shared" si="8"/>
        <v>2810.8352000000004</v>
      </c>
      <c r="AG28" s="47">
        <f t="shared" si="4"/>
        <v>17474.835200000001</v>
      </c>
    </row>
    <row r="29" spans="1:33" s="1" customFormat="1" ht="30" customHeight="1" x14ac:dyDescent="0.25">
      <c r="A29" s="27">
        <v>92700200</v>
      </c>
      <c r="B29" s="28" t="str">
        <f>IF(Tabla1[[#This Row],[EXPEDIENTE]]&lt;&gt;"", GetData(Tabla1[[#This Row],[EXPEDIENTE]], 5), "")</f>
        <v>186</v>
      </c>
      <c r="C29" s="29" t="str">
        <f>IF(Tabla1[[#This Row],[EXPEDIENTE]]&lt;&gt;"", GetData(Tabla1[[#This Row],[EXPEDIENTE]], 3), "")</f>
        <v>47</v>
      </c>
      <c r="D29" s="30" t="str">
        <f>IF(Tabla1[[#This Row],[EXPEDIENTE]]&lt;&gt;"", GetData(Tabla1[[#This Row],[EXPEDIENTE]], 4), "")</f>
        <v>G0501</v>
      </c>
      <c r="E29" s="48" t="s">
        <v>18</v>
      </c>
      <c r="F29" s="32" t="str">
        <f>IF(Tabla1[[#This Row],[EXPEDIENTE]]&lt;&gt;"", GetData(Tabla1[[#This Row],[EXPEDIENTE]], 0), "VACANTE")</f>
        <v>SALAS PEREZ LUCERO</v>
      </c>
      <c r="G29" s="32" t="str">
        <f>IF(Tabla1[[#This Row],[EXPEDIENTE]]&lt;&gt;"", GetData(Tabla1[[#This Row],[EXPEDIENTE]], 1), "")</f>
        <v>DIRECCIÓN DE ACADEMIA DE LAS LENGUAS INDIGENAS</v>
      </c>
      <c r="H29" s="32" t="str">
        <f>IF(Tabla1[[#This Row],[EXPEDIENTE]]&lt;&gt;"", GetData(Tabla1[[#This Row],[EXPEDIENTE]], 2), "")</f>
        <v>DIRECTORA ACADEMIA DE LAS LENGUAS INDÍGENAS</v>
      </c>
      <c r="I29" s="33" t="str">
        <f>IF(Tabla1[[#This Row],[EXPEDIENTE]]&lt;&gt;"", GetData(Tabla1[[#This Row],[EXPEDIENTE]], 6), "")</f>
        <v>SAPL000720MPLLRCA3</v>
      </c>
      <c r="J29" s="33" t="str">
        <f>IF(Tabla1[[#This Row],[EXPEDIENTE]]&lt;&gt;"", GetData(Tabla1[[#This Row],[EXPEDIENTE]], 7), "")</f>
        <v>SAPL000720T5A</v>
      </c>
      <c r="K29" s="34" t="str">
        <f>IF(Tabla1[[#This Row],[EXPEDIENTE]]&lt;&gt;"", GetData(Tabla1[[#This Row],[EXPEDIENTE]], 8), "")</f>
        <v>ACTIVO</v>
      </c>
      <c r="L29" s="35" t="str">
        <f>IF(Tabla1[[#This Row],[EXPEDIENTE]]&lt;&gt;"", GetData(Tabla1[[#This Row],[EXPEDIENTE]], 9), "")</f>
        <v>14/12/2024</v>
      </c>
      <c r="M29" s="36">
        <v>30</v>
      </c>
      <c r="N29" s="30" t="s">
        <v>6</v>
      </c>
      <c r="O29" s="37" t="str">
        <f>IF(Tabla1[[#This Row],[EXPEDIENTE]]&lt;&gt;"", GetData(Tabla1[[#This Row],[EXPEDIENTE]], 10), "")</f>
        <v>M</v>
      </c>
      <c r="P29" s="38" t="str">
        <f>IF(Tabla1[[#This Row],[EXPEDIENTE]]&lt;&gt;"", GetData(Tabla1[[#This Row],[EXPEDIENTE]], 11), "")</f>
        <v>25</v>
      </c>
      <c r="Q29" s="39">
        <f>Tabla1[[#This Row],[SUELDO MENSUAL]]/30</f>
        <v>492.46</v>
      </c>
      <c r="R29" s="40">
        <v>14773.8</v>
      </c>
      <c r="S29" s="40">
        <v>284</v>
      </c>
      <c r="T29" s="40">
        <v>26400</v>
      </c>
      <c r="U29" s="40">
        <v>0</v>
      </c>
      <c r="V29" s="40">
        <v>0</v>
      </c>
      <c r="W29" s="41">
        <f t="shared" si="1"/>
        <v>41457.800000000003</v>
      </c>
      <c r="X29" s="42">
        <f t="shared" si="5"/>
        <v>7098.6945920000016</v>
      </c>
      <c r="Y29" s="40">
        <f>R29*13%</f>
        <v>1920.5940000000001</v>
      </c>
      <c r="Z29" s="43">
        <f t="shared" si="6"/>
        <v>9019.2885920000008</v>
      </c>
      <c r="AA29" s="44">
        <f t="shared" si="7"/>
        <v>32438.511408000002</v>
      </c>
      <c r="AB29" s="45">
        <v>0.26</v>
      </c>
      <c r="AC29" s="45">
        <f>R29*AB29</f>
        <v>3841.1880000000001</v>
      </c>
      <c r="AD29" s="46">
        <f t="shared" si="2"/>
        <v>295.476</v>
      </c>
      <c r="AE29" s="45">
        <f t="shared" si="3"/>
        <v>1243.7340000000002</v>
      </c>
      <c r="AF29" s="44">
        <f t="shared" si="8"/>
        <v>5380.3980000000001</v>
      </c>
      <c r="AG29" s="47">
        <f t="shared" si="4"/>
        <v>46838.198000000004</v>
      </c>
    </row>
    <row r="30" spans="1:33" s="1" customFormat="1" ht="30" customHeight="1" x14ac:dyDescent="0.25">
      <c r="A30" s="27">
        <v>92700220</v>
      </c>
      <c r="B30" s="28" t="str">
        <f>IF(Tabla1[[#This Row],[EXPEDIENTE]]&lt;&gt;"", GetData(Tabla1[[#This Row],[EXPEDIENTE]], 5), "")</f>
        <v>188</v>
      </c>
      <c r="C30" s="29" t="str">
        <f>IF(Tabla1[[#This Row],[EXPEDIENTE]]&lt;&gt;"", GetData(Tabla1[[#This Row],[EXPEDIENTE]], 3), "")</f>
        <v>48</v>
      </c>
      <c r="D30" s="30" t="str">
        <f>IF(Tabla1[[#This Row],[EXPEDIENTE]]&lt;&gt;"", GetData(Tabla1[[#This Row],[EXPEDIENTE]], 4), "")</f>
        <v>G0805</v>
      </c>
      <c r="E30" s="31" t="s">
        <v>19</v>
      </c>
      <c r="F30" s="32" t="str">
        <f>IF(Tabla1[[#This Row],[EXPEDIENTE]]&lt;&gt;"", GetData(Tabla1[[#This Row],[EXPEDIENTE]], 0), "VACANTE")</f>
        <v>MARTINEZ BAEZ HECTOR ROMUALDO</v>
      </c>
      <c r="G30" s="32" t="str">
        <f>IF(Tabla1[[#This Row],[EXPEDIENTE]]&lt;&gt;"", GetData(Tabla1[[#This Row],[EXPEDIENTE]], 1), "")</f>
        <v>DEPARTAMENTO DE DESARROLLO DE LENGUAS INDÍGENAS</v>
      </c>
      <c r="H30" s="32" t="str">
        <f>IF(Tabla1[[#This Row],[EXPEDIENTE]]&lt;&gt;"", GetData(Tabla1[[#This Row],[EXPEDIENTE]], 2), "")</f>
        <v>Jefe de Departamento</v>
      </c>
      <c r="I30" s="33" t="str">
        <f>IF(Tabla1[[#This Row],[EXPEDIENTE]]&lt;&gt;"", GetData(Tabla1[[#This Row],[EXPEDIENTE]], 6), "")</f>
        <v>MABH640207HPLRZC08</v>
      </c>
      <c r="J30" s="33" t="str">
        <f>IF(Tabla1[[#This Row],[EXPEDIENTE]]&lt;&gt;"", GetData(Tabla1[[#This Row],[EXPEDIENTE]], 7), "")</f>
        <v>MABH640207BX0</v>
      </c>
      <c r="K30" s="34" t="str">
        <f>IF(Tabla1[[#This Row],[EXPEDIENTE]]&lt;&gt;"", GetData(Tabla1[[#This Row],[EXPEDIENTE]], 8), "")</f>
        <v>ACTIVO</v>
      </c>
      <c r="L30" s="35" t="str">
        <f>IF(Tabla1[[#This Row],[EXPEDIENTE]]&lt;&gt;"", GetData(Tabla1[[#This Row],[EXPEDIENTE]], 9), "")</f>
        <v/>
      </c>
      <c r="M30" s="36">
        <v>30</v>
      </c>
      <c r="N30" s="30" t="s">
        <v>6</v>
      </c>
      <c r="O30" s="37" t="str">
        <f>IF(Tabla1[[#This Row],[EXPEDIENTE]]&lt;&gt;"", GetData(Tabla1[[#This Row],[EXPEDIENTE]], 10), "")</f>
        <v>H</v>
      </c>
      <c r="P30" s="38" t="str">
        <f>IF(Tabla1[[#This Row],[EXPEDIENTE]]&lt;&gt;"", GetData(Tabla1[[#This Row],[EXPEDIENTE]], 11), "")</f>
        <v>61</v>
      </c>
      <c r="Q30" s="39">
        <f>Tabla1[[#This Row],[SUELDO MENSUAL]]/30</f>
        <v>278.8</v>
      </c>
      <c r="R30" s="40">
        <v>8364</v>
      </c>
      <c r="S30" s="40">
        <v>284</v>
      </c>
      <c r="T30" s="40">
        <v>11283.14</v>
      </c>
      <c r="U30" s="40">
        <v>0</v>
      </c>
      <c r="V30" s="40">
        <v>0</v>
      </c>
      <c r="W30" s="41">
        <f t="shared" si="1"/>
        <v>19931.14</v>
      </c>
      <c r="X30" s="42">
        <f t="shared" si="5"/>
        <v>2368.9438639999994</v>
      </c>
      <c r="Y30" s="40">
        <f>(Q30*30.4)*13%</f>
        <v>1101.8176000000001</v>
      </c>
      <c r="Z30" s="43">
        <f t="shared" si="6"/>
        <v>3470.7614639999993</v>
      </c>
      <c r="AA30" s="44">
        <f t="shared" si="7"/>
        <v>16460.378536</v>
      </c>
      <c r="AB30" s="45">
        <v>0.19</v>
      </c>
      <c r="AC30" s="45">
        <f>(Q30*30.4)*AB30</f>
        <v>1610.3488000000002</v>
      </c>
      <c r="AD30" s="46">
        <f t="shared" si="2"/>
        <v>167.28</v>
      </c>
      <c r="AE30" s="45">
        <f t="shared" si="3"/>
        <v>597.93419999999992</v>
      </c>
      <c r="AF30" s="44">
        <f t="shared" si="8"/>
        <v>2375.5630000000001</v>
      </c>
      <c r="AG30" s="47">
        <f t="shared" si="4"/>
        <v>22306.703000000001</v>
      </c>
    </row>
    <row r="31" spans="1:33" s="1" customFormat="1" ht="30" customHeight="1" x14ac:dyDescent="0.25">
      <c r="A31" s="27"/>
      <c r="B31" s="28" t="str">
        <f>IF(Tabla1[[#This Row],[EXPEDIENTE]]&lt;&gt;"", GetData(Tabla1[[#This Row],[EXPEDIENTE]], 5), "")</f>
        <v/>
      </c>
      <c r="C31" s="29" t="str">
        <f>IF(Tabla1[[#This Row],[EXPEDIENTE]]&lt;&gt;"", GetData(Tabla1[[#This Row],[EXPEDIENTE]], 3), "")</f>
        <v/>
      </c>
      <c r="D31" s="30" t="str">
        <f>IF(Tabla1[[#This Row],[EXPEDIENTE]]&lt;&gt;"", GetData(Tabla1[[#This Row],[EXPEDIENTE]], 4), "")</f>
        <v/>
      </c>
      <c r="E31" s="31" t="s">
        <v>58</v>
      </c>
      <c r="F31" s="32" t="str">
        <f>IF(Tabla1[[#This Row],[EXPEDIENTE]]&lt;&gt;"", GetData(Tabla1[[#This Row],[EXPEDIENTE]], 0), "VACANTE")</f>
        <v>VACANTE</v>
      </c>
      <c r="G31" s="32" t="str">
        <f>IF(Tabla1[[#This Row],[EXPEDIENTE]]&lt;&gt;"", GetData(Tabla1[[#This Row],[EXPEDIENTE]], 1), "")</f>
        <v/>
      </c>
      <c r="H31" s="32" t="str">
        <f>IF(Tabla1[[#This Row],[EXPEDIENTE]]&lt;&gt;"", GetData(Tabla1[[#This Row],[EXPEDIENTE]], 2), "")</f>
        <v/>
      </c>
      <c r="I31" s="33" t="str">
        <f>IF(Tabla1[[#This Row],[EXPEDIENTE]]&lt;&gt;"", GetData(Tabla1[[#This Row],[EXPEDIENTE]], 6), "")</f>
        <v/>
      </c>
      <c r="J31" s="33" t="str">
        <f>IF(Tabla1[[#This Row],[EXPEDIENTE]]&lt;&gt;"", GetData(Tabla1[[#This Row],[EXPEDIENTE]], 7), "")</f>
        <v/>
      </c>
      <c r="K31" s="34" t="str">
        <f>IF(Tabla1[[#This Row],[EXPEDIENTE]]&lt;&gt;"", GetData(Tabla1[[#This Row],[EXPEDIENTE]], 8), "")</f>
        <v/>
      </c>
      <c r="L31" s="35" t="str">
        <f>IF(Tabla1[[#This Row],[EXPEDIENTE]]&lt;&gt;"", GetData(Tabla1[[#This Row],[EXPEDIENTE]], 9), "")</f>
        <v/>
      </c>
      <c r="M31" s="36">
        <v>30</v>
      </c>
      <c r="N31" s="30" t="s">
        <v>6</v>
      </c>
      <c r="O31" s="37" t="str">
        <f>IF(Tabla1[[#This Row],[EXPEDIENTE]]&lt;&gt;"", GetData(Tabla1[[#This Row],[EXPEDIENTE]], 10), "")</f>
        <v/>
      </c>
      <c r="P31" s="38" t="str">
        <f>IF(Tabla1[[#This Row],[EXPEDIENTE]]&lt;&gt;"", GetData(Tabla1[[#This Row],[EXPEDIENTE]], 11), "")</f>
        <v/>
      </c>
      <c r="Q31" s="39">
        <f>Tabla1[[#This Row],[SUELDO MENSUAL]]/30</f>
        <v>278.8</v>
      </c>
      <c r="R31" s="40">
        <v>8364</v>
      </c>
      <c r="S31" s="40">
        <v>284</v>
      </c>
      <c r="T31" s="40">
        <v>10000</v>
      </c>
      <c r="U31" s="40">
        <v>0</v>
      </c>
      <c r="V31" s="40">
        <v>0</v>
      </c>
      <c r="W31" s="41">
        <f t="shared" si="1"/>
        <v>18648</v>
      </c>
      <c r="X31" s="42">
        <f t="shared" si="5"/>
        <v>2094.8651599999994</v>
      </c>
      <c r="Y31" s="40">
        <f>(Q31*30.4)*13%</f>
        <v>1101.8176000000001</v>
      </c>
      <c r="Z31" s="43">
        <f t="shared" si="6"/>
        <v>3196.6827599999997</v>
      </c>
      <c r="AA31" s="44">
        <f t="shared" si="7"/>
        <v>15451.31724</v>
      </c>
      <c r="AB31" s="45">
        <v>0.26</v>
      </c>
      <c r="AC31" s="45">
        <f>(Q31*30.4)*AB31</f>
        <v>2203.6352000000002</v>
      </c>
      <c r="AD31" s="46">
        <f t="shared" si="2"/>
        <v>167.28</v>
      </c>
      <c r="AE31" s="45">
        <f t="shared" si="3"/>
        <v>559.43999999999994</v>
      </c>
      <c r="AF31" s="44">
        <f t="shared" si="8"/>
        <v>2930.3552000000004</v>
      </c>
      <c r="AG31" s="47">
        <f t="shared" si="4"/>
        <v>21578.355200000002</v>
      </c>
    </row>
    <row r="32" spans="1:33" s="1" customFormat="1" ht="30" customHeight="1" x14ac:dyDescent="0.25">
      <c r="A32" s="27"/>
      <c r="B32" s="28" t="str">
        <f>IF(Tabla1[[#This Row],[EXPEDIENTE]]&lt;&gt;"", GetData(Tabla1[[#This Row],[EXPEDIENTE]], 5), "")</f>
        <v/>
      </c>
      <c r="C32" s="29" t="str">
        <f>IF(Tabla1[[#This Row],[EXPEDIENTE]]&lt;&gt;"", GetData(Tabla1[[#This Row],[EXPEDIENTE]], 3), "")</f>
        <v/>
      </c>
      <c r="D32" s="30" t="str">
        <f>IF(Tabla1[[#This Row],[EXPEDIENTE]]&lt;&gt;"", GetData(Tabla1[[#This Row],[EXPEDIENTE]], 4), "")</f>
        <v/>
      </c>
      <c r="E32" s="31" t="s">
        <v>20</v>
      </c>
      <c r="F32" s="32" t="str">
        <f>IF(Tabla1[[#This Row],[EXPEDIENTE]]&lt;&gt;"", GetData(Tabla1[[#This Row],[EXPEDIENTE]], 0), "VACANTE")</f>
        <v>VACANTE</v>
      </c>
      <c r="G32" s="32" t="str">
        <f>IF(Tabla1[[#This Row],[EXPEDIENTE]]&lt;&gt;"", GetData(Tabla1[[#This Row],[EXPEDIENTE]], 1), "")</f>
        <v/>
      </c>
      <c r="H32" s="32" t="str">
        <f>IF(Tabla1[[#This Row],[EXPEDIENTE]]&lt;&gt;"", GetData(Tabla1[[#This Row],[EXPEDIENTE]], 2), "")</f>
        <v/>
      </c>
      <c r="I32" s="33" t="str">
        <f>IF(Tabla1[[#This Row],[EXPEDIENTE]]&lt;&gt;"", GetData(Tabla1[[#This Row],[EXPEDIENTE]], 6), "")</f>
        <v/>
      </c>
      <c r="J32" s="33" t="str">
        <f>IF(Tabla1[[#This Row],[EXPEDIENTE]]&lt;&gt;"", GetData(Tabla1[[#This Row],[EXPEDIENTE]], 7), "")</f>
        <v/>
      </c>
      <c r="K32" s="34" t="str">
        <f>IF(Tabla1[[#This Row],[EXPEDIENTE]]&lt;&gt;"", GetData(Tabla1[[#This Row],[EXPEDIENTE]], 8), "")</f>
        <v/>
      </c>
      <c r="L32" s="35" t="str">
        <f>IF(Tabla1[[#This Row],[EXPEDIENTE]]&lt;&gt;"", GetData(Tabla1[[#This Row],[EXPEDIENTE]], 9), "")</f>
        <v/>
      </c>
      <c r="M32" s="36">
        <v>30</v>
      </c>
      <c r="N32" s="30" t="s">
        <v>6</v>
      </c>
      <c r="O32" s="37" t="str">
        <f>IF(Tabla1[[#This Row],[EXPEDIENTE]]&lt;&gt;"", GetData(Tabla1[[#This Row],[EXPEDIENTE]], 10), "")</f>
        <v/>
      </c>
      <c r="P32" s="38" t="str">
        <f>IF(Tabla1[[#This Row],[EXPEDIENTE]]&lt;&gt;"", GetData(Tabla1[[#This Row],[EXPEDIENTE]], 11), "")</f>
        <v/>
      </c>
      <c r="Q32" s="39">
        <f>Tabla1[[#This Row],[SUELDO MENSUAL]]/30</f>
        <v>278.8</v>
      </c>
      <c r="R32" s="40">
        <v>8364</v>
      </c>
      <c r="S32" s="40">
        <v>284</v>
      </c>
      <c r="T32" s="40">
        <v>11283.14</v>
      </c>
      <c r="U32" s="40">
        <v>0</v>
      </c>
      <c r="V32" s="40">
        <v>0</v>
      </c>
      <c r="W32" s="41">
        <f t="shared" si="1"/>
        <v>19931.14</v>
      </c>
      <c r="X32" s="42">
        <f t="shared" si="5"/>
        <v>2368.9438639999994</v>
      </c>
      <c r="Y32" s="40">
        <f>(Q32*30.4)*13%</f>
        <v>1101.8176000000001</v>
      </c>
      <c r="Z32" s="43">
        <f t="shared" si="6"/>
        <v>3470.7614639999993</v>
      </c>
      <c r="AA32" s="44">
        <f t="shared" si="7"/>
        <v>16460.378536</v>
      </c>
      <c r="AB32" s="45">
        <v>0.26</v>
      </c>
      <c r="AC32" s="45">
        <f>(Q32*30.4)*AB32</f>
        <v>2203.6352000000002</v>
      </c>
      <c r="AD32" s="46">
        <f t="shared" si="2"/>
        <v>167.28</v>
      </c>
      <c r="AE32" s="45">
        <f t="shared" si="3"/>
        <v>597.93419999999992</v>
      </c>
      <c r="AF32" s="44">
        <f t="shared" si="8"/>
        <v>2968.8494000000001</v>
      </c>
      <c r="AG32" s="47">
        <f t="shared" si="4"/>
        <v>22899.989399999999</v>
      </c>
    </row>
    <row r="33" spans="1:33" s="1" customFormat="1" ht="30" customHeight="1" x14ac:dyDescent="0.25">
      <c r="A33" s="27">
        <v>92700132</v>
      </c>
      <c r="B33" s="28" t="str">
        <f>IF(Tabla1[[#This Row],[EXPEDIENTE]]&lt;&gt;"", GetData(Tabla1[[#This Row],[EXPEDIENTE]], 5), "")</f>
        <v>189</v>
      </c>
      <c r="C33" s="29" t="str">
        <f>IF(Tabla1[[#This Row],[EXPEDIENTE]]&lt;&gt;"", GetData(Tabla1[[#This Row],[EXPEDIENTE]], 3), "")</f>
        <v>49</v>
      </c>
      <c r="D33" s="30" t="str">
        <f>IF(Tabla1[[#This Row],[EXPEDIENTE]]&lt;&gt;"", GetData(Tabla1[[#This Row],[EXPEDIENTE]], 4), "")</f>
        <v>G0805</v>
      </c>
      <c r="E33" s="48" t="s">
        <v>59</v>
      </c>
      <c r="F33" s="32" t="str">
        <f>IF(Tabla1[[#This Row],[EXPEDIENTE]]&lt;&gt;"", GetData(Tabla1[[#This Row],[EXPEDIENTE]], 0), "VACANTE")</f>
        <v>ALDANA RAMIREZ ZAHIRA</v>
      </c>
      <c r="G33" s="32" t="str">
        <f>IF(Tabla1[[#This Row],[EXPEDIENTE]]&lt;&gt;"", GetData(Tabla1[[#This Row],[EXPEDIENTE]], 1), "")</f>
        <v>DIRECCIÓN ACADEMIA DE LAS LENGUAS INDÍGENAS</v>
      </c>
      <c r="H33" s="32" t="str">
        <f>IF(Tabla1[[#This Row],[EXPEDIENTE]]&lt;&gt;"", GetData(Tabla1[[#This Row],[EXPEDIENTE]], 2), "")</f>
        <v>Jefe de Departamento de Formación de Traductores e Intérpretes</v>
      </c>
      <c r="I33" s="33" t="str">
        <f>IF(Tabla1[[#This Row],[EXPEDIENTE]]&lt;&gt;"", GetData(Tabla1[[#This Row],[EXPEDIENTE]], 6), "")</f>
        <v>AARZ950820MPLLMH05</v>
      </c>
      <c r="J33" s="33" t="str">
        <f>IF(Tabla1[[#This Row],[EXPEDIENTE]]&lt;&gt;"", GetData(Tabla1[[#This Row],[EXPEDIENTE]], 7), "")</f>
        <v>AARZ950820LC4</v>
      </c>
      <c r="K33" s="34" t="str">
        <f>IF(Tabla1[[#This Row],[EXPEDIENTE]]&lt;&gt;"", GetData(Tabla1[[#This Row],[EXPEDIENTE]], 8), "")</f>
        <v>ACTIVO</v>
      </c>
      <c r="L33" s="35" t="str">
        <f>IF(Tabla1[[#This Row],[EXPEDIENTE]]&lt;&gt;"", GetData(Tabla1[[#This Row],[EXPEDIENTE]], 9), "")</f>
        <v/>
      </c>
      <c r="M33" s="36">
        <v>30</v>
      </c>
      <c r="N33" s="30" t="s">
        <v>6</v>
      </c>
      <c r="O33" s="37" t="str">
        <f>IF(Tabla1[[#This Row],[EXPEDIENTE]]&lt;&gt;"", GetData(Tabla1[[#This Row],[EXPEDIENTE]], 10), "")</f>
        <v>M</v>
      </c>
      <c r="P33" s="38" t="str">
        <f>IF(Tabla1[[#This Row],[EXPEDIENTE]]&lt;&gt;"", GetData(Tabla1[[#This Row],[EXPEDIENTE]], 11), "")</f>
        <v>30</v>
      </c>
      <c r="Q33" s="39">
        <f>Tabla1[[#This Row],[SUELDO MENSUAL]]/30</f>
        <v>278.8</v>
      </c>
      <c r="R33" s="40">
        <v>8364</v>
      </c>
      <c r="S33" s="40">
        <v>284</v>
      </c>
      <c r="T33" s="40">
        <v>10000</v>
      </c>
      <c r="U33" s="40">
        <v>87.5</v>
      </c>
      <c r="V33" s="40">
        <v>0</v>
      </c>
      <c r="W33" s="41">
        <f t="shared" si="1"/>
        <v>18735.5</v>
      </c>
      <c r="X33" s="42">
        <f t="shared" si="5"/>
        <v>2113.5551599999994</v>
      </c>
      <c r="Y33" s="40">
        <f>(Q33*30.4)*13%</f>
        <v>1101.8176000000001</v>
      </c>
      <c r="Z33" s="43">
        <f t="shared" si="6"/>
        <v>3215.3727599999993</v>
      </c>
      <c r="AA33" s="44">
        <f t="shared" si="7"/>
        <v>15520.127240000002</v>
      </c>
      <c r="AB33" s="45">
        <v>0.26</v>
      </c>
      <c r="AC33" s="45">
        <f>(Q33*30.4)*AB33</f>
        <v>2203.6352000000002</v>
      </c>
      <c r="AD33" s="46">
        <f t="shared" si="2"/>
        <v>167.28</v>
      </c>
      <c r="AE33" s="45">
        <f t="shared" si="3"/>
        <v>562.06499999999994</v>
      </c>
      <c r="AF33" s="44">
        <f t="shared" si="8"/>
        <v>2932.9802000000004</v>
      </c>
      <c r="AG33" s="47">
        <f t="shared" si="4"/>
        <v>21668.480200000002</v>
      </c>
    </row>
    <row r="34" spans="1:33" s="1" customFormat="1" ht="30" customHeight="1" x14ac:dyDescent="0.25">
      <c r="A34" s="27">
        <v>92700132</v>
      </c>
      <c r="B34" s="28" t="str">
        <f>IF(Tabla1[[#This Row],[EXPEDIENTE]]&lt;&gt;"", GetData(Tabla1[[#This Row],[EXPEDIENTE]], 5), "")</f>
        <v>189</v>
      </c>
      <c r="C34" s="29" t="str">
        <f>IF(Tabla1[[#This Row],[EXPEDIENTE]]&lt;&gt;"", GetData(Tabla1[[#This Row],[EXPEDIENTE]], 3), "")</f>
        <v>49</v>
      </c>
      <c r="D34" s="30" t="str">
        <f>IF(Tabla1[[#This Row],[EXPEDIENTE]]&lt;&gt;"", GetData(Tabla1[[#This Row],[EXPEDIENTE]], 4), "")</f>
        <v>G0805</v>
      </c>
      <c r="E34" s="48" t="s">
        <v>59</v>
      </c>
      <c r="F34" s="32" t="str">
        <f>IF(Tabla1[[#This Row],[EXPEDIENTE]]&lt;&gt;"", GetData(Tabla1[[#This Row],[EXPEDIENTE]], 0), "VACANTE")</f>
        <v>ALDANA RAMIREZ ZAHIRA</v>
      </c>
      <c r="G34" s="32" t="str">
        <f>IF(Tabla1[[#This Row],[EXPEDIENTE]]&lt;&gt;"", GetData(Tabla1[[#This Row],[EXPEDIENTE]], 1), "")</f>
        <v>DIRECCIÓN ACADEMIA DE LAS LENGUAS INDÍGENAS</v>
      </c>
      <c r="H34" s="32" t="str">
        <f>IF(Tabla1[[#This Row],[EXPEDIENTE]]&lt;&gt;"", GetData(Tabla1[[#This Row],[EXPEDIENTE]], 2), "")</f>
        <v>Jefe de Departamento de Formación de Traductores e Intérpretes</v>
      </c>
      <c r="I34" s="33" t="str">
        <f>IF(Tabla1[[#This Row],[EXPEDIENTE]]&lt;&gt;"", GetData(Tabla1[[#This Row],[EXPEDIENTE]], 6), "")</f>
        <v>AARZ950820MPLLMH05</v>
      </c>
      <c r="J34" s="33" t="str">
        <f>IF(Tabla1[[#This Row],[EXPEDIENTE]]&lt;&gt;"", GetData(Tabla1[[#This Row],[EXPEDIENTE]], 7), "")</f>
        <v>AARZ950820LC4</v>
      </c>
      <c r="K34" s="34" t="str">
        <f>IF(Tabla1[[#This Row],[EXPEDIENTE]]&lt;&gt;"", GetData(Tabla1[[#This Row],[EXPEDIENTE]], 8), "")</f>
        <v>ACTIVO</v>
      </c>
      <c r="L34" s="35" t="str">
        <f>IF(Tabla1[[#This Row],[EXPEDIENTE]]&lt;&gt;"", GetData(Tabla1[[#This Row],[EXPEDIENTE]], 9), "")</f>
        <v/>
      </c>
      <c r="M34" s="36">
        <v>30</v>
      </c>
      <c r="N34" s="30" t="s">
        <v>6</v>
      </c>
      <c r="O34" s="37" t="str">
        <f>IF(Tabla1[[#This Row],[EXPEDIENTE]]&lt;&gt;"", GetData(Tabla1[[#This Row],[EXPEDIENTE]], 10), "")</f>
        <v>M</v>
      </c>
      <c r="P34" s="38" t="str">
        <f>IF(Tabla1[[#This Row],[EXPEDIENTE]]&lt;&gt;"", GetData(Tabla1[[#This Row],[EXPEDIENTE]], 11), "")</f>
        <v>30</v>
      </c>
      <c r="Q34" s="39">
        <f>Tabla1[[#This Row],[SUELDO MENSUAL]]/30</f>
        <v>278.8</v>
      </c>
      <c r="R34" s="40">
        <v>8364</v>
      </c>
      <c r="S34" s="40">
        <v>284</v>
      </c>
      <c r="T34" s="40">
        <v>6016</v>
      </c>
      <c r="U34" s="40">
        <v>0</v>
      </c>
      <c r="V34" s="40">
        <v>0</v>
      </c>
      <c r="W34" s="41">
        <f t="shared" si="1"/>
        <v>14664</v>
      </c>
      <c r="X34" s="42">
        <f t="shared" si="5"/>
        <v>1342.6075200000002</v>
      </c>
      <c r="Y34" s="40">
        <f>(Q34*30.4)*13%</f>
        <v>1101.8176000000001</v>
      </c>
      <c r="Z34" s="43">
        <f t="shared" si="6"/>
        <v>2444.4251200000003</v>
      </c>
      <c r="AA34" s="44">
        <f t="shared" si="7"/>
        <v>12219.57488</v>
      </c>
      <c r="AB34" s="45">
        <v>0.26</v>
      </c>
      <c r="AC34" s="45">
        <f>(Q34*30.4)*AB34</f>
        <v>2203.6352000000002</v>
      </c>
      <c r="AD34" s="46">
        <f t="shared" si="2"/>
        <v>167.28</v>
      </c>
      <c r="AE34" s="45">
        <f t="shared" si="3"/>
        <v>439.91999999999996</v>
      </c>
      <c r="AF34" s="44">
        <f t="shared" si="8"/>
        <v>2810.8352000000004</v>
      </c>
      <c r="AG34" s="47">
        <f t="shared" si="4"/>
        <v>17474.835200000001</v>
      </c>
    </row>
    <row r="35" spans="1:33" s="1" customFormat="1" ht="30" customHeight="1" x14ac:dyDescent="0.25">
      <c r="A35" s="27">
        <v>92700239</v>
      </c>
      <c r="B35" s="28" t="str">
        <f>IF(Tabla1[[#This Row],[EXPEDIENTE]]&lt;&gt;"", GetData(Tabla1[[#This Row],[EXPEDIENTE]], 5), "")</f>
        <v>191</v>
      </c>
      <c r="C35" s="29" t="str">
        <f>IF(Tabla1[[#This Row],[EXPEDIENTE]]&lt;&gt;"", GetData(Tabla1[[#This Row],[EXPEDIENTE]], 3), "")</f>
        <v>51</v>
      </c>
      <c r="D35" s="30" t="str">
        <f>IF(Tabla1[[#This Row],[EXPEDIENTE]]&lt;&gt;"", GetData(Tabla1[[#This Row],[EXPEDIENTE]], 4), "")</f>
        <v>G0501</v>
      </c>
      <c r="E35" s="48" t="s">
        <v>60</v>
      </c>
      <c r="F35" s="32" t="str">
        <f>IF(Tabla1[[#This Row],[EXPEDIENTE]]&lt;&gt;"", GetData(Tabla1[[#This Row],[EXPEDIENTE]], 0), "VACANTE")</f>
        <v>ABURTO RODRIGUEZ JESSICA</v>
      </c>
      <c r="G35" s="32" t="str">
        <f>IF(Tabla1[[#This Row],[EXPEDIENTE]]&lt;&gt;"", GetData(Tabla1[[#This Row],[EXPEDIENTE]], 1), "")</f>
        <v>DIRECCIÓN DE ADMINISTRACIÓN Y FINANZAS</v>
      </c>
      <c r="H35" s="32" t="str">
        <f>IF(Tabla1[[#This Row],[EXPEDIENTE]]&lt;&gt;"", GetData(Tabla1[[#This Row],[EXPEDIENTE]], 2), "")</f>
        <v>Directora de Administración y Finanzas</v>
      </c>
      <c r="I35" s="33" t="str">
        <f>IF(Tabla1[[#This Row],[EXPEDIENTE]]&lt;&gt;"", GetData(Tabla1[[#This Row],[EXPEDIENTE]], 6), "")</f>
        <v>AURJ960422MPLBDS06</v>
      </c>
      <c r="J35" s="33" t="str">
        <f>IF(Tabla1[[#This Row],[EXPEDIENTE]]&lt;&gt;"", GetData(Tabla1[[#This Row],[EXPEDIENTE]], 7), "")</f>
        <v>AURJ960422H34</v>
      </c>
      <c r="K35" s="34" t="str">
        <f>IF(Tabla1[[#This Row],[EXPEDIENTE]]&lt;&gt;"", GetData(Tabla1[[#This Row],[EXPEDIENTE]], 8), "")</f>
        <v>ACTIVO</v>
      </c>
      <c r="L35" s="35" t="str">
        <f>IF(Tabla1[[#This Row],[EXPEDIENTE]]&lt;&gt;"", GetData(Tabla1[[#This Row],[EXPEDIENTE]], 9), "")</f>
        <v>16/03/2025</v>
      </c>
      <c r="M35" s="36">
        <v>30</v>
      </c>
      <c r="N35" s="30" t="s">
        <v>6</v>
      </c>
      <c r="O35" s="37" t="str">
        <f>IF(Tabla1[[#This Row],[EXPEDIENTE]]&lt;&gt;"", GetData(Tabla1[[#This Row],[EXPEDIENTE]], 10), "")</f>
        <v>M</v>
      </c>
      <c r="P35" s="38" t="str">
        <f>IF(Tabla1[[#This Row],[EXPEDIENTE]]&lt;&gt;"", GetData(Tabla1[[#This Row],[EXPEDIENTE]], 11), "")</f>
        <v>29</v>
      </c>
      <c r="Q35" s="39">
        <f>Tabla1[[#This Row],[SUELDO MENSUAL]]/30</f>
        <v>492.46</v>
      </c>
      <c r="R35" s="40">
        <v>14773.8</v>
      </c>
      <c r="S35" s="40">
        <v>284</v>
      </c>
      <c r="T35" s="40">
        <v>26400</v>
      </c>
      <c r="U35" s="40">
        <v>0</v>
      </c>
      <c r="V35" s="40">
        <v>0</v>
      </c>
      <c r="W35" s="41">
        <f t="shared" ref="W35:W54" si="9">R35+S35+T35+U35+V35</f>
        <v>41457.800000000003</v>
      </c>
      <c r="X35" s="42">
        <f t="shared" si="5"/>
        <v>7098.6945920000016</v>
      </c>
      <c r="Y35" s="40">
        <f>R35*13%</f>
        <v>1920.5940000000001</v>
      </c>
      <c r="Z35" s="43">
        <f t="shared" ref="Z35:Z54" si="10">SUM(X35:Y35)</f>
        <v>9019.2885920000008</v>
      </c>
      <c r="AA35" s="44">
        <f t="shared" si="7"/>
        <v>32438.511408000002</v>
      </c>
      <c r="AB35" s="45">
        <v>0.26</v>
      </c>
      <c r="AC35" s="45">
        <f>R35*AB35</f>
        <v>3841.1880000000001</v>
      </c>
      <c r="AD35" s="46">
        <f t="shared" si="2"/>
        <v>295.476</v>
      </c>
      <c r="AE35" s="45">
        <f t="shared" si="3"/>
        <v>1243.7340000000002</v>
      </c>
      <c r="AF35" s="44">
        <f t="shared" si="8"/>
        <v>5380.3980000000001</v>
      </c>
      <c r="AG35" s="47">
        <f t="shared" si="4"/>
        <v>46838.198000000004</v>
      </c>
    </row>
    <row r="36" spans="1:33" s="1" customFormat="1" ht="30" customHeight="1" x14ac:dyDescent="0.25">
      <c r="A36" s="27">
        <v>92700205</v>
      </c>
      <c r="B36" s="28" t="str">
        <f>IF(Tabla1[[#This Row],[EXPEDIENTE]]&lt;&gt;"", GetData(Tabla1[[#This Row],[EXPEDIENTE]], 5), "")</f>
        <v>191</v>
      </c>
      <c r="C36" s="29" t="str">
        <f>IF(Tabla1[[#This Row],[EXPEDIENTE]]&lt;&gt;"", GetData(Tabla1[[#This Row],[EXPEDIENTE]], 3), "")</f>
        <v>16</v>
      </c>
      <c r="D36" s="30" t="str">
        <f>IF(Tabla1[[#This Row],[EXPEDIENTE]]&lt;&gt;"", GetData(Tabla1[[#This Row],[EXPEDIENTE]], 4), "")</f>
        <v>G0807</v>
      </c>
      <c r="E36" s="48" t="s">
        <v>61</v>
      </c>
      <c r="F36" s="32" t="str">
        <f>IF(Tabla1[[#This Row],[EXPEDIENTE]]&lt;&gt;"", GetData(Tabla1[[#This Row],[EXPEDIENTE]], 0), "VACANTE")</f>
        <v>ALVA ALVA JACOBO</v>
      </c>
      <c r="G36" s="32" t="str">
        <f>IF(Tabla1[[#This Row],[EXPEDIENTE]]&lt;&gt;"", GetData(Tabla1[[#This Row],[EXPEDIENTE]], 1), "")</f>
        <v>DIRECCIÓN DE ADMINISTRACIÓN Y FINANZAS</v>
      </c>
      <c r="H36" s="32" t="str">
        <f>IF(Tabla1[[#This Row],[EXPEDIENTE]]&lt;&gt;"", GetData(Tabla1[[#This Row],[EXPEDIENTE]], 2), "")</f>
        <v>Analista Especializado Consultivo B</v>
      </c>
      <c r="I36" s="33" t="str">
        <f>IF(Tabla1[[#This Row],[EXPEDIENTE]]&lt;&gt;"", GetData(Tabla1[[#This Row],[EXPEDIENTE]], 6), "")</f>
        <v>AAAJ930510HPLLLC06</v>
      </c>
      <c r="J36" s="33" t="str">
        <f>IF(Tabla1[[#This Row],[EXPEDIENTE]]&lt;&gt;"", GetData(Tabla1[[#This Row],[EXPEDIENTE]], 7), "")</f>
        <v>AAAJ930510F96</v>
      </c>
      <c r="K36" s="34" t="str">
        <f>IF(Tabla1[[#This Row],[EXPEDIENTE]]&lt;&gt;"", GetData(Tabla1[[#This Row],[EXPEDIENTE]], 8), "")</f>
        <v>ACTIVO</v>
      </c>
      <c r="L36" s="35" t="str">
        <f>IF(Tabla1[[#This Row],[EXPEDIENTE]]&lt;&gt;"", GetData(Tabla1[[#This Row],[EXPEDIENTE]], 9), "")</f>
        <v/>
      </c>
      <c r="M36" s="36">
        <v>30</v>
      </c>
      <c r="N36" s="30" t="s">
        <v>6</v>
      </c>
      <c r="O36" s="37" t="str">
        <f>IF(Tabla1[[#This Row],[EXPEDIENTE]]&lt;&gt;"", GetData(Tabla1[[#This Row],[EXPEDIENTE]], 10), "")</f>
        <v>H</v>
      </c>
      <c r="P36" s="38" t="str">
        <f>IF(Tabla1[[#This Row],[EXPEDIENTE]]&lt;&gt;"", GetData(Tabla1[[#This Row],[EXPEDIENTE]], 11), "")</f>
        <v>32</v>
      </c>
      <c r="Q36" s="39">
        <f>Tabla1[[#This Row],[SUELDO MENSUAL]]/30</f>
        <v>280.76</v>
      </c>
      <c r="R36" s="40">
        <v>8422.7999999999993</v>
      </c>
      <c r="S36" s="40">
        <v>284</v>
      </c>
      <c r="T36" s="40">
        <v>15000</v>
      </c>
      <c r="U36" s="40">
        <v>0</v>
      </c>
      <c r="V36" s="40">
        <v>0</v>
      </c>
      <c r="W36" s="41">
        <f t="shared" si="9"/>
        <v>23706.799999999999</v>
      </c>
      <c r="X36" s="42">
        <f t="shared" si="5"/>
        <v>3175.4248399999997</v>
      </c>
      <c r="Y36" s="40">
        <v>1101.82</v>
      </c>
      <c r="Z36" s="43">
        <f t="shared" si="10"/>
        <v>4277.2448399999994</v>
      </c>
      <c r="AA36" s="44">
        <f t="shared" si="7"/>
        <v>19429.55516</v>
      </c>
      <c r="AB36" s="45">
        <v>0.26</v>
      </c>
      <c r="AC36" s="45">
        <v>2203.64</v>
      </c>
      <c r="AD36" s="46">
        <f t="shared" si="2"/>
        <v>168.45599999999999</v>
      </c>
      <c r="AE36" s="45">
        <f t="shared" si="3"/>
        <v>711.20399999999995</v>
      </c>
      <c r="AF36" s="44">
        <f t="shared" si="8"/>
        <v>3083.3</v>
      </c>
      <c r="AG36" s="47">
        <f t="shared" si="4"/>
        <v>26790.1</v>
      </c>
    </row>
    <row r="37" spans="1:33" s="1" customFormat="1" ht="30" customHeight="1" x14ac:dyDescent="0.25">
      <c r="A37" s="27"/>
      <c r="B37" s="28" t="str">
        <f>IF(Tabla1[[#This Row],[EXPEDIENTE]]&lt;&gt;"", GetData(Tabla1[[#This Row],[EXPEDIENTE]], 5), "")</f>
        <v/>
      </c>
      <c r="C37" s="29" t="str">
        <f>IF(Tabla1[[#This Row],[EXPEDIENTE]]&lt;&gt;"", GetData(Tabla1[[#This Row],[EXPEDIENTE]], 3), "")</f>
        <v/>
      </c>
      <c r="D37" s="30" t="str">
        <f>IF(Tabla1[[#This Row],[EXPEDIENTE]]&lt;&gt;"", GetData(Tabla1[[#This Row],[EXPEDIENTE]], 4), "")</f>
        <v/>
      </c>
      <c r="E37" s="48" t="s">
        <v>62</v>
      </c>
      <c r="F37" s="32" t="str">
        <f>IF(Tabla1[[#This Row],[EXPEDIENTE]]&lt;&gt;"", GetData(Tabla1[[#This Row],[EXPEDIENTE]], 0), "VACANTE")</f>
        <v>VACANTE</v>
      </c>
      <c r="G37" s="32" t="str">
        <f>IF(Tabla1[[#This Row],[EXPEDIENTE]]&lt;&gt;"", GetData(Tabla1[[#This Row],[EXPEDIENTE]], 1), "")</f>
        <v/>
      </c>
      <c r="H37" s="32" t="str">
        <f>IF(Tabla1[[#This Row],[EXPEDIENTE]]&lt;&gt;"", GetData(Tabla1[[#This Row],[EXPEDIENTE]], 2), "")</f>
        <v/>
      </c>
      <c r="I37" s="33" t="str">
        <f>IF(Tabla1[[#This Row],[EXPEDIENTE]]&lt;&gt;"", GetData(Tabla1[[#This Row],[EXPEDIENTE]], 6), "")</f>
        <v/>
      </c>
      <c r="J37" s="33" t="str">
        <f>IF(Tabla1[[#This Row],[EXPEDIENTE]]&lt;&gt;"", GetData(Tabla1[[#This Row],[EXPEDIENTE]], 7), "")</f>
        <v/>
      </c>
      <c r="K37" s="34" t="str">
        <f>IF(Tabla1[[#This Row],[EXPEDIENTE]]&lt;&gt;"", GetData(Tabla1[[#This Row],[EXPEDIENTE]], 8), "")</f>
        <v/>
      </c>
      <c r="L37" s="35" t="str">
        <f>IF(Tabla1[[#This Row],[EXPEDIENTE]]&lt;&gt;"", GetData(Tabla1[[#This Row],[EXPEDIENTE]], 9), "")</f>
        <v/>
      </c>
      <c r="M37" s="36">
        <v>30</v>
      </c>
      <c r="N37" s="30" t="s">
        <v>6</v>
      </c>
      <c r="O37" s="37" t="str">
        <f>IF(Tabla1[[#This Row],[EXPEDIENTE]]&lt;&gt;"", GetData(Tabla1[[#This Row],[EXPEDIENTE]], 10), "")</f>
        <v/>
      </c>
      <c r="P37" s="38" t="str">
        <f>IF(Tabla1[[#This Row],[EXPEDIENTE]]&lt;&gt;"", GetData(Tabla1[[#This Row],[EXPEDIENTE]], 11), "")</f>
        <v/>
      </c>
      <c r="Q37" s="39">
        <f>Tabla1[[#This Row],[SUELDO MENSUAL]]/30</f>
        <v>278.8</v>
      </c>
      <c r="R37" s="40">
        <v>8364</v>
      </c>
      <c r="S37" s="40">
        <v>284</v>
      </c>
      <c r="T37" s="40">
        <v>11283.14</v>
      </c>
      <c r="U37" s="40">
        <v>0</v>
      </c>
      <c r="V37" s="40">
        <v>0</v>
      </c>
      <c r="W37" s="41">
        <f t="shared" si="9"/>
        <v>19931.14</v>
      </c>
      <c r="X37" s="42">
        <f t="shared" si="5"/>
        <v>2368.9438639999994</v>
      </c>
      <c r="Y37" s="40">
        <f t="shared" ref="Y37:Y45" si="11">(Q37*30.4)*13%</f>
        <v>1101.8176000000001</v>
      </c>
      <c r="Z37" s="43">
        <f t="shared" si="10"/>
        <v>3470.7614639999993</v>
      </c>
      <c r="AA37" s="44">
        <f t="shared" si="7"/>
        <v>16460.378536</v>
      </c>
      <c r="AB37" s="45">
        <v>0.26</v>
      </c>
      <c r="AC37" s="45">
        <f t="shared" ref="AC37:AC45" si="12">(Q37*30.4)*AB37</f>
        <v>2203.6352000000002</v>
      </c>
      <c r="AD37" s="46">
        <f t="shared" si="2"/>
        <v>167.28</v>
      </c>
      <c r="AE37" s="45">
        <f t="shared" si="3"/>
        <v>597.93419999999992</v>
      </c>
      <c r="AF37" s="44">
        <f t="shared" si="8"/>
        <v>2968.8494000000001</v>
      </c>
      <c r="AG37" s="47">
        <f t="shared" si="4"/>
        <v>22899.989399999999</v>
      </c>
    </row>
    <row r="38" spans="1:33" s="1" customFormat="1" ht="30" customHeight="1" x14ac:dyDescent="0.25">
      <c r="A38" s="27">
        <v>92700212</v>
      </c>
      <c r="B38" s="28" t="str">
        <f>IF(Tabla1[[#This Row],[EXPEDIENTE]]&lt;&gt;"", GetData(Tabla1[[#This Row],[EXPEDIENTE]], 5), "")</f>
        <v>192</v>
      </c>
      <c r="C38" s="29" t="str">
        <f>IF(Tabla1[[#This Row],[EXPEDIENTE]]&lt;&gt;"", GetData(Tabla1[[#This Row],[EXPEDIENTE]], 3), "")</f>
        <v>61</v>
      </c>
      <c r="D38" s="30" t="str">
        <f>IF(Tabla1[[#This Row],[EXPEDIENTE]]&lt;&gt;"", GetData(Tabla1[[#This Row],[EXPEDIENTE]], 4), "")</f>
        <v>G0808</v>
      </c>
      <c r="E38" s="48" t="s">
        <v>63</v>
      </c>
      <c r="F38" s="32" t="str">
        <f>IF(Tabla1[[#This Row],[EXPEDIENTE]]&lt;&gt;"", GetData(Tabla1[[#This Row],[EXPEDIENTE]], 0), "VACANTE")</f>
        <v>PEREZ MORALES ARENDY</v>
      </c>
      <c r="G38" s="32" t="str">
        <f>IF(Tabla1[[#This Row],[EXPEDIENTE]]&lt;&gt;"", GetData(Tabla1[[#This Row],[EXPEDIENTE]], 1), "")</f>
        <v>DIRECCIÓN DE ADMINISTRACIÓN Y FINANZAS</v>
      </c>
      <c r="H38" s="32" t="str">
        <f>IF(Tabla1[[#This Row],[EXPEDIENTE]]&lt;&gt;"", GetData(Tabla1[[#This Row],[EXPEDIENTE]], 2), "")</f>
        <v>Analista Especializado Consultivo C</v>
      </c>
      <c r="I38" s="33" t="str">
        <f>IF(Tabla1[[#This Row],[EXPEDIENTE]]&lt;&gt;"", GetData(Tabla1[[#This Row],[EXPEDIENTE]], 6), "")</f>
        <v>PEMA970822MPLRRR09</v>
      </c>
      <c r="J38" s="33" t="str">
        <f>IF(Tabla1[[#This Row],[EXPEDIENTE]]&lt;&gt;"", GetData(Tabla1[[#This Row],[EXPEDIENTE]], 7), "")</f>
        <v>PEMA970822RC7</v>
      </c>
      <c r="K38" s="34" t="str">
        <f>IF(Tabla1[[#This Row],[EXPEDIENTE]]&lt;&gt;"", GetData(Tabla1[[#This Row],[EXPEDIENTE]], 8), "")</f>
        <v>ACTIVO</v>
      </c>
      <c r="L38" s="35" t="str">
        <f>IF(Tabla1[[#This Row],[EXPEDIENTE]]&lt;&gt;"", GetData(Tabla1[[#This Row],[EXPEDIENTE]], 9), "")</f>
        <v/>
      </c>
      <c r="M38" s="36">
        <v>30</v>
      </c>
      <c r="N38" s="30" t="s">
        <v>6</v>
      </c>
      <c r="O38" s="37" t="str">
        <f>IF(Tabla1[[#This Row],[EXPEDIENTE]]&lt;&gt;"", GetData(Tabla1[[#This Row],[EXPEDIENTE]], 10), "")</f>
        <v>M</v>
      </c>
      <c r="P38" s="38" t="str">
        <f>IF(Tabla1[[#This Row],[EXPEDIENTE]]&lt;&gt;"", GetData(Tabla1[[#This Row],[EXPEDIENTE]], 11), "")</f>
        <v>28</v>
      </c>
      <c r="Q38" s="39">
        <f>Tabla1[[#This Row],[SUELDO MENSUAL]]/30</f>
        <v>278.8</v>
      </c>
      <c r="R38" s="40">
        <v>8364</v>
      </c>
      <c r="S38" s="40">
        <v>284</v>
      </c>
      <c r="T38" s="40">
        <v>10000</v>
      </c>
      <c r="U38" s="40">
        <v>0</v>
      </c>
      <c r="V38" s="40">
        <v>0</v>
      </c>
      <c r="W38" s="41">
        <f t="shared" si="9"/>
        <v>18648</v>
      </c>
      <c r="X38" s="42">
        <f t="shared" si="5"/>
        <v>2094.8651599999994</v>
      </c>
      <c r="Y38" s="40">
        <f t="shared" si="11"/>
        <v>1101.8176000000001</v>
      </c>
      <c r="Z38" s="43">
        <f t="shared" si="10"/>
        <v>3196.6827599999997</v>
      </c>
      <c r="AA38" s="44">
        <f t="shared" si="7"/>
        <v>15451.31724</v>
      </c>
      <c r="AB38" s="45">
        <v>0.26</v>
      </c>
      <c r="AC38" s="45">
        <f t="shared" si="12"/>
        <v>2203.6352000000002</v>
      </c>
      <c r="AD38" s="46">
        <f t="shared" si="2"/>
        <v>167.28</v>
      </c>
      <c r="AE38" s="45">
        <f t="shared" si="3"/>
        <v>559.43999999999994</v>
      </c>
      <c r="AF38" s="44">
        <f t="shared" si="8"/>
        <v>2930.3552000000004</v>
      </c>
      <c r="AG38" s="47">
        <f t="shared" si="4"/>
        <v>21578.355200000002</v>
      </c>
    </row>
    <row r="39" spans="1:33" s="1" customFormat="1" ht="30" customHeight="1" x14ac:dyDescent="0.25">
      <c r="A39" s="27">
        <v>92700246</v>
      </c>
      <c r="B39" s="28" t="str">
        <f>IF(Tabla1[[#This Row],[EXPEDIENTE]]&lt;&gt;"", GetData(Tabla1[[#This Row],[EXPEDIENTE]], 5), "")</f>
        <v>192</v>
      </c>
      <c r="C39" s="29" t="str">
        <f>IF(Tabla1[[#This Row],[EXPEDIENTE]]&lt;&gt;"", GetData(Tabla1[[#This Row],[EXPEDIENTE]], 3), "")</f>
        <v>5</v>
      </c>
      <c r="D39" s="30" t="str">
        <f>IF(Tabla1[[#This Row],[EXPEDIENTE]]&lt;&gt;"", GetData(Tabla1[[#This Row],[EXPEDIENTE]], 4), "")</f>
        <v>G0805</v>
      </c>
      <c r="E39" s="48" t="s">
        <v>64</v>
      </c>
      <c r="F39" s="32" t="str">
        <f>IF(Tabla1[[#This Row],[EXPEDIENTE]]&lt;&gt;"", GetData(Tabla1[[#This Row],[EXPEDIENTE]], 0), "VACANTE")</f>
        <v>HERRERIAS GARZON MARIO ARTURO</v>
      </c>
      <c r="G39" s="32" t="str">
        <f>IF(Tabla1[[#This Row],[EXPEDIENTE]]&lt;&gt;"", GetData(Tabla1[[#This Row],[EXPEDIENTE]], 1), "")</f>
        <v>DIRECCIÓN DE ADMINISTRACIÓN Y FINANZAS</v>
      </c>
      <c r="H39" s="32" t="str">
        <f>IF(Tabla1[[#This Row],[EXPEDIENTE]]&lt;&gt;"", GetData(Tabla1[[#This Row],[EXPEDIENTE]], 2), "")</f>
        <v>Jefe de Departamento de Recursos Financieros</v>
      </c>
      <c r="I39" s="33" t="str">
        <f>IF(Tabla1[[#This Row],[EXPEDIENTE]]&lt;&gt;"", GetData(Tabla1[[#This Row],[EXPEDIENTE]], 6), "")</f>
        <v>HEGM000103HPLRRRA2</v>
      </c>
      <c r="J39" s="33" t="str">
        <f>IF(Tabla1[[#This Row],[EXPEDIENTE]]&lt;&gt;"", GetData(Tabla1[[#This Row],[EXPEDIENTE]], 7), "")</f>
        <v>HEGM000103E88</v>
      </c>
      <c r="K39" s="34" t="str">
        <f>IF(Tabla1[[#This Row],[EXPEDIENTE]]&lt;&gt;"", GetData(Tabla1[[#This Row],[EXPEDIENTE]], 8), "")</f>
        <v>ACTIVO</v>
      </c>
      <c r="L39" s="35" t="str">
        <f>IF(Tabla1[[#This Row],[EXPEDIENTE]]&lt;&gt;"", GetData(Tabla1[[#This Row],[EXPEDIENTE]], 9), "")</f>
        <v/>
      </c>
      <c r="M39" s="36">
        <v>30</v>
      </c>
      <c r="N39" s="30" t="s">
        <v>6</v>
      </c>
      <c r="O39" s="37" t="str">
        <f>IF(Tabla1[[#This Row],[EXPEDIENTE]]&lt;&gt;"", GetData(Tabla1[[#This Row],[EXPEDIENTE]], 10), "")</f>
        <v>H</v>
      </c>
      <c r="P39" s="38" t="str">
        <f>IF(Tabla1[[#This Row],[EXPEDIENTE]]&lt;&gt;"", GetData(Tabla1[[#This Row],[EXPEDIENTE]], 11), "")</f>
        <v>26</v>
      </c>
      <c r="Q39" s="39">
        <f>Tabla1[[#This Row],[SUELDO MENSUAL]]/30</f>
        <v>278.8</v>
      </c>
      <c r="R39" s="40">
        <v>8364</v>
      </c>
      <c r="S39" s="40">
        <v>284</v>
      </c>
      <c r="T39" s="40">
        <v>6016</v>
      </c>
      <c r="U39" s="40">
        <v>0</v>
      </c>
      <c r="V39" s="40">
        <v>0</v>
      </c>
      <c r="W39" s="41">
        <f t="shared" si="9"/>
        <v>14664</v>
      </c>
      <c r="X39" s="42">
        <f t="shared" si="5"/>
        <v>1342.6075200000002</v>
      </c>
      <c r="Y39" s="40">
        <f t="shared" si="11"/>
        <v>1101.8176000000001</v>
      </c>
      <c r="Z39" s="43">
        <f t="shared" si="10"/>
        <v>2444.4251200000003</v>
      </c>
      <c r="AA39" s="44">
        <f t="shared" si="7"/>
        <v>12219.57488</v>
      </c>
      <c r="AB39" s="45">
        <v>0.26</v>
      </c>
      <c r="AC39" s="45">
        <f t="shared" si="12"/>
        <v>2203.6352000000002</v>
      </c>
      <c r="AD39" s="46">
        <f t="shared" si="2"/>
        <v>167.28</v>
      </c>
      <c r="AE39" s="45">
        <f t="shared" si="3"/>
        <v>439.91999999999996</v>
      </c>
      <c r="AF39" s="44">
        <f t="shared" si="8"/>
        <v>2810.8352000000004</v>
      </c>
      <c r="AG39" s="47">
        <f t="shared" si="4"/>
        <v>17474.835200000001</v>
      </c>
    </row>
    <row r="40" spans="1:33" s="1" customFormat="1" ht="30" customHeight="1" x14ac:dyDescent="0.25">
      <c r="A40" s="27">
        <v>92700230</v>
      </c>
      <c r="B40" s="28" t="str">
        <f>IF(Tabla1[[#This Row],[EXPEDIENTE]]&lt;&gt;"", GetData(Tabla1[[#This Row],[EXPEDIENTE]], 5), "")</f>
        <v>193</v>
      </c>
      <c r="C40" s="29" t="str">
        <f>IF(Tabla1[[#This Row],[EXPEDIENTE]]&lt;&gt;"", GetData(Tabla1[[#This Row],[EXPEDIENTE]], 3), "")</f>
        <v>52</v>
      </c>
      <c r="D40" s="30" t="str">
        <f>IF(Tabla1[[#This Row],[EXPEDIENTE]]&lt;&gt;"", GetData(Tabla1[[#This Row],[EXPEDIENTE]], 4), "")</f>
        <v>G0805</v>
      </c>
      <c r="E40" s="48" t="s">
        <v>65</v>
      </c>
      <c r="F40" s="32" t="str">
        <f>IF(Tabla1[[#This Row],[EXPEDIENTE]]&lt;&gt;"", GetData(Tabla1[[#This Row],[EXPEDIENTE]], 0), "VACANTE")</f>
        <v>GARCIA BERISTAIN CARLOS</v>
      </c>
      <c r="G40" s="32" t="str">
        <f>IF(Tabla1[[#This Row],[EXPEDIENTE]]&lt;&gt;"", GetData(Tabla1[[#This Row],[EXPEDIENTE]], 1), "")</f>
        <v>DIRECCIÓN DE ADMINISTRACIÓN Y FINANZAS</v>
      </c>
      <c r="H40" s="32" t="str">
        <f>IF(Tabla1[[#This Row],[EXPEDIENTE]]&lt;&gt;"", GetData(Tabla1[[#This Row],[EXPEDIENTE]], 2), "")</f>
        <v>Jefe de Departamento de Factor Humano</v>
      </c>
      <c r="I40" s="33" t="str">
        <f>IF(Tabla1[[#This Row],[EXPEDIENTE]]&lt;&gt;"", GetData(Tabla1[[#This Row],[EXPEDIENTE]], 6), "")</f>
        <v>GABC840731HPLRRR06</v>
      </c>
      <c r="J40" s="33" t="str">
        <f>IF(Tabla1[[#This Row],[EXPEDIENTE]]&lt;&gt;"", GetData(Tabla1[[#This Row],[EXPEDIENTE]], 7), "")</f>
        <v>GABC840731PQ3</v>
      </c>
      <c r="K40" s="34" t="str">
        <f>IF(Tabla1[[#This Row],[EXPEDIENTE]]&lt;&gt;"", GetData(Tabla1[[#This Row],[EXPEDIENTE]], 8), "")</f>
        <v>ACTIVO</v>
      </c>
      <c r="L40" s="35" t="str">
        <f>IF(Tabla1[[#This Row],[EXPEDIENTE]]&lt;&gt;"", GetData(Tabla1[[#This Row],[EXPEDIENTE]], 9), "")</f>
        <v>01/02/2025</v>
      </c>
      <c r="M40" s="36">
        <v>30</v>
      </c>
      <c r="N40" s="30" t="s">
        <v>6</v>
      </c>
      <c r="O40" s="37" t="str">
        <f>IF(Tabla1[[#This Row],[EXPEDIENTE]]&lt;&gt;"", GetData(Tabla1[[#This Row],[EXPEDIENTE]], 10), "")</f>
        <v>H</v>
      </c>
      <c r="P40" s="38" t="str">
        <f>IF(Tabla1[[#This Row],[EXPEDIENTE]]&lt;&gt;"", GetData(Tabla1[[#This Row],[EXPEDIENTE]], 11), "")</f>
        <v>41</v>
      </c>
      <c r="Q40" s="39">
        <f>Tabla1[[#This Row],[SUELDO MENSUAL]]/30</f>
        <v>278.8</v>
      </c>
      <c r="R40" s="40">
        <v>8364</v>
      </c>
      <c r="S40" s="40">
        <v>284</v>
      </c>
      <c r="T40" s="40">
        <v>11283.14</v>
      </c>
      <c r="U40" s="40">
        <v>0</v>
      </c>
      <c r="V40" s="40">
        <v>0</v>
      </c>
      <c r="W40" s="41">
        <f t="shared" si="9"/>
        <v>19931.14</v>
      </c>
      <c r="X40" s="42">
        <f t="shared" si="5"/>
        <v>2368.9438639999994</v>
      </c>
      <c r="Y40" s="40">
        <f t="shared" si="11"/>
        <v>1101.8176000000001</v>
      </c>
      <c r="Z40" s="43">
        <f t="shared" si="10"/>
        <v>3470.7614639999993</v>
      </c>
      <c r="AA40" s="44">
        <f t="shared" si="7"/>
        <v>16460.378536</v>
      </c>
      <c r="AB40" s="45">
        <v>0.26</v>
      </c>
      <c r="AC40" s="45">
        <f t="shared" si="12"/>
        <v>2203.6352000000002</v>
      </c>
      <c r="AD40" s="46">
        <f t="shared" si="2"/>
        <v>167.28</v>
      </c>
      <c r="AE40" s="45">
        <f t="shared" si="3"/>
        <v>597.93419999999992</v>
      </c>
      <c r="AF40" s="44">
        <f t="shared" si="8"/>
        <v>2968.8494000000001</v>
      </c>
      <c r="AG40" s="47">
        <f t="shared" si="4"/>
        <v>22899.989399999999</v>
      </c>
    </row>
    <row r="41" spans="1:33" s="1" customFormat="1" ht="30" customHeight="1" x14ac:dyDescent="0.25">
      <c r="A41" s="27">
        <v>92700229</v>
      </c>
      <c r="B41" s="28" t="str">
        <f>IF(Tabla1[[#This Row],[EXPEDIENTE]]&lt;&gt;"", GetData(Tabla1[[#This Row],[EXPEDIENTE]], 5), "")</f>
        <v>193</v>
      </c>
      <c r="C41" s="29" t="str">
        <f>IF(Tabla1[[#This Row],[EXPEDIENTE]]&lt;&gt;"", GetData(Tabla1[[#This Row],[EXPEDIENTE]], 3), "")</f>
        <v>53</v>
      </c>
      <c r="D41" s="30" t="str">
        <f>IF(Tabla1[[#This Row],[EXPEDIENTE]]&lt;&gt;"", GetData(Tabla1[[#This Row],[EXPEDIENTE]], 4), "")</f>
        <v>G0808</v>
      </c>
      <c r="E41" s="48" t="s">
        <v>66</v>
      </c>
      <c r="F41" s="32" t="str">
        <f>IF(Tabla1[[#This Row],[EXPEDIENTE]]&lt;&gt;"", GetData(Tabla1[[#This Row],[EXPEDIENTE]], 0), "VACANTE")</f>
        <v xml:space="preserve">ARROYO SOLANO VICTOR HUGO </v>
      </c>
      <c r="G41" s="32" t="str">
        <f>IF(Tabla1[[#This Row],[EXPEDIENTE]]&lt;&gt;"", GetData(Tabla1[[#This Row],[EXPEDIENTE]], 1), "")</f>
        <v>DIRECCIÓN DE ADMINISTRACIÓN Y FINANZAS</v>
      </c>
      <c r="H41" s="32" t="str">
        <f>IF(Tabla1[[#This Row],[EXPEDIENTE]]&lt;&gt;"", GetData(Tabla1[[#This Row],[EXPEDIENTE]], 2), "")</f>
        <v>Analista Especializado Consultivo C</v>
      </c>
      <c r="I41" s="33" t="str">
        <f>IF(Tabla1[[#This Row],[EXPEDIENTE]]&lt;&gt;"", GetData(Tabla1[[#This Row],[EXPEDIENTE]], 6), "")</f>
        <v>AOSV960401HPLRLC00</v>
      </c>
      <c r="J41" s="33" t="str">
        <f>IF(Tabla1[[#This Row],[EXPEDIENTE]]&lt;&gt;"", GetData(Tabla1[[#This Row],[EXPEDIENTE]], 7), "")</f>
        <v>AOSV960401561</v>
      </c>
      <c r="K41" s="34" t="str">
        <f>IF(Tabla1[[#This Row],[EXPEDIENTE]]&lt;&gt;"", GetData(Tabla1[[#This Row],[EXPEDIENTE]], 8), "")</f>
        <v>ACTIVO</v>
      </c>
      <c r="L41" s="35" t="str">
        <f>IF(Tabla1[[#This Row],[EXPEDIENTE]]&lt;&gt;"", GetData(Tabla1[[#This Row],[EXPEDIENTE]], 9), "")</f>
        <v/>
      </c>
      <c r="M41" s="36">
        <v>30</v>
      </c>
      <c r="N41" s="30" t="s">
        <v>6</v>
      </c>
      <c r="O41" s="37" t="str">
        <f>IF(Tabla1[[#This Row],[EXPEDIENTE]]&lt;&gt;"", GetData(Tabla1[[#This Row],[EXPEDIENTE]], 10), "")</f>
        <v>H</v>
      </c>
      <c r="P41" s="38" t="str">
        <f>IF(Tabla1[[#This Row],[EXPEDIENTE]]&lt;&gt;"", GetData(Tabla1[[#This Row],[EXPEDIENTE]], 11), "")</f>
        <v>29</v>
      </c>
      <c r="Q41" s="39">
        <f>Tabla1[[#This Row],[SUELDO MENSUAL]]/30</f>
        <v>278.8</v>
      </c>
      <c r="R41" s="40">
        <v>8364</v>
      </c>
      <c r="S41" s="40">
        <v>284</v>
      </c>
      <c r="T41" s="40">
        <v>10000</v>
      </c>
      <c r="U41" s="40">
        <v>0</v>
      </c>
      <c r="V41" s="40">
        <v>0</v>
      </c>
      <c r="W41" s="41">
        <f t="shared" si="9"/>
        <v>18648</v>
      </c>
      <c r="X41" s="42">
        <f t="shared" si="5"/>
        <v>2094.8651599999994</v>
      </c>
      <c r="Y41" s="40">
        <f t="shared" si="11"/>
        <v>1101.8176000000001</v>
      </c>
      <c r="Z41" s="43">
        <f t="shared" si="10"/>
        <v>3196.6827599999997</v>
      </c>
      <c r="AA41" s="44">
        <f t="shared" si="7"/>
        <v>15451.31724</v>
      </c>
      <c r="AB41" s="45">
        <v>0.26</v>
      </c>
      <c r="AC41" s="45">
        <f t="shared" si="12"/>
        <v>2203.6352000000002</v>
      </c>
      <c r="AD41" s="46">
        <f t="shared" si="2"/>
        <v>167.28</v>
      </c>
      <c r="AE41" s="45">
        <f t="shared" si="3"/>
        <v>559.43999999999994</v>
      </c>
      <c r="AF41" s="44">
        <f t="shared" si="8"/>
        <v>2930.3552000000004</v>
      </c>
      <c r="AG41" s="47">
        <f t="shared" si="4"/>
        <v>21578.355200000002</v>
      </c>
    </row>
    <row r="42" spans="1:33" s="1" customFormat="1" ht="30" customHeight="1" x14ac:dyDescent="0.25">
      <c r="A42" s="27">
        <v>92700256</v>
      </c>
      <c r="B42" s="28" t="str">
        <f>IF(Tabla1[[#This Row],[EXPEDIENTE]]&lt;&gt;"", GetData(Tabla1[[#This Row],[EXPEDIENTE]], 5), "")</f>
        <v>193</v>
      </c>
      <c r="C42" s="29" t="str">
        <f>IF(Tabla1[[#This Row],[EXPEDIENTE]]&lt;&gt;"", GetData(Tabla1[[#This Row],[EXPEDIENTE]], 3), "")</f>
        <v>54</v>
      </c>
      <c r="D42" s="30" t="str">
        <f>IF(Tabla1[[#This Row],[EXPEDIENTE]]&lt;&gt;"", GetData(Tabla1[[#This Row],[EXPEDIENTE]], 4), "")</f>
        <v>G0808</v>
      </c>
      <c r="E42" s="48" t="s">
        <v>67</v>
      </c>
      <c r="F42" s="32" t="str">
        <f>IF(Tabla1[[#This Row],[EXPEDIENTE]]&lt;&gt;"", GetData(Tabla1[[#This Row],[EXPEDIENTE]], 0), "VACANTE")</f>
        <v>ROJAS ZARATE PEDRO YEHOSHUA</v>
      </c>
      <c r="G42" s="32" t="str">
        <f>IF(Tabla1[[#This Row],[EXPEDIENTE]]&lt;&gt;"", GetData(Tabla1[[#This Row],[EXPEDIENTE]], 1), "")</f>
        <v>DIRECCIÓN DE ADMINISTRACIÓN Y FINANZAS</v>
      </c>
      <c r="H42" s="32" t="str">
        <f>IF(Tabla1[[#This Row],[EXPEDIENTE]]&lt;&gt;"", GetData(Tabla1[[#This Row],[EXPEDIENTE]], 2), "")</f>
        <v>Analista Especializado Consultivo C</v>
      </c>
      <c r="I42" s="33" t="str">
        <f>IF(Tabla1[[#This Row],[EXPEDIENTE]]&lt;&gt;"", GetData(Tabla1[[#This Row],[EXPEDIENTE]], 6), "")</f>
        <v>ROZP961030HTLJRD01</v>
      </c>
      <c r="J42" s="33" t="str">
        <f>IF(Tabla1[[#This Row],[EXPEDIENTE]]&lt;&gt;"", GetData(Tabla1[[#This Row],[EXPEDIENTE]], 7), "")</f>
        <v>ROZP961030TL3</v>
      </c>
      <c r="K42" s="34" t="str">
        <f>IF(Tabla1[[#This Row],[EXPEDIENTE]]&lt;&gt;"", GetData(Tabla1[[#This Row],[EXPEDIENTE]], 8), "")</f>
        <v>ACTIVO</v>
      </c>
      <c r="L42" s="35" t="str">
        <f>IF(Tabla1[[#This Row],[EXPEDIENTE]]&lt;&gt;"", GetData(Tabla1[[#This Row],[EXPEDIENTE]], 9), "")</f>
        <v>16/09/2025</v>
      </c>
      <c r="M42" s="36">
        <v>30</v>
      </c>
      <c r="N42" s="30" t="s">
        <v>6</v>
      </c>
      <c r="O42" s="37" t="str">
        <f>IF(Tabla1[[#This Row],[EXPEDIENTE]]&lt;&gt;"", GetData(Tabla1[[#This Row],[EXPEDIENTE]], 10), "")</f>
        <v>H</v>
      </c>
      <c r="P42" s="38" t="str">
        <f>IF(Tabla1[[#This Row],[EXPEDIENTE]]&lt;&gt;"", GetData(Tabla1[[#This Row],[EXPEDIENTE]], 11), "")</f>
        <v>29</v>
      </c>
      <c r="Q42" s="39">
        <f>Tabla1[[#This Row],[SUELDO MENSUAL]]/30</f>
        <v>278.8</v>
      </c>
      <c r="R42" s="40">
        <v>8364</v>
      </c>
      <c r="S42" s="40">
        <v>284</v>
      </c>
      <c r="T42" s="40">
        <v>6016</v>
      </c>
      <c r="U42" s="40">
        <v>0</v>
      </c>
      <c r="V42" s="40">
        <v>0</v>
      </c>
      <c r="W42" s="41">
        <f t="shared" si="9"/>
        <v>14664</v>
      </c>
      <c r="X42" s="42">
        <f t="shared" si="5"/>
        <v>1342.6075200000002</v>
      </c>
      <c r="Y42" s="40">
        <f t="shared" si="11"/>
        <v>1101.8176000000001</v>
      </c>
      <c r="Z42" s="43">
        <f t="shared" si="10"/>
        <v>2444.4251200000003</v>
      </c>
      <c r="AA42" s="44">
        <f t="shared" si="7"/>
        <v>12219.57488</v>
      </c>
      <c r="AB42" s="45">
        <v>0.26</v>
      </c>
      <c r="AC42" s="45">
        <f t="shared" si="12"/>
        <v>2203.6352000000002</v>
      </c>
      <c r="AD42" s="46">
        <f t="shared" si="2"/>
        <v>167.28</v>
      </c>
      <c r="AE42" s="45">
        <f t="shared" si="3"/>
        <v>439.91999999999996</v>
      </c>
      <c r="AF42" s="44">
        <f t="shared" si="8"/>
        <v>2810.8352000000004</v>
      </c>
      <c r="AG42" s="47">
        <f t="shared" si="4"/>
        <v>17474.835200000001</v>
      </c>
    </row>
    <row r="43" spans="1:33" s="1" customFormat="1" ht="30" customHeight="1" x14ac:dyDescent="0.25">
      <c r="A43" s="27">
        <v>92700180</v>
      </c>
      <c r="B43" s="28" t="str">
        <f>IF(Tabla1[[#This Row],[EXPEDIENTE]]&lt;&gt;"", GetData(Tabla1[[#This Row],[EXPEDIENTE]], 5), "")</f>
        <v>194</v>
      </c>
      <c r="C43" s="29" t="str">
        <f>IF(Tabla1[[#This Row],[EXPEDIENTE]]&lt;&gt;"", GetData(Tabla1[[#This Row],[EXPEDIENTE]], 3), "")</f>
        <v>77</v>
      </c>
      <c r="D43" s="30" t="str">
        <f>IF(Tabla1[[#This Row],[EXPEDIENTE]]&lt;&gt;"", GetData(Tabla1[[#This Row],[EXPEDIENTE]], 4), "")</f>
        <v>G0805</v>
      </c>
      <c r="E43" s="48" t="s">
        <v>68</v>
      </c>
      <c r="F43" s="32" t="str">
        <f>IF(Tabla1[[#This Row],[EXPEDIENTE]]&lt;&gt;"", GetData(Tabla1[[#This Row],[EXPEDIENTE]], 0), "VACANTE")</f>
        <v>OROPEZA RAMOS YAIR</v>
      </c>
      <c r="G43" s="32" t="str">
        <f>IF(Tabla1[[#This Row],[EXPEDIENTE]]&lt;&gt;"", GetData(Tabla1[[#This Row],[EXPEDIENTE]], 1), "")</f>
        <v>DIRECCIÓN DE ADMINISTRACIÓN Y FINANZAS</v>
      </c>
      <c r="H43" s="32" t="str">
        <f>IF(Tabla1[[#This Row],[EXPEDIENTE]]&lt;&gt;"", GetData(Tabla1[[#This Row],[EXPEDIENTE]], 2), "")</f>
        <v>JEFE DE DEPARTAMENTO DE RECURSOS MATERIALES Y SERVICIOS GENERALES</v>
      </c>
      <c r="I43" s="33" t="str">
        <f>IF(Tabla1[[#This Row],[EXPEDIENTE]]&lt;&gt;"", GetData(Tabla1[[#This Row],[EXPEDIENTE]], 6), "")</f>
        <v>OORY910829HPLRMR08</v>
      </c>
      <c r="J43" s="33" t="str">
        <f>IF(Tabla1[[#This Row],[EXPEDIENTE]]&lt;&gt;"", GetData(Tabla1[[#This Row],[EXPEDIENTE]], 7), "")</f>
        <v>OORY910829UH2</v>
      </c>
      <c r="K43" s="34" t="str">
        <f>IF(Tabla1[[#This Row],[EXPEDIENTE]]&lt;&gt;"", GetData(Tabla1[[#This Row],[EXPEDIENTE]], 8), "")</f>
        <v>ACTIVO</v>
      </c>
      <c r="L43" s="35" t="str">
        <f>IF(Tabla1[[#This Row],[EXPEDIENTE]]&lt;&gt;"", GetData(Tabla1[[#This Row],[EXPEDIENTE]], 9), "")</f>
        <v>01/05/2022</v>
      </c>
      <c r="M43" s="36">
        <v>30</v>
      </c>
      <c r="N43" s="30" t="s">
        <v>6</v>
      </c>
      <c r="O43" s="37" t="str">
        <f>IF(Tabla1[[#This Row],[EXPEDIENTE]]&lt;&gt;"", GetData(Tabla1[[#This Row],[EXPEDIENTE]], 10), "")</f>
        <v>H</v>
      </c>
      <c r="P43" s="38" t="str">
        <f>IF(Tabla1[[#This Row],[EXPEDIENTE]]&lt;&gt;"", GetData(Tabla1[[#This Row],[EXPEDIENTE]], 11), "")</f>
        <v>34</v>
      </c>
      <c r="Q43" s="39">
        <f>Tabla1[[#This Row],[SUELDO MENSUAL]]/30</f>
        <v>278.8</v>
      </c>
      <c r="R43" s="40">
        <v>8364</v>
      </c>
      <c r="S43" s="40">
        <v>284</v>
      </c>
      <c r="T43" s="40">
        <v>11283.14</v>
      </c>
      <c r="U43" s="40">
        <v>0</v>
      </c>
      <c r="V43" s="40">
        <v>0</v>
      </c>
      <c r="W43" s="41">
        <f t="shared" si="9"/>
        <v>19931.14</v>
      </c>
      <c r="X43" s="42">
        <f t="shared" si="5"/>
        <v>2368.9438639999994</v>
      </c>
      <c r="Y43" s="40">
        <f t="shared" si="11"/>
        <v>1101.8176000000001</v>
      </c>
      <c r="Z43" s="43">
        <f t="shared" si="10"/>
        <v>3470.7614639999993</v>
      </c>
      <c r="AA43" s="44">
        <f t="shared" si="7"/>
        <v>16460.378536</v>
      </c>
      <c r="AB43" s="45">
        <v>0.26</v>
      </c>
      <c r="AC43" s="45">
        <f t="shared" si="12"/>
        <v>2203.6352000000002</v>
      </c>
      <c r="AD43" s="46">
        <f t="shared" si="2"/>
        <v>167.28</v>
      </c>
      <c r="AE43" s="45">
        <f t="shared" si="3"/>
        <v>597.93419999999992</v>
      </c>
      <c r="AF43" s="44">
        <f t="shared" si="8"/>
        <v>2968.8494000000001</v>
      </c>
      <c r="AG43" s="47">
        <f t="shared" si="4"/>
        <v>22899.989399999999</v>
      </c>
    </row>
    <row r="44" spans="1:33" s="1" customFormat="1" ht="30" customHeight="1" x14ac:dyDescent="0.25">
      <c r="A44" s="27"/>
      <c r="B44" s="28" t="str">
        <f>IF(Tabla1[[#This Row],[EXPEDIENTE]]&lt;&gt;"", GetData(Tabla1[[#This Row],[EXPEDIENTE]], 5), "")</f>
        <v/>
      </c>
      <c r="C44" s="29" t="str">
        <f>IF(Tabla1[[#This Row],[EXPEDIENTE]]&lt;&gt;"", GetData(Tabla1[[#This Row],[EXPEDIENTE]], 3), "")</f>
        <v/>
      </c>
      <c r="D44" s="30" t="str">
        <f>IF(Tabla1[[#This Row],[EXPEDIENTE]]&lt;&gt;"", GetData(Tabla1[[#This Row],[EXPEDIENTE]], 4), "")</f>
        <v/>
      </c>
      <c r="E44" s="48" t="s">
        <v>69</v>
      </c>
      <c r="F44" s="32" t="str">
        <f>IF(Tabla1[[#This Row],[EXPEDIENTE]]&lt;&gt;"", GetData(Tabla1[[#This Row],[EXPEDIENTE]], 0), "VACANTE")</f>
        <v>VACANTE</v>
      </c>
      <c r="G44" s="32" t="str">
        <f>IF(Tabla1[[#This Row],[EXPEDIENTE]]&lt;&gt;"", GetData(Tabla1[[#This Row],[EXPEDIENTE]], 1), "")</f>
        <v/>
      </c>
      <c r="H44" s="32" t="str">
        <f>IF(Tabla1[[#This Row],[EXPEDIENTE]]&lt;&gt;"", GetData(Tabla1[[#This Row],[EXPEDIENTE]], 2), "")</f>
        <v/>
      </c>
      <c r="I44" s="33" t="str">
        <f>IF(Tabla1[[#This Row],[EXPEDIENTE]]&lt;&gt;"", GetData(Tabla1[[#This Row],[EXPEDIENTE]], 6), "")</f>
        <v/>
      </c>
      <c r="J44" s="33" t="str">
        <f>IF(Tabla1[[#This Row],[EXPEDIENTE]]&lt;&gt;"", GetData(Tabla1[[#This Row],[EXPEDIENTE]], 7), "")</f>
        <v/>
      </c>
      <c r="K44" s="34" t="str">
        <f>IF(Tabla1[[#This Row],[EXPEDIENTE]]&lt;&gt;"", GetData(Tabla1[[#This Row],[EXPEDIENTE]], 8), "")</f>
        <v/>
      </c>
      <c r="L44" s="35" t="str">
        <f>IF(Tabla1[[#This Row],[EXPEDIENTE]]&lt;&gt;"", GetData(Tabla1[[#This Row],[EXPEDIENTE]], 9), "")</f>
        <v/>
      </c>
      <c r="M44" s="36">
        <v>30</v>
      </c>
      <c r="N44" s="30" t="s">
        <v>6</v>
      </c>
      <c r="O44" s="37" t="str">
        <f>IF(Tabla1[[#This Row],[EXPEDIENTE]]&lt;&gt;"", GetData(Tabla1[[#This Row],[EXPEDIENTE]], 10), "")</f>
        <v/>
      </c>
      <c r="P44" s="38" t="str">
        <f>IF(Tabla1[[#This Row],[EXPEDIENTE]]&lt;&gt;"", GetData(Tabla1[[#This Row],[EXPEDIENTE]], 11), "")</f>
        <v/>
      </c>
      <c r="Q44" s="39">
        <f>Tabla1[[#This Row],[SUELDO MENSUAL]]/30</f>
        <v>278.8</v>
      </c>
      <c r="R44" s="40">
        <v>8364</v>
      </c>
      <c r="S44" s="40">
        <v>284</v>
      </c>
      <c r="T44" s="40">
        <v>10000</v>
      </c>
      <c r="U44" s="40">
        <v>0</v>
      </c>
      <c r="V44" s="40">
        <v>0</v>
      </c>
      <c r="W44" s="41">
        <f t="shared" si="9"/>
        <v>18648</v>
      </c>
      <c r="X44" s="42">
        <f t="shared" si="5"/>
        <v>2094.8651599999994</v>
      </c>
      <c r="Y44" s="40">
        <f t="shared" si="11"/>
        <v>1101.8176000000001</v>
      </c>
      <c r="Z44" s="43">
        <f t="shared" si="10"/>
        <v>3196.6827599999997</v>
      </c>
      <c r="AA44" s="44">
        <f t="shared" si="7"/>
        <v>15451.31724</v>
      </c>
      <c r="AB44" s="45">
        <v>0.26</v>
      </c>
      <c r="AC44" s="45">
        <f t="shared" si="12"/>
        <v>2203.6352000000002</v>
      </c>
      <c r="AD44" s="46">
        <f t="shared" si="2"/>
        <v>167.28</v>
      </c>
      <c r="AE44" s="45">
        <f t="shared" si="3"/>
        <v>559.43999999999994</v>
      </c>
      <c r="AF44" s="44">
        <f t="shared" si="8"/>
        <v>2930.3552000000004</v>
      </c>
      <c r="AG44" s="47">
        <f t="shared" si="4"/>
        <v>21578.355200000002</v>
      </c>
    </row>
    <row r="45" spans="1:33" s="1" customFormat="1" ht="30" customHeight="1" x14ac:dyDescent="0.25">
      <c r="A45" s="27">
        <v>92700253</v>
      </c>
      <c r="B45" s="28" t="str">
        <f>IF(Tabla1[[#This Row],[EXPEDIENTE]]&lt;&gt;"", GetData(Tabla1[[#This Row],[EXPEDIENTE]], 5), "")</f>
        <v>194</v>
      </c>
      <c r="C45" s="29" t="str">
        <f>IF(Tabla1[[#This Row],[EXPEDIENTE]]&lt;&gt;"", GetData(Tabla1[[#This Row],[EXPEDIENTE]], 3), "")</f>
        <v>56</v>
      </c>
      <c r="D45" s="30" t="str">
        <f>IF(Tabla1[[#This Row],[EXPEDIENTE]]&lt;&gt;"", GetData(Tabla1[[#This Row],[EXPEDIENTE]], 4), "")</f>
        <v>G0808</v>
      </c>
      <c r="E45" s="48" t="s">
        <v>70</v>
      </c>
      <c r="F45" s="32" t="str">
        <f>IF(Tabla1[[#This Row],[EXPEDIENTE]]&lt;&gt;"", GetData(Tabla1[[#This Row],[EXPEDIENTE]], 0), "VACANTE")</f>
        <v>TEOYOTL MORALES REYNA LAURA</v>
      </c>
      <c r="G45" s="32" t="str">
        <f>IF(Tabla1[[#This Row],[EXPEDIENTE]]&lt;&gt;"", GetData(Tabla1[[#This Row],[EXPEDIENTE]], 1), "")</f>
        <v>DEPARTAMENTO DE RECURSOS MATERIALES Y SERVICIOS GENERALES</v>
      </c>
      <c r="H45" s="32" t="str">
        <f>IF(Tabla1[[#This Row],[EXPEDIENTE]]&lt;&gt;"", GetData(Tabla1[[#This Row],[EXPEDIENTE]], 2), "")</f>
        <v>Analista Especializado Consultivo C</v>
      </c>
      <c r="I45" s="33" t="str">
        <f>IF(Tabla1[[#This Row],[EXPEDIENTE]]&lt;&gt;"", GetData(Tabla1[[#This Row],[EXPEDIENTE]], 6), "")</f>
        <v>TEMR721229MPLYRY05</v>
      </c>
      <c r="J45" s="33" t="str">
        <f>IF(Tabla1[[#This Row],[EXPEDIENTE]]&lt;&gt;"", GetData(Tabla1[[#This Row],[EXPEDIENTE]], 7), "")</f>
        <v>TEMR721229TM6</v>
      </c>
      <c r="K45" s="34" t="str">
        <f>IF(Tabla1[[#This Row],[EXPEDIENTE]]&lt;&gt;"", GetData(Tabla1[[#This Row],[EXPEDIENTE]], 8), "")</f>
        <v>ACTIVO</v>
      </c>
      <c r="L45" s="35" t="str">
        <f>IF(Tabla1[[#This Row],[EXPEDIENTE]]&lt;&gt;"", GetData(Tabla1[[#This Row],[EXPEDIENTE]], 9), "")</f>
        <v>16/07/2025</v>
      </c>
      <c r="M45" s="36">
        <v>30</v>
      </c>
      <c r="N45" s="30" t="s">
        <v>6</v>
      </c>
      <c r="O45" s="37" t="str">
        <f>IF(Tabla1[[#This Row],[EXPEDIENTE]]&lt;&gt;"", GetData(Tabla1[[#This Row],[EXPEDIENTE]], 10), "")</f>
        <v>M</v>
      </c>
      <c r="P45" s="38" t="str">
        <f>IF(Tabla1[[#This Row],[EXPEDIENTE]]&lt;&gt;"", GetData(Tabla1[[#This Row],[EXPEDIENTE]], 11), "")</f>
        <v>53</v>
      </c>
      <c r="Q45" s="39">
        <f>Tabla1[[#This Row],[SUELDO MENSUAL]]/30</f>
        <v>278.8</v>
      </c>
      <c r="R45" s="40">
        <v>8364</v>
      </c>
      <c r="S45" s="40">
        <v>284</v>
      </c>
      <c r="T45" s="40">
        <v>6016</v>
      </c>
      <c r="U45" s="40">
        <v>0</v>
      </c>
      <c r="V45" s="40">
        <v>0</v>
      </c>
      <c r="W45" s="41">
        <f t="shared" si="9"/>
        <v>14664</v>
      </c>
      <c r="X45" s="42">
        <f t="shared" si="5"/>
        <v>1342.6075200000002</v>
      </c>
      <c r="Y45" s="40">
        <f t="shared" si="11"/>
        <v>1101.8176000000001</v>
      </c>
      <c r="Z45" s="43">
        <f t="shared" si="10"/>
        <v>2444.4251200000003</v>
      </c>
      <c r="AA45" s="44">
        <f t="shared" si="7"/>
        <v>12219.57488</v>
      </c>
      <c r="AB45" s="45">
        <v>0.19</v>
      </c>
      <c r="AC45" s="45">
        <f t="shared" si="12"/>
        <v>1610.3488000000002</v>
      </c>
      <c r="AD45" s="46">
        <f t="shared" si="2"/>
        <v>167.28</v>
      </c>
      <c r="AE45" s="45">
        <f t="shared" si="3"/>
        <v>439.91999999999996</v>
      </c>
      <c r="AF45" s="44">
        <f t="shared" si="8"/>
        <v>2217.5488</v>
      </c>
      <c r="AG45" s="47">
        <f t="shared" si="4"/>
        <v>16881.5488</v>
      </c>
    </row>
    <row r="46" spans="1:33" s="1" customFormat="1" ht="30" customHeight="1" x14ac:dyDescent="0.25">
      <c r="A46" s="27">
        <v>92700217</v>
      </c>
      <c r="B46" s="28" t="str">
        <f>IF(Tabla1[[#This Row],[EXPEDIENTE]]&lt;&gt;"", GetData(Tabla1[[#This Row],[EXPEDIENTE]], 5), "")</f>
        <v>190</v>
      </c>
      <c r="C46" s="29" t="str">
        <f>IF(Tabla1[[#This Row],[EXPEDIENTE]]&lt;&gt;"", GetData(Tabla1[[#This Row],[EXPEDIENTE]], 3), "")</f>
        <v>7</v>
      </c>
      <c r="D46" s="30" t="str">
        <f>IF(Tabla1[[#This Row],[EXPEDIENTE]]&lt;&gt;"", GetData(Tabla1[[#This Row],[EXPEDIENTE]], 4), "")</f>
        <v>G0501</v>
      </c>
      <c r="E46" s="31" t="s">
        <v>71</v>
      </c>
      <c r="F46" s="32" t="str">
        <f>IF(Tabla1[[#This Row],[EXPEDIENTE]]&lt;&gt;"", GetData(Tabla1[[#This Row],[EXPEDIENTE]], 0), "VACANTE")</f>
        <v>GAMA MATEOS REYES</v>
      </c>
      <c r="G46" s="32" t="str">
        <f>IF(Tabla1[[#This Row],[EXPEDIENTE]]&lt;&gt;"", GetData(Tabla1[[#This Row],[EXPEDIENTE]], 1), "")</f>
        <v>DIRECCIÓN DE OFICINAS DE REPRESENTACION</v>
      </c>
      <c r="H46" s="32" t="str">
        <f>IF(Tabla1[[#This Row],[EXPEDIENTE]]&lt;&gt;"", GetData(Tabla1[[#This Row],[EXPEDIENTE]], 2), "")</f>
        <v xml:space="preserve">DIRECTOR DE OFICINAS DE REPRESENTACIÓN </v>
      </c>
      <c r="I46" s="33" t="str">
        <f>IF(Tabla1[[#This Row],[EXPEDIENTE]]&lt;&gt;"", GetData(Tabla1[[#This Row],[EXPEDIENTE]], 6), "")</f>
        <v>GAMR930313HPLMTY06</v>
      </c>
      <c r="J46" s="33" t="str">
        <f>IF(Tabla1[[#This Row],[EXPEDIENTE]]&lt;&gt;"", GetData(Tabla1[[#This Row],[EXPEDIENTE]], 7), "")</f>
        <v>GAMR930313HD0</v>
      </c>
      <c r="K46" s="34" t="str">
        <f>IF(Tabla1[[#This Row],[EXPEDIENTE]]&lt;&gt;"", GetData(Tabla1[[#This Row],[EXPEDIENTE]], 8), "")</f>
        <v>ACTIVO</v>
      </c>
      <c r="L46" s="35" t="str">
        <f>IF(Tabla1[[#This Row],[EXPEDIENTE]]&lt;&gt;"", GetData(Tabla1[[#This Row],[EXPEDIENTE]], 9), "")</f>
        <v/>
      </c>
      <c r="M46" s="36">
        <v>30</v>
      </c>
      <c r="N46" s="30" t="s">
        <v>6</v>
      </c>
      <c r="O46" s="37" t="str">
        <f>IF(Tabla1[[#This Row],[EXPEDIENTE]]&lt;&gt;"", GetData(Tabla1[[#This Row],[EXPEDIENTE]], 10), "")</f>
        <v>H</v>
      </c>
      <c r="P46" s="38" t="str">
        <f>IF(Tabla1[[#This Row],[EXPEDIENTE]]&lt;&gt;"", GetData(Tabla1[[#This Row],[EXPEDIENTE]], 11), "")</f>
        <v>32</v>
      </c>
      <c r="Q46" s="39">
        <f>Tabla1[[#This Row],[SUELDO MENSUAL]]/30</f>
        <v>492.46</v>
      </c>
      <c r="R46" s="40">
        <v>14773.8</v>
      </c>
      <c r="S46" s="40">
        <v>284</v>
      </c>
      <c r="T46" s="40">
        <v>26400</v>
      </c>
      <c r="U46" s="40">
        <v>0</v>
      </c>
      <c r="V46" s="40">
        <v>0</v>
      </c>
      <c r="W46" s="41">
        <f t="shared" si="9"/>
        <v>41457.800000000003</v>
      </c>
      <c r="X46" s="42">
        <f t="shared" si="5"/>
        <v>7098.6945920000016</v>
      </c>
      <c r="Y46" s="40">
        <f>R46*13%</f>
        <v>1920.5940000000001</v>
      </c>
      <c r="Z46" s="43">
        <f t="shared" si="10"/>
        <v>9019.2885920000008</v>
      </c>
      <c r="AA46" s="44">
        <f t="shared" si="7"/>
        <v>32438.511408000002</v>
      </c>
      <c r="AB46" s="45">
        <v>0.26</v>
      </c>
      <c r="AC46" s="45">
        <f>R46*AB46</f>
        <v>3841.1880000000001</v>
      </c>
      <c r="AD46" s="46">
        <f t="shared" si="2"/>
        <v>295.476</v>
      </c>
      <c r="AE46" s="45">
        <f t="shared" si="3"/>
        <v>1243.7340000000002</v>
      </c>
      <c r="AF46" s="44">
        <f t="shared" si="8"/>
        <v>5380.3980000000001</v>
      </c>
      <c r="AG46" s="47">
        <f t="shared" si="4"/>
        <v>46838.198000000004</v>
      </c>
    </row>
    <row r="47" spans="1:33" s="1" customFormat="1" ht="30" customHeight="1" x14ac:dyDescent="0.25">
      <c r="A47" s="27">
        <v>92700248</v>
      </c>
      <c r="B47" s="28" t="str">
        <f>IF(Tabla1[[#This Row],[EXPEDIENTE]]&lt;&gt;"", GetData(Tabla1[[#This Row],[EXPEDIENTE]], 5), "")</f>
        <v>1902</v>
      </c>
      <c r="C47" s="29" t="str">
        <f>IF(Tabla1[[#This Row],[EXPEDIENTE]]&lt;&gt;"", GetData(Tabla1[[#This Row],[EXPEDIENTE]], 3), "")</f>
        <v>8</v>
      </c>
      <c r="D47" s="30" t="str">
        <f>IF(Tabla1[[#This Row],[EXPEDIENTE]]&lt;&gt;"", GetData(Tabla1[[#This Row],[EXPEDIENTE]], 4), "")</f>
        <v>G0808</v>
      </c>
      <c r="E47" s="31" t="s">
        <v>72</v>
      </c>
      <c r="F47" s="32" t="str">
        <f>IF(Tabla1[[#This Row],[EXPEDIENTE]]&lt;&gt;"", GetData(Tabla1[[#This Row],[EXPEDIENTE]], 0), "VACANTE")</f>
        <v>SANCHEZ HERNANDEZ HECTOR MARTIN</v>
      </c>
      <c r="G47" s="32" t="str">
        <f>IF(Tabla1[[#This Row],[EXPEDIENTE]]&lt;&gt;"", GetData(Tabla1[[#This Row],[EXPEDIENTE]], 1), "")</f>
        <v>DIRECCIÓN DE OFICINAS DE REPRESENTACION</v>
      </c>
      <c r="H47" s="32" t="str">
        <f>IF(Tabla1[[#This Row],[EXPEDIENTE]]&lt;&gt;"", GetData(Tabla1[[#This Row],[EXPEDIENTE]], 2), "")</f>
        <v>Analista Especializado Consultivo C</v>
      </c>
      <c r="I47" s="33" t="str">
        <f>IF(Tabla1[[#This Row],[EXPEDIENTE]]&lt;&gt;"", GetData(Tabla1[[#This Row],[EXPEDIENTE]], 6), "")</f>
        <v>SAHH881117HPLNRC025</v>
      </c>
      <c r="J47" s="33" t="str">
        <f>IF(Tabla1[[#This Row],[EXPEDIENTE]]&lt;&gt;"", GetData(Tabla1[[#This Row],[EXPEDIENTE]], 7), "")</f>
        <v>SAHH881117JD3</v>
      </c>
      <c r="K47" s="34" t="str">
        <f>IF(Tabla1[[#This Row],[EXPEDIENTE]]&lt;&gt;"", GetData(Tabla1[[#This Row],[EXPEDIENTE]], 8), "")</f>
        <v>ACTIVO</v>
      </c>
      <c r="L47" s="35" t="str">
        <f>IF(Tabla1[[#This Row],[EXPEDIENTE]]&lt;&gt;"", GetData(Tabla1[[#This Row],[EXPEDIENTE]], 9), "")</f>
        <v>01/09/2025</v>
      </c>
      <c r="M47" s="36">
        <v>30</v>
      </c>
      <c r="N47" s="30" t="s">
        <v>6</v>
      </c>
      <c r="O47" s="37" t="str">
        <f>IF(Tabla1[[#This Row],[EXPEDIENTE]]&lt;&gt;"", GetData(Tabla1[[#This Row],[EXPEDIENTE]], 10), "")</f>
        <v>H</v>
      </c>
      <c r="P47" s="38" t="str">
        <f>IF(Tabla1[[#This Row],[EXPEDIENTE]]&lt;&gt;"", GetData(Tabla1[[#This Row],[EXPEDIENTE]], 11), "")</f>
        <v>37</v>
      </c>
      <c r="Q47" s="39">
        <f>Tabla1[[#This Row],[SUELDO MENSUAL]]/30</f>
        <v>278.8</v>
      </c>
      <c r="R47" s="40">
        <v>8364</v>
      </c>
      <c r="S47" s="40">
        <v>284</v>
      </c>
      <c r="T47" s="40">
        <v>10000</v>
      </c>
      <c r="U47" s="40">
        <v>0</v>
      </c>
      <c r="V47" s="40">
        <v>0</v>
      </c>
      <c r="W47" s="41">
        <f t="shared" si="9"/>
        <v>18648</v>
      </c>
      <c r="X47" s="42">
        <f t="shared" si="5"/>
        <v>2094.8651599999994</v>
      </c>
      <c r="Y47" s="40">
        <f t="shared" ref="Y47:Y54" si="13">(Q47*30.4)*13%</f>
        <v>1101.8176000000001</v>
      </c>
      <c r="Z47" s="43">
        <f t="shared" si="10"/>
        <v>3196.6827599999997</v>
      </c>
      <c r="AA47" s="44">
        <f t="shared" si="7"/>
        <v>15451.31724</v>
      </c>
      <c r="AB47" s="45">
        <v>0.26</v>
      </c>
      <c r="AC47" s="45">
        <f t="shared" ref="AC47:AC54" si="14">(Q47*30.4)*AB47</f>
        <v>2203.6352000000002</v>
      </c>
      <c r="AD47" s="46">
        <f t="shared" si="2"/>
        <v>167.28</v>
      </c>
      <c r="AE47" s="45">
        <f t="shared" si="3"/>
        <v>559.43999999999994</v>
      </c>
      <c r="AF47" s="44">
        <f t="shared" si="8"/>
        <v>2930.3552000000004</v>
      </c>
      <c r="AG47" s="47">
        <f t="shared" si="4"/>
        <v>21578.355200000002</v>
      </c>
    </row>
    <row r="48" spans="1:33" s="1" customFormat="1" ht="30" customHeight="1" x14ac:dyDescent="0.25">
      <c r="A48" s="27">
        <v>92700233</v>
      </c>
      <c r="B48" s="28" t="str">
        <f>IF(Tabla1[[#This Row],[EXPEDIENTE]]&lt;&gt;"", GetData(Tabla1[[#This Row],[EXPEDIENTE]], 5), "")</f>
        <v>1903</v>
      </c>
      <c r="C48" s="29" t="str">
        <f>IF(Tabla1[[#This Row],[EXPEDIENTE]]&lt;&gt;"", GetData(Tabla1[[#This Row],[EXPEDIENTE]], 3), "")</f>
        <v>60</v>
      </c>
      <c r="D48" s="30" t="str">
        <f>IF(Tabla1[[#This Row],[EXPEDIENTE]]&lt;&gt;"", GetData(Tabla1[[#This Row],[EXPEDIENTE]], 4), "")</f>
        <v>G0808</v>
      </c>
      <c r="E48" s="31" t="s">
        <v>73</v>
      </c>
      <c r="F48" s="32" t="str">
        <f>IF(Tabla1[[#This Row],[EXPEDIENTE]]&lt;&gt;"", GetData(Tabla1[[#This Row],[EXPEDIENTE]], 0), "VACANTE")</f>
        <v>MARTINEZ HERNANDEZ NAYELI</v>
      </c>
      <c r="G48" s="32" t="str">
        <f>IF(Tabla1[[#This Row],[EXPEDIENTE]]&lt;&gt;"", GetData(Tabla1[[#This Row],[EXPEDIENTE]], 1), "")</f>
        <v>DIRECCIÓN DE OFICINAS DE REPRESENTACION</v>
      </c>
      <c r="H48" s="32" t="str">
        <f>IF(Tabla1[[#This Row],[EXPEDIENTE]]&lt;&gt;"", GetData(Tabla1[[#This Row],[EXPEDIENTE]], 2), "")</f>
        <v>Analista Especializado Consultivo C</v>
      </c>
      <c r="I48" s="33" t="str">
        <f>IF(Tabla1[[#This Row],[EXPEDIENTE]]&lt;&gt;"", GetData(Tabla1[[#This Row],[EXPEDIENTE]], 6), "")</f>
        <v>MAHN960119MPLRRY00</v>
      </c>
      <c r="J48" s="33" t="str">
        <f>IF(Tabla1[[#This Row],[EXPEDIENTE]]&lt;&gt;"", GetData(Tabla1[[#This Row],[EXPEDIENTE]], 7), "")</f>
        <v>MAHN960119TU4</v>
      </c>
      <c r="K48" s="34" t="str">
        <f>IF(Tabla1[[#This Row],[EXPEDIENTE]]&lt;&gt;"", GetData(Tabla1[[#This Row],[EXPEDIENTE]], 8), "")</f>
        <v>ACTIVO</v>
      </c>
      <c r="L48" s="35" t="str">
        <f>IF(Tabla1[[#This Row],[EXPEDIENTE]]&lt;&gt;"", GetData(Tabla1[[#This Row],[EXPEDIENTE]], 9), "")</f>
        <v>01/02/2025</v>
      </c>
      <c r="M48" s="36">
        <v>30</v>
      </c>
      <c r="N48" s="30" t="s">
        <v>6</v>
      </c>
      <c r="O48" s="37" t="str">
        <f>IF(Tabla1[[#This Row],[EXPEDIENTE]]&lt;&gt;"", GetData(Tabla1[[#This Row],[EXPEDIENTE]], 10), "")</f>
        <v>M</v>
      </c>
      <c r="P48" s="38" t="str">
        <f>IF(Tabla1[[#This Row],[EXPEDIENTE]]&lt;&gt;"", GetData(Tabla1[[#This Row],[EXPEDIENTE]], 11), "")</f>
        <v>29</v>
      </c>
      <c r="Q48" s="39">
        <f>Tabla1[[#This Row],[SUELDO MENSUAL]]/30</f>
        <v>278.8</v>
      </c>
      <c r="R48" s="40">
        <v>8364</v>
      </c>
      <c r="S48" s="40">
        <v>284</v>
      </c>
      <c r="T48" s="40">
        <v>10000</v>
      </c>
      <c r="U48" s="40">
        <v>0</v>
      </c>
      <c r="V48" s="40">
        <v>0</v>
      </c>
      <c r="W48" s="41">
        <f t="shared" si="9"/>
        <v>18648</v>
      </c>
      <c r="X48" s="42">
        <f t="shared" si="5"/>
        <v>2094.8651599999994</v>
      </c>
      <c r="Y48" s="40">
        <f t="shared" si="13"/>
        <v>1101.8176000000001</v>
      </c>
      <c r="Z48" s="43">
        <f t="shared" si="10"/>
        <v>3196.6827599999997</v>
      </c>
      <c r="AA48" s="44">
        <f t="shared" si="7"/>
        <v>15451.31724</v>
      </c>
      <c r="AB48" s="45">
        <v>0.26</v>
      </c>
      <c r="AC48" s="45">
        <f t="shared" si="14"/>
        <v>2203.6352000000002</v>
      </c>
      <c r="AD48" s="46">
        <f t="shared" si="2"/>
        <v>167.28</v>
      </c>
      <c r="AE48" s="45">
        <f t="shared" si="3"/>
        <v>559.43999999999994</v>
      </c>
      <c r="AF48" s="44">
        <f t="shared" si="8"/>
        <v>2930.3552000000004</v>
      </c>
      <c r="AG48" s="47">
        <f t="shared" si="4"/>
        <v>21578.355200000002</v>
      </c>
    </row>
    <row r="49" spans="1:33" s="1" customFormat="1" ht="30" customHeight="1" x14ac:dyDescent="0.25">
      <c r="A49" s="27">
        <v>92700242</v>
      </c>
      <c r="B49" s="28" t="str">
        <f>IF(Tabla1[[#This Row],[EXPEDIENTE]]&lt;&gt;"", GetData(Tabla1[[#This Row],[EXPEDIENTE]], 5), "")</f>
        <v>1904</v>
      </c>
      <c r="C49" s="29" t="str">
        <f>IF(Tabla1[[#This Row],[EXPEDIENTE]]&lt;&gt;"", GetData(Tabla1[[#This Row],[EXPEDIENTE]], 3), "")</f>
        <v>79</v>
      </c>
      <c r="D49" s="30" t="str">
        <f>IF(Tabla1[[#This Row],[EXPEDIENTE]]&lt;&gt;"", GetData(Tabla1[[#This Row],[EXPEDIENTE]], 4), "")</f>
        <v>G0808</v>
      </c>
      <c r="E49" s="31" t="s">
        <v>74</v>
      </c>
      <c r="F49" s="32" t="str">
        <f>IF(Tabla1[[#This Row],[EXPEDIENTE]]&lt;&gt;"", GetData(Tabla1[[#This Row],[EXPEDIENTE]], 0), "VACANTE")</f>
        <v>MELENDEZ PEREZ SUSANA</v>
      </c>
      <c r="G49" s="32" t="str">
        <f>IF(Tabla1[[#This Row],[EXPEDIENTE]]&lt;&gt;"", GetData(Tabla1[[#This Row],[EXPEDIENTE]], 1), "")</f>
        <v>DIRECCIÓN DE OFICINAS DE REPRESENTACION</v>
      </c>
      <c r="H49" s="32" t="str">
        <f>IF(Tabla1[[#This Row],[EXPEDIENTE]]&lt;&gt;"", GetData(Tabla1[[#This Row],[EXPEDIENTE]], 2), "")</f>
        <v>Analista Especializado Consultivo C</v>
      </c>
      <c r="I49" s="33" t="str">
        <f>IF(Tabla1[[#This Row],[EXPEDIENTE]]&lt;&gt;"", GetData(Tabla1[[#This Row],[EXPEDIENTE]], 6), "")</f>
        <v>MEPS840408MPLLRS07</v>
      </c>
      <c r="J49" s="33" t="str">
        <f>IF(Tabla1[[#This Row],[EXPEDIENTE]]&lt;&gt;"", GetData(Tabla1[[#This Row],[EXPEDIENTE]], 7), "")</f>
        <v>MEPS840408H88</v>
      </c>
      <c r="K49" s="34" t="str">
        <f>IF(Tabla1[[#This Row],[EXPEDIENTE]]&lt;&gt;"", GetData(Tabla1[[#This Row],[EXPEDIENTE]], 8), "")</f>
        <v>ACTIVO</v>
      </c>
      <c r="L49" s="35" t="str">
        <f>IF(Tabla1[[#This Row],[EXPEDIENTE]]&lt;&gt;"", GetData(Tabla1[[#This Row],[EXPEDIENTE]], 9), "")</f>
        <v>16/04/2025</v>
      </c>
      <c r="M49" s="36">
        <v>30</v>
      </c>
      <c r="N49" s="30" t="s">
        <v>6</v>
      </c>
      <c r="O49" s="37" t="str">
        <f>IF(Tabla1[[#This Row],[EXPEDIENTE]]&lt;&gt;"", GetData(Tabla1[[#This Row],[EXPEDIENTE]], 10), "")</f>
        <v>M</v>
      </c>
      <c r="P49" s="38" t="str">
        <f>IF(Tabla1[[#This Row],[EXPEDIENTE]]&lt;&gt;"", GetData(Tabla1[[#This Row],[EXPEDIENTE]], 11), "")</f>
        <v>41</v>
      </c>
      <c r="Q49" s="39">
        <f>Tabla1[[#This Row],[SUELDO MENSUAL]]/30</f>
        <v>278.8</v>
      </c>
      <c r="R49" s="40">
        <v>8364</v>
      </c>
      <c r="S49" s="40">
        <v>284</v>
      </c>
      <c r="T49" s="40">
        <v>10000</v>
      </c>
      <c r="U49" s="40">
        <v>0</v>
      </c>
      <c r="V49" s="40">
        <v>0</v>
      </c>
      <c r="W49" s="41">
        <f t="shared" si="9"/>
        <v>18648</v>
      </c>
      <c r="X49" s="42">
        <f t="shared" si="5"/>
        <v>2094.8651599999994</v>
      </c>
      <c r="Y49" s="40">
        <f t="shared" si="13"/>
        <v>1101.8176000000001</v>
      </c>
      <c r="Z49" s="43">
        <f t="shared" si="10"/>
        <v>3196.6827599999997</v>
      </c>
      <c r="AA49" s="44">
        <f t="shared" si="7"/>
        <v>15451.31724</v>
      </c>
      <c r="AB49" s="45">
        <v>0.26</v>
      </c>
      <c r="AC49" s="45">
        <f t="shared" si="14"/>
        <v>2203.6352000000002</v>
      </c>
      <c r="AD49" s="46">
        <f t="shared" si="2"/>
        <v>167.28</v>
      </c>
      <c r="AE49" s="45">
        <f t="shared" si="3"/>
        <v>559.43999999999994</v>
      </c>
      <c r="AF49" s="44">
        <f t="shared" si="8"/>
        <v>2930.3552000000004</v>
      </c>
      <c r="AG49" s="47">
        <f t="shared" si="4"/>
        <v>21578.355200000002</v>
      </c>
    </row>
    <row r="50" spans="1:33" s="1" customFormat="1" ht="30" customHeight="1" x14ac:dyDescent="0.25">
      <c r="A50" s="27"/>
      <c r="B50" s="28" t="str">
        <f>IF(Tabla1[[#This Row],[EXPEDIENTE]]&lt;&gt;"", GetData(Tabla1[[#This Row],[EXPEDIENTE]], 5), "")</f>
        <v/>
      </c>
      <c r="C50" s="29" t="str">
        <f>IF(Tabla1[[#This Row],[EXPEDIENTE]]&lt;&gt;"", GetData(Tabla1[[#This Row],[EXPEDIENTE]], 3), "")</f>
        <v/>
      </c>
      <c r="D50" s="30" t="str">
        <f>IF(Tabla1[[#This Row],[EXPEDIENTE]]&lt;&gt;"", GetData(Tabla1[[#This Row],[EXPEDIENTE]], 4), "")</f>
        <v/>
      </c>
      <c r="E50" s="31" t="s">
        <v>78</v>
      </c>
      <c r="F50" s="32" t="str">
        <f>IF(Tabla1[[#This Row],[EXPEDIENTE]]&lt;&gt;"", GetData(Tabla1[[#This Row],[EXPEDIENTE]], 0), "VACANTE")</f>
        <v>VACANTE</v>
      </c>
      <c r="G50" s="32" t="str">
        <f>IF(Tabla1[[#This Row],[EXPEDIENTE]]&lt;&gt;"", GetData(Tabla1[[#This Row],[EXPEDIENTE]], 1), "")</f>
        <v/>
      </c>
      <c r="H50" s="32" t="str">
        <f>IF(Tabla1[[#This Row],[EXPEDIENTE]]&lt;&gt;"", GetData(Tabla1[[#This Row],[EXPEDIENTE]], 2), "")</f>
        <v/>
      </c>
      <c r="I50" s="33" t="str">
        <f>IF(Tabla1[[#This Row],[EXPEDIENTE]]&lt;&gt;"", GetData(Tabla1[[#This Row],[EXPEDIENTE]], 6), "")</f>
        <v/>
      </c>
      <c r="J50" s="33" t="str">
        <f>IF(Tabla1[[#This Row],[EXPEDIENTE]]&lt;&gt;"", GetData(Tabla1[[#This Row],[EXPEDIENTE]], 7), "")</f>
        <v/>
      </c>
      <c r="K50" s="34" t="str">
        <f>IF(Tabla1[[#This Row],[EXPEDIENTE]]&lt;&gt;"", GetData(Tabla1[[#This Row],[EXPEDIENTE]], 8), "")</f>
        <v/>
      </c>
      <c r="L50" s="35" t="str">
        <f>IF(Tabla1[[#This Row],[EXPEDIENTE]]&lt;&gt;"", GetData(Tabla1[[#This Row],[EXPEDIENTE]], 9), "")</f>
        <v/>
      </c>
      <c r="M50" s="36">
        <v>30</v>
      </c>
      <c r="N50" s="30" t="s">
        <v>6</v>
      </c>
      <c r="O50" s="37" t="str">
        <f>IF(Tabla1[[#This Row],[EXPEDIENTE]]&lt;&gt;"", GetData(Tabla1[[#This Row],[EXPEDIENTE]], 10), "")</f>
        <v/>
      </c>
      <c r="P50" s="38" t="str">
        <f>IF(Tabla1[[#This Row],[EXPEDIENTE]]&lt;&gt;"", GetData(Tabla1[[#This Row],[EXPEDIENTE]], 11), "")</f>
        <v/>
      </c>
      <c r="Q50" s="39">
        <f>Tabla1[[#This Row],[SUELDO MENSUAL]]/30</f>
        <v>278.8</v>
      </c>
      <c r="R50" s="40">
        <v>8364</v>
      </c>
      <c r="S50" s="40">
        <v>284</v>
      </c>
      <c r="T50" s="40">
        <v>10000</v>
      </c>
      <c r="U50" s="40">
        <v>0</v>
      </c>
      <c r="V50" s="40">
        <v>0</v>
      </c>
      <c r="W50" s="41">
        <f t="shared" si="9"/>
        <v>18648</v>
      </c>
      <c r="X50" s="42">
        <f t="shared" si="5"/>
        <v>2094.8651599999994</v>
      </c>
      <c r="Y50" s="40">
        <f t="shared" si="13"/>
        <v>1101.8176000000001</v>
      </c>
      <c r="Z50" s="43">
        <f t="shared" si="10"/>
        <v>3196.6827599999997</v>
      </c>
      <c r="AA50" s="44">
        <f t="shared" si="7"/>
        <v>15451.31724</v>
      </c>
      <c r="AB50" s="45">
        <v>0.19</v>
      </c>
      <c r="AC50" s="45">
        <f t="shared" si="14"/>
        <v>1610.3488000000002</v>
      </c>
      <c r="AD50" s="46">
        <f t="shared" si="2"/>
        <v>167.28</v>
      </c>
      <c r="AE50" s="45">
        <f t="shared" si="3"/>
        <v>559.43999999999994</v>
      </c>
      <c r="AF50" s="44">
        <f t="shared" si="8"/>
        <v>2337.0688</v>
      </c>
      <c r="AG50" s="47">
        <f t="shared" si="4"/>
        <v>20985.068800000001</v>
      </c>
    </row>
    <row r="51" spans="1:33" s="1" customFormat="1" ht="30" customHeight="1" x14ac:dyDescent="0.25">
      <c r="A51" s="27">
        <v>92700225</v>
      </c>
      <c r="B51" s="28" t="str">
        <f>IF(Tabla1[[#This Row],[EXPEDIENTE]]&lt;&gt;"", GetData(Tabla1[[#This Row],[EXPEDIENTE]], 5), "")</f>
        <v>1906</v>
      </c>
      <c r="C51" s="29" t="str">
        <f>IF(Tabla1[[#This Row],[EXPEDIENTE]]&lt;&gt;"", GetData(Tabla1[[#This Row],[EXPEDIENTE]], 3), "")</f>
        <v>1</v>
      </c>
      <c r="D51" s="30" t="str">
        <f>IF(Tabla1[[#This Row],[EXPEDIENTE]]&lt;&gt;"", GetData(Tabla1[[#This Row],[EXPEDIENTE]], 4), "")</f>
        <v>G0808</v>
      </c>
      <c r="E51" s="48" t="s">
        <v>39</v>
      </c>
      <c r="F51" s="32" t="str">
        <f>IF(Tabla1[[#This Row],[EXPEDIENTE]]&lt;&gt;"", GetData(Tabla1[[#This Row],[EXPEDIENTE]], 0), "VACANTE")</f>
        <v>MORALES EVANGELISTA JUDITH</v>
      </c>
      <c r="G51" s="32" t="str">
        <f>IF(Tabla1[[#This Row],[EXPEDIENTE]]&lt;&gt;"", GetData(Tabla1[[#This Row],[EXPEDIENTE]], 1), "")</f>
        <v>DIRECCIÓN DE OFICINAS DE REPRESENTACION</v>
      </c>
      <c r="H51" s="32" t="str">
        <f>IF(Tabla1[[#This Row],[EXPEDIENTE]]&lt;&gt;"", GetData(Tabla1[[#This Row],[EXPEDIENTE]], 2), "")</f>
        <v>Analista Especializado Consultivo C</v>
      </c>
      <c r="I51" s="33" t="str">
        <f>IF(Tabla1[[#This Row],[EXPEDIENTE]]&lt;&gt;"", GetData(Tabla1[[#This Row],[EXPEDIENTE]], 6), "")</f>
        <v>MOEJ830614MPLRVD06</v>
      </c>
      <c r="J51" s="33" t="str">
        <f>IF(Tabla1[[#This Row],[EXPEDIENTE]]&lt;&gt;"", GetData(Tabla1[[#This Row],[EXPEDIENTE]], 7), "")</f>
        <v>MOEJ830614677</v>
      </c>
      <c r="K51" s="34" t="str">
        <f>IF(Tabla1[[#This Row],[EXPEDIENTE]]&lt;&gt;"", GetData(Tabla1[[#This Row],[EXPEDIENTE]], 8), "")</f>
        <v>ACTIVO</v>
      </c>
      <c r="L51" s="35" t="str">
        <f>IF(Tabla1[[#This Row],[EXPEDIENTE]]&lt;&gt;"", GetData(Tabla1[[#This Row],[EXPEDIENTE]], 9), "")</f>
        <v>01/01/2025</v>
      </c>
      <c r="M51" s="36">
        <v>30</v>
      </c>
      <c r="N51" s="30" t="s">
        <v>6</v>
      </c>
      <c r="O51" s="37" t="str">
        <f>IF(Tabla1[[#This Row],[EXPEDIENTE]]&lt;&gt;"", GetData(Tabla1[[#This Row],[EXPEDIENTE]], 10), "")</f>
        <v>M</v>
      </c>
      <c r="P51" s="38" t="str">
        <f>IF(Tabla1[[#This Row],[EXPEDIENTE]]&lt;&gt;"", GetData(Tabla1[[#This Row],[EXPEDIENTE]], 11), "")</f>
        <v>42</v>
      </c>
      <c r="Q51" s="39">
        <f>Tabla1[[#This Row],[SUELDO MENSUAL]]/30</f>
        <v>278.8</v>
      </c>
      <c r="R51" s="40">
        <v>8364</v>
      </c>
      <c r="S51" s="40">
        <v>284</v>
      </c>
      <c r="T51" s="40">
        <v>10000</v>
      </c>
      <c r="U51" s="40">
        <v>0</v>
      </c>
      <c r="V51" s="40">
        <v>0</v>
      </c>
      <c r="W51" s="41">
        <f t="shared" si="9"/>
        <v>18648</v>
      </c>
      <c r="X51" s="42">
        <f t="shared" si="5"/>
        <v>2094.8651599999994</v>
      </c>
      <c r="Y51" s="40">
        <f t="shared" si="13"/>
        <v>1101.8176000000001</v>
      </c>
      <c r="Z51" s="43">
        <f t="shared" si="10"/>
        <v>3196.6827599999997</v>
      </c>
      <c r="AA51" s="44">
        <f t="shared" si="7"/>
        <v>15451.31724</v>
      </c>
      <c r="AB51" s="45">
        <v>0.26</v>
      </c>
      <c r="AC51" s="45">
        <f t="shared" si="14"/>
        <v>2203.6352000000002</v>
      </c>
      <c r="AD51" s="46">
        <f t="shared" si="2"/>
        <v>167.28</v>
      </c>
      <c r="AE51" s="45">
        <f t="shared" si="3"/>
        <v>559.43999999999994</v>
      </c>
      <c r="AF51" s="44">
        <f t="shared" si="8"/>
        <v>2930.3552000000004</v>
      </c>
      <c r="AG51" s="47">
        <f t="shared" si="4"/>
        <v>21578.355200000002</v>
      </c>
    </row>
    <row r="52" spans="1:33" s="1" customFormat="1" ht="30" customHeight="1" x14ac:dyDescent="0.25">
      <c r="A52" s="27">
        <v>84662</v>
      </c>
      <c r="B52" s="28" t="str">
        <f>IF(Tabla1[[#This Row],[EXPEDIENTE]]&lt;&gt;"", GetData(Tabla1[[#This Row],[EXPEDIENTE]], 5), "")</f>
        <v>1907</v>
      </c>
      <c r="C52" s="29" t="str">
        <f>IF(Tabla1[[#This Row],[EXPEDIENTE]]&lt;&gt;"", GetData(Tabla1[[#This Row],[EXPEDIENTE]], 3), "")</f>
        <v>9</v>
      </c>
      <c r="D52" s="30" t="str">
        <f>IF(Tabla1[[#This Row],[EXPEDIENTE]]&lt;&gt;"", GetData(Tabla1[[#This Row],[EXPEDIENTE]], 4), "")</f>
        <v>G0808</v>
      </c>
      <c r="E52" s="48" t="s">
        <v>77</v>
      </c>
      <c r="F52" s="32" t="str">
        <f>IF(Tabla1[[#This Row],[EXPEDIENTE]]&lt;&gt;"", GetData(Tabla1[[#This Row],[EXPEDIENTE]], 0), "VACANTE")</f>
        <v>MARTINEZ DIAZ GABRIEL</v>
      </c>
      <c r="G52" s="32" t="str">
        <f>IF(Tabla1[[#This Row],[EXPEDIENTE]]&lt;&gt;"", GetData(Tabla1[[#This Row],[EXPEDIENTE]], 1), "")</f>
        <v>DIRECCIÓN DE OFICINAS DE REPRESENTACION</v>
      </c>
      <c r="H52" s="32" t="str">
        <f>IF(Tabla1[[#This Row],[EXPEDIENTE]]&lt;&gt;"", GetData(Tabla1[[#This Row],[EXPEDIENTE]], 2), "")</f>
        <v>Analista Especializado Consultivo C</v>
      </c>
      <c r="I52" s="33" t="str">
        <f>IF(Tabla1[[#This Row],[EXPEDIENTE]]&lt;&gt;"", GetData(Tabla1[[#This Row],[EXPEDIENTE]], 6), "")</f>
        <v>MADG821227HPLRZB00</v>
      </c>
      <c r="J52" s="33" t="str">
        <f>IF(Tabla1[[#This Row],[EXPEDIENTE]]&lt;&gt;"", GetData(Tabla1[[#This Row],[EXPEDIENTE]], 7), "")</f>
        <v>MADG821227RH7</v>
      </c>
      <c r="K52" s="34" t="str">
        <f>IF(Tabla1[[#This Row],[EXPEDIENTE]]&lt;&gt;"", GetData(Tabla1[[#This Row],[EXPEDIENTE]], 8), "")</f>
        <v>ACTIVO</v>
      </c>
      <c r="L52" s="35" t="str">
        <f>IF(Tabla1[[#This Row],[EXPEDIENTE]]&lt;&gt;"", GetData(Tabla1[[#This Row],[EXPEDIENTE]], 9), "")</f>
        <v>01/05/2025</v>
      </c>
      <c r="M52" s="36">
        <v>30</v>
      </c>
      <c r="N52" s="30" t="s">
        <v>6</v>
      </c>
      <c r="O52" s="37" t="str">
        <f>IF(Tabla1[[#This Row],[EXPEDIENTE]]&lt;&gt;"", GetData(Tabla1[[#This Row],[EXPEDIENTE]], 10), "")</f>
        <v>H</v>
      </c>
      <c r="P52" s="38" t="str">
        <f>IF(Tabla1[[#This Row],[EXPEDIENTE]]&lt;&gt;"", GetData(Tabla1[[#This Row],[EXPEDIENTE]], 11), "")</f>
        <v>43</v>
      </c>
      <c r="Q52" s="39">
        <f>Tabla1[[#This Row],[SUELDO MENSUAL]]/30</f>
        <v>278.8</v>
      </c>
      <c r="R52" s="40">
        <v>8364</v>
      </c>
      <c r="S52" s="40">
        <v>284</v>
      </c>
      <c r="T52" s="40">
        <v>10000</v>
      </c>
      <c r="U52" s="40">
        <v>0</v>
      </c>
      <c r="V52" s="40">
        <v>0</v>
      </c>
      <c r="W52" s="41">
        <f t="shared" si="9"/>
        <v>18648</v>
      </c>
      <c r="X52" s="42">
        <f t="shared" si="5"/>
        <v>2094.8651599999994</v>
      </c>
      <c r="Y52" s="40">
        <f t="shared" si="13"/>
        <v>1101.8176000000001</v>
      </c>
      <c r="Z52" s="43">
        <f t="shared" si="10"/>
        <v>3196.6827599999997</v>
      </c>
      <c r="AA52" s="44">
        <f t="shared" si="7"/>
        <v>15451.31724</v>
      </c>
      <c r="AB52" s="45">
        <v>0.26</v>
      </c>
      <c r="AC52" s="45">
        <f t="shared" si="14"/>
        <v>2203.6352000000002</v>
      </c>
      <c r="AD52" s="46">
        <f t="shared" si="2"/>
        <v>167.28</v>
      </c>
      <c r="AE52" s="45">
        <f t="shared" si="3"/>
        <v>559.43999999999994</v>
      </c>
      <c r="AF52" s="44">
        <f t="shared" si="8"/>
        <v>2930.3552000000004</v>
      </c>
      <c r="AG52" s="47">
        <f t="shared" si="4"/>
        <v>21578.355200000002</v>
      </c>
    </row>
    <row r="53" spans="1:33" s="1" customFormat="1" ht="30" customHeight="1" x14ac:dyDescent="0.25">
      <c r="A53" s="27">
        <v>92700247</v>
      </c>
      <c r="B53" s="28" t="str">
        <f>IF(Tabla1[[#This Row],[EXPEDIENTE]]&lt;&gt;"", GetData(Tabla1[[#This Row],[EXPEDIENTE]], 5), "")</f>
        <v>1908</v>
      </c>
      <c r="C53" s="29" t="str">
        <f>IF(Tabla1[[#This Row],[EXPEDIENTE]]&lt;&gt;"", GetData(Tabla1[[#This Row],[EXPEDIENTE]], 3), "")</f>
        <v>62</v>
      </c>
      <c r="D53" s="30" t="str">
        <f>IF(Tabla1[[#This Row],[EXPEDIENTE]]&lt;&gt;"", GetData(Tabla1[[#This Row],[EXPEDIENTE]], 4), "")</f>
        <v>G0808</v>
      </c>
      <c r="E53" s="31" t="s">
        <v>76</v>
      </c>
      <c r="F53" s="32" t="str">
        <f>IF(Tabla1[[#This Row],[EXPEDIENTE]]&lt;&gt;"", GetData(Tabla1[[#This Row],[EXPEDIENTE]], 0), "VACANTE")</f>
        <v>SANCHEZ CESARIO EFREN</v>
      </c>
      <c r="G53" s="32" t="str">
        <f>IF(Tabla1[[#This Row],[EXPEDIENTE]]&lt;&gt;"", GetData(Tabla1[[#This Row],[EXPEDIENTE]], 1), "")</f>
        <v>DIRECCIÓN DE OFICINAS DE REPRESENTACION</v>
      </c>
      <c r="H53" s="32" t="str">
        <f>IF(Tabla1[[#This Row],[EXPEDIENTE]]&lt;&gt;"", GetData(Tabla1[[#This Row],[EXPEDIENTE]], 2), "")</f>
        <v>Analista Especializado Consultivo C</v>
      </c>
      <c r="I53" s="33" t="str">
        <f>IF(Tabla1[[#This Row],[EXPEDIENTE]]&lt;&gt;"", GetData(Tabla1[[#This Row],[EXPEDIENTE]], 6), "")</f>
        <v>SACE000108HPLNSFA3</v>
      </c>
      <c r="J53" s="33" t="str">
        <f>IF(Tabla1[[#This Row],[EXPEDIENTE]]&lt;&gt;"", GetData(Tabla1[[#This Row],[EXPEDIENTE]], 7), "")</f>
        <v>SACE000108F14</v>
      </c>
      <c r="K53" s="34" t="str">
        <f>IF(Tabla1[[#This Row],[EXPEDIENTE]]&lt;&gt;"", GetData(Tabla1[[#This Row],[EXPEDIENTE]], 8), "")</f>
        <v>ACTIVO</v>
      </c>
      <c r="L53" s="35" t="str">
        <f>IF(Tabla1[[#This Row],[EXPEDIENTE]]&lt;&gt;"", GetData(Tabla1[[#This Row],[EXPEDIENTE]], 9), "")</f>
        <v>16/05/2025</v>
      </c>
      <c r="M53" s="36">
        <v>30</v>
      </c>
      <c r="N53" s="30" t="s">
        <v>32</v>
      </c>
      <c r="O53" s="37" t="str">
        <f>IF(Tabla1[[#This Row],[EXPEDIENTE]]&lt;&gt;"", GetData(Tabla1[[#This Row],[EXPEDIENTE]], 10), "")</f>
        <v>H</v>
      </c>
      <c r="P53" s="38" t="str">
        <f>IF(Tabla1[[#This Row],[EXPEDIENTE]]&lt;&gt;"", GetData(Tabla1[[#This Row],[EXPEDIENTE]], 11), "")</f>
        <v>26</v>
      </c>
      <c r="Q53" s="39">
        <f>Tabla1[[#This Row],[SUELDO MENSUAL]]/30</f>
        <v>278.8</v>
      </c>
      <c r="R53" s="40">
        <v>8364</v>
      </c>
      <c r="S53" s="40">
        <v>284</v>
      </c>
      <c r="T53" s="40">
        <v>10000</v>
      </c>
      <c r="U53" s="40">
        <v>0</v>
      </c>
      <c r="V53" s="40">
        <v>0</v>
      </c>
      <c r="W53" s="41">
        <f t="shared" si="9"/>
        <v>18648</v>
      </c>
      <c r="X53" s="42">
        <f t="shared" si="5"/>
        <v>2094.8651599999994</v>
      </c>
      <c r="Y53" s="40">
        <f t="shared" si="13"/>
        <v>1101.8176000000001</v>
      </c>
      <c r="Z53" s="43">
        <f t="shared" si="10"/>
        <v>3196.6827599999997</v>
      </c>
      <c r="AA53" s="44">
        <f t="shared" si="7"/>
        <v>15451.31724</v>
      </c>
      <c r="AB53" s="45">
        <v>0.26</v>
      </c>
      <c r="AC53" s="45">
        <f t="shared" si="14"/>
        <v>2203.6352000000002</v>
      </c>
      <c r="AD53" s="46">
        <f t="shared" si="2"/>
        <v>167.28</v>
      </c>
      <c r="AE53" s="45">
        <f t="shared" si="3"/>
        <v>559.43999999999994</v>
      </c>
      <c r="AF53" s="44">
        <f t="shared" si="8"/>
        <v>2930.3552000000004</v>
      </c>
      <c r="AG53" s="47">
        <f t="shared" si="4"/>
        <v>21578.355200000002</v>
      </c>
    </row>
    <row r="54" spans="1:33" ht="30" customHeight="1" thickBot="1" x14ac:dyDescent="0.3">
      <c r="A54" s="51"/>
      <c r="B54" s="28" t="str">
        <f>IF(Tabla1[[#This Row],[EXPEDIENTE]]&lt;&gt;"", GetData(Tabla1[[#This Row],[EXPEDIENTE]], 5), "")</f>
        <v/>
      </c>
      <c r="C54" s="29" t="str">
        <f>IF(Tabla1[[#This Row],[EXPEDIENTE]]&lt;&gt;"", GetData(Tabla1[[#This Row],[EXPEDIENTE]], 3), "")</f>
        <v/>
      </c>
      <c r="D54" s="30" t="str">
        <f>IF(Tabla1[[#This Row],[EXPEDIENTE]]&lt;&gt;"", GetData(Tabla1[[#This Row],[EXPEDIENTE]], 4), "")</f>
        <v/>
      </c>
      <c r="E54" s="52" t="s">
        <v>79</v>
      </c>
      <c r="F54" s="32" t="str">
        <f>IF(Tabla1[[#This Row],[EXPEDIENTE]]&lt;&gt;"", GetData(Tabla1[[#This Row],[EXPEDIENTE]], 0), "VACANTE")</f>
        <v>VACANTE</v>
      </c>
      <c r="G54" s="32" t="str">
        <f>IF(Tabla1[[#This Row],[EXPEDIENTE]]&lt;&gt;"", GetData(Tabla1[[#This Row],[EXPEDIENTE]], 1), "")</f>
        <v/>
      </c>
      <c r="H54" s="32" t="str">
        <f>IF(Tabla1[[#This Row],[EXPEDIENTE]]&lt;&gt;"", GetData(Tabla1[[#This Row],[EXPEDIENTE]], 2), "")</f>
        <v/>
      </c>
      <c r="I54" s="33" t="str">
        <f>IF(Tabla1[[#This Row],[EXPEDIENTE]]&lt;&gt;"", GetData(Tabla1[[#This Row],[EXPEDIENTE]], 6), "")</f>
        <v/>
      </c>
      <c r="J54" s="33" t="str">
        <f>IF(Tabla1[[#This Row],[EXPEDIENTE]]&lt;&gt;"", GetData(Tabla1[[#This Row],[EXPEDIENTE]], 7), "")</f>
        <v/>
      </c>
      <c r="K54" s="34" t="str">
        <f>IF(Tabla1[[#This Row],[EXPEDIENTE]]&lt;&gt;"", GetData(Tabla1[[#This Row],[EXPEDIENTE]], 8), "")</f>
        <v/>
      </c>
      <c r="L54" s="35" t="str">
        <f>IF(Tabla1[[#This Row],[EXPEDIENTE]]&lt;&gt;"", GetData(Tabla1[[#This Row],[EXPEDIENTE]], 9), "")</f>
        <v/>
      </c>
      <c r="M54" s="53">
        <v>30</v>
      </c>
      <c r="N54" s="54" t="s">
        <v>6</v>
      </c>
      <c r="O54" s="37" t="str">
        <f>IF(Tabla1[[#This Row],[EXPEDIENTE]]&lt;&gt;"", GetData(Tabla1[[#This Row],[EXPEDIENTE]], 10), "")</f>
        <v/>
      </c>
      <c r="P54" s="38" t="str">
        <f>IF(Tabla1[[#This Row],[EXPEDIENTE]]&lt;&gt;"", GetData(Tabla1[[#This Row],[EXPEDIENTE]], 11), "")</f>
        <v/>
      </c>
      <c r="Q54" s="55">
        <f>Tabla1[[#This Row],[SUELDO MENSUAL]]/30</f>
        <v>278.8</v>
      </c>
      <c r="R54" s="56">
        <v>8364</v>
      </c>
      <c r="S54" s="56">
        <v>284</v>
      </c>
      <c r="T54" s="56">
        <v>10000</v>
      </c>
      <c r="U54" s="56">
        <v>0</v>
      </c>
      <c r="V54" s="56">
        <v>0</v>
      </c>
      <c r="W54" s="57">
        <f t="shared" si="9"/>
        <v>18648</v>
      </c>
      <c r="X54" s="42">
        <f t="shared" si="5"/>
        <v>2094.8651599999994</v>
      </c>
      <c r="Y54" s="56">
        <f t="shared" si="13"/>
        <v>1101.8176000000001</v>
      </c>
      <c r="Z54" s="58">
        <f t="shared" si="10"/>
        <v>3196.6827599999997</v>
      </c>
      <c r="AA54" s="59">
        <f t="shared" si="7"/>
        <v>15451.31724</v>
      </c>
      <c r="AB54" s="60">
        <v>0.26</v>
      </c>
      <c r="AC54" s="60">
        <f t="shared" si="14"/>
        <v>2203.6352000000002</v>
      </c>
      <c r="AD54" s="61">
        <f t="shared" si="2"/>
        <v>167.28</v>
      </c>
      <c r="AE54" s="60">
        <f t="shared" si="3"/>
        <v>559.43999999999994</v>
      </c>
      <c r="AF54" s="59">
        <f t="shared" si="8"/>
        <v>2930.3552000000004</v>
      </c>
      <c r="AG54" s="62">
        <f t="shared" si="4"/>
        <v>21578.355200000002</v>
      </c>
    </row>
  </sheetData>
  <pageMargins left="0.70866141732283472" right="0.70866141732283472" top="0.74803149606299213" bottom="0.74803149606299213" header="0.31496062992125984" footer="0.31496062992125984"/>
  <pageSetup scale="34" fitToHeight="0" orientation="landscape" r:id="rId1"/>
  <headerFooter>
    <oddFooter>&amp;C&amp;P/&amp;N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2E026-1E78-4439-A9BF-DF5F232B823D}">
  <sheetPr codeName="Hoja2">
    <pageSetUpPr fitToPage="1"/>
  </sheetPr>
  <dimension ref="A1:AK54"/>
  <sheetViews>
    <sheetView zoomScaleNormal="100" workbookViewId="0">
      <pane xSplit="1" ySplit="2" topLeftCell="N3" activePane="bottomRight" state="frozen"/>
      <selection pane="topRight" activeCell="B1" sqref="B1"/>
      <selection pane="bottomLeft" activeCell="A4" sqref="A4"/>
      <selection pane="bottomRight" activeCell="N4" sqref="N4"/>
    </sheetView>
  </sheetViews>
  <sheetFormatPr baseColWidth="10" defaultColWidth="11.42578125" defaultRowHeight="15" x14ac:dyDescent="0.25"/>
  <cols>
    <col min="1" max="1" width="13.7109375" style="13" customWidth="1"/>
    <col min="2" max="2" width="8.7109375" style="13" customWidth="1"/>
    <col min="3" max="3" width="8.7109375" style="2" customWidth="1"/>
    <col min="4" max="4" width="11.7109375" style="2" customWidth="1"/>
    <col min="5" max="5" width="15.7109375" style="11" customWidth="1"/>
    <col min="6" max="6" width="45.7109375" style="3" customWidth="1"/>
    <col min="7" max="8" width="35.7109375" style="3" customWidth="1"/>
    <col min="9" max="9" width="22.7109375" style="3" customWidth="1"/>
    <col min="10" max="10" width="22.7109375" style="1" customWidth="1"/>
    <col min="11" max="11" width="10.7109375" style="3" customWidth="1"/>
    <col min="12" max="12" width="11.7109375" style="2" customWidth="1"/>
    <col min="13" max="14" width="6.7109375" style="2" customWidth="1"/>
    <col min="15" max="15" width="6.7109375" style="1" customWidth="1"/>
    <col min="16" max="17" width="15.7109375" style="1" customWidth="1"/>
    <col min="18" max="29" width="15.7109375" style="2" customWidth="1"/>
    <col min="30" max="31" width="15.7109375" style="4" customWidth="1"/>
    <col min="32" max="35" width="15.7109375" style="2" customWidth="1"/>
    <col min="36" max="16384" width="11.42578125" style="2"/>
  </cols>
  <sheetData>
    <row r="1" spans="1:37" s="7" customFormat="1" ht="30" customHeight="1" thickBot="1" x14ac:dyDescent="0.3">
      <c r="A1" s="12"/>
      <c r="B1" s="12"/>
      <c r="C1" s="8"/>
      <c r="E1" s="10"/>
      <c r="F1" s="6"/>
      <c r="G1" s="6"/>
      <c r="H1" s="6"/>
      <c r="I1" s="6"/>
      <c r="J1" s="8"/>
      <c r="K1" s="6"/>
      <c r="L1" s="9"/>
      <c r="O1" s="8"/>
      <c r="P1" s="22"/>
      <c r="Q1" s="97"/>
      <c r="R1" s="23">
        <f>SUBTOTAL(9,R3:R54)</f>
        <v>493776.29999999993</v>
      </c>
      <c r="S1" s="23"/>
      <c r="T1" s="23">
        <f>SUBTOTAL(9,T3:T54)</f>
        <v>14754</v>
      </c>
      <c r="U1" s="23"/>
      <c r="V1" s="23">
        <f>SUBTOTAL(9,V3:V54)</f>
        <v>674489.68000000017</v>
      </c>
      <c r="W1" s="23"/>
      <c r="X1" s="23">
        <f t="shared" ref="X1:AI1" si="0">SUBTOTAL(9,X3:X54)</f>
        <v>0</v>
      </c>
      <c r="Y1" s="23">
        <f t="shared" si="0"/>
        <v>591597.49000000022</v>
      </c>
      <c r="Z1" s="23">
        <f t="shared" si="0"/>
        <v>78543.520775999961</v>
      </c>
      <c r="AA1" s="23">
        <f t="shared" si="0"/>
        <v>57595.592900000018</v>
      </c>
      <c r="AB1" s="23">
        <f t="shared" si="0"/>
        <v>136139.11367600004</v>
      </c>
      <c r="AC1" s="23">
        <f t="shared" si="0"/>
        <v>455458.37632400042</v>
      </c>
      <c r="AD1" s="23">
        <f t="shared" si="0"/>
        <v>13.239999999999991</v>
      </c>
      <c r="AE1" s="23">
        <f t="shared" si="0"/>
        <v>126767.17120000006</v>
      </c>
      <c r="AF1" s="23">
        <f t="shared" si="0"/>
        <v>9875.5260000000017</v>
      </c>
      <c r="AG1" s="23">
        <f t="shared" si="0"/>
        <v>17747.924699999996</v>
      </c>
      <c r="AH1" s="23">
        <f t="shared" si="0"/>
        <v>154390.62189999991</v>
      </c>
      <c r="AI1" s="24">
        <f t="shared" si="0"/>
        <v>745988.11190000037</v>
      </c>
    </row>
    <row r="2" spans="1:37" s="5" customFormat="1" ht="50.1" customHeight="1" thickBot="1" x14ac:dyDescent="0.3">
      <c r="A2" s="91" t="s">
        <v>0</v>
      </c>
      <c r="B2" s="92" t="s">
        <v>27</v>
      </c>
      <c r="C2" s="93" t="s">
        <v>7</v>
      </c>
      <c r="D2" s="94" t="s">
        <v>86</v>
      </c>
      <c r="E2" s="94" t="s">
        <v>21</v>
      </c>
      <c r="F2" s="93" t="s">
        <v>1</v>
      </c>
      <c r="G2" s="93" t="s">
        <v>9</v>
      </c>
      <c r="H2" s="93" t="s">
        <v>8</v>
      </c>
      <c r="I2" s="94" t="s">
        <v>3</v>
      </c>
      <c r="J2" s="94" t="s">
        <v>2</v>
      </c>
      <c r="K2" s="93" t="s">
        <v>11</v>
      </c>
      <c r="L2" s="93" t="s">
        <v>81</v>
      </c>
      <c r="M2" s="94" t="s">
        <v>4</v>
      </c>
      <c r="N2" s="94" t="s">
        <v>5</v>
      </c>
      <c r="O2" s="95" t="s">
        <v>10</v>
      </c>
      <c r="P2" s="96" t="s">
        <v>12</v>
      </c>
      <c r="Q2" s="98" t="s">
        <v>13</v>
      </c>
      <c r="R2" s="93" t="s">
        <v>87</v>
      </c>
      <c r="S2" s="99" t="s">
        <v>23</v>
      </c>
      <c r="T2" s="93" t="s">
        <v>22</v>
      </c>
      <c r="U2" s="99" t="s">
        <v>24</v>
      </c>
      <c r="V2" s="93" t="s">
        <v>35</v>
      </c>
      <c r="W2" s="93" t="s">
        <v>83</v>
      </c>
      <c r="X2" s="93" t="s">
        <v>25</v>
      </c>
      <c r="Y2" s="95" t="s">
        <v>36</v>
      </c>
      <c r="Z2" s="96" t="s">
        <v>14</v>
      </c>
      <c r="AA2" s="93" t="s">
        <v>30</v>
      </c>
      <c r="AB2" s="93" t="s">
        <v>29</v>
      </c>
      <c r="AC2" s="93" t="s">
        <v>26</v>
      </c>
      <c r="AD2" s="93" t="s">
        <v>84</v>
      </c>
      <c r="AE2" s="93" t="s">
        <v>31</v>
      </c>
      <c r="AF2" s="93" t="s">
        <v>85</v>
      </c>
      <c r="AG2" s="93" t="s">
        <v>28</v>
      </c>
      <c r="AH2" s="93" t="s">
        <v>15</v>
      </c>
      <c r="AI2" s="95" t="s">
        <v>34</v>
      </c>
      <c r="AK2" s="15"/>
    </row>
    <row r="3" spans="1:37" s="1" customFormat="1" ht="30" customHeight="1" x14ac:dyDescent="0.25">
      <c r="A3" s="101">
        <f>IF(OCTUBRE!A3&lt;&gt;"", OCTUBRE!A3, "")</f>
        <v>92700199</v>
      </c>
      <c r="B3" s="78" t="str">
        <f>IF(OCTUBRE!B3&lt;&gt;"", OCTUBRE!B3, "")</f>
        <v>167</v>
      </c>
      <c r="C3" s="78" t="str">
        <f>IF(OCTUBRE!C3&lt;&gt;"", OCTUBRE!C3, "")</f>
        <v>11</v>
      </c>
      <c r="D3" s="78" t="str">
        <f>IF(OCTUBRE!D3&lt;&gt;"", OCTUBRE!D3, "")</f>
        <v>G0403</v>
      </c>
      <c r="E3" s="79" t="str">
        <f>IF(OCTUBRE!E3&lt;&gt;"", OCTUBRE!E3, "")</f>
        <v>113022138DA3QG040300.0000001</v>
      </c>
      <c r="F3" s="80" t="str">
        <f>IF(OCTUBRE!F3&lt;&gt;"", OCTUBRE!F3, "")</f>
        <v>MARTINEZ ARROYO APOLINARIA</v>
      </c>
      <c r="G3" s="80" t="str">
        <f>IF(OCTUBRE!G3&lt;&gt;"", OCTUBRE!G3, "")</f>
        <v>DIRECCIÓN GENERAL</v>
      </c>
      <c r="H3" s="80" t="str">
        <f>IF(OCTUBRE!H3&lt;&gt;"", OCTUBRE!H3, "")</f>
        <v>DIRECTORA GENERAL</v>
      </c>
      <c r="I3" s="78" t="str">
        <f>IF(OCTUBRE!I3&lt;&gt;"", OCTUBRE!I3, "")</f>
        <v>MAAA830209MPLRRP06</v>
      </c>
      <c r="J3" s="78" t="str">
        <f>IF(OCTUBRE!J3&lt;&gt;"", OCTUBRE!J3, "")</f>
        <v>MAAA830209PGA</v>
      </c>
      <c r="K3" s="78" t="str">
        <f>IF(OCTUBRE!K3&lt;&gt;"", OCTUBRE!K3, "")</f>
        <v>ACTIVO</v>
      </c>
      <c r="L3" s="78" t="str">
        <f>IF(OCTUBRE!L3&lt;&gt;"", OCTUBRE!L3, "")</f>
        <v>14/12/2024</v>
      </c>
      <c r="M3" s="81" t="str">
        <f>IF(OCTUBRE!N3&lt;&gt;"", OCTUBRE!N3, "")</f>
        <v>X</v>
      </c>
      <c r="N3" s="81" t="str">
        <f>IF(OCTUBRE!O3&lt;&gt;"", OCTUBRE!O3, "")</f>
        <v>M</v>
      </c>
      <c r="O3" s="82" t="str">
        <f>IF(OCTUBRE!P3&lt;&gt;"", OCTUBRE!P3, "")</f>
        <v>42</v>
      </c>
      <c r="P3" s="83">
        <f>Tabla1[[#This Row],[SALARIO DIARIO]]</f>
        <v>734.99</v>
      </c>
      <c r="Q3" s="83">
        <f>Tabla15[[#This Row],[SUELDO MENSUAL]]/2</f>
        <v>11024.85</v>
      </c>
      <c r="R3" s="84">
        <f>Tabla1[[#This Row],[SUELDO MENSUAL]]</f>
        <v>22049.7</v>
      </c>
      <c r="S3" s="84">
        <f>Tabla15[[#This Row],[DESPENSA MENSUAL]]/2</f>
        <v>135</v>
      </c>
      <c r="T3" s="84">
        <f>Tabla1[[#This Row],[DESPENSA MENSUAL]]</f>
        <v>270</v>
      </c>
      <c r="U3" s="84">
        <f>Tabla15[[#This Row],[COMPENSACIÓN (J5)  MENSUAL]]/2</f>
        <v>19590</v>
      </c>
      <c r="V3" s="84">
        <f>Tabla1[[#This Row],[COMPENSACIÓN (J5)  MENSUAL]]</f>
        <v>39180</v>
      </c>
      <c r="W3" s="84">
        <f>Tabla1[[#This Row],[QUINQUENIO]]/2</f>
        <v>0</v>
      </c>
      <c r="X3" s="84">
        <f>Tabla1[[#This Row],[COMPENSACIÓN (J6) MENSUAL]]/2</f>
        <v>0</v>
      </c>
      <c r="Y3" s="85">
        <f>Q3+S3+U3+W3+X3</f>
        <v>30749.85</v>
      </c>
      <c r="Z3" s="83">
        <f>Tabla1[[#This Row],[ISR MENSUAL]]/2</f>
        <v>6092.9964999999993</v>
      </c>
      <c r="AA3" s="84">
        <f>Q3*13%</f>
        <v>1433.2305000000001</v>
      </c>
      <c r="AB3" s="86">
        <f t="shared" ref="AB3:AB34" si="1">SUM(Z3:AA3)</f>
        <v>7526.226999999999</v>
      </c>
      <c r="AC3" s="87">
        <f>Y3-AB3</f>
        <v>23223.623</v>
      </c>
      <c r="AD3" s="88">
        <v>0.26</v>
      </c>
      <c r="AE3" s="88">
        <f>R3*AD3</f>
        <v>5732.9220000000005</v>
      </c>
      <c r="AF3" s="89">
        <f t="shared" ref="AF3:AF54" si="2">R3*2%</f>
        <v>440.99400000000003</v>
      </c>
      <c r="AG3" s="88">
        <f t="shared" ref="AG3:AG54" si="3">Y3*3%</f>
        <v>922.49549999999988</v>
      </c>
      <c r="AH3" s="87">
        <f>SUM(AE3:AG3)</f>
        <v>7096.4115000000002</v>
      </c>
      <c r="AI3" s="90">
        <f>Y3+AH3</f>
        <v>37846.261500000001</v>
      </c>
    </row>
    <row r="4" spans="1:37" s="1" customFormat="1" ht="30" customHeight="1" x14ac:dyDescent="0.25">
      <c r="A4" s="102">
        <f>IF(OCTUBRE!A4&lt;&gt;"", OCTUBRE!A4, "")</f>
        <v>92700206</v>
      </c>
      <c r="B4" s="72" t="str">
        <f>IF(OCTUBRE!B4&lt;&gt;"", OCTUBRE!B4, "")</f>
        <v>167</v>
      </c>
      <c r="C4" s="72" t="str">
        <f>IF(OCTUBRE!C4&lt;&gt;"", OCTUBRE!C4, "")</f>
        <v>13</v>
      </c>
      <c r="D4" s="72" t="str">
        <f>IF(OCTUBRE!D4&lt;&gt;"", OCTUBRE!D4, "")</f>
        <v>G0807</v>
      </c>
      <c r="E4" s="37" t="str">
        <f>IF(OCTUBRE!E4&lt;&gt;"", OCTUBRE!E4, "")</f>
        <v>113022138DA3QG080700.0000001</v>
      </c>
      <c r="F4" s="31" t="str">
        <f>IF(OCTUBRE!F4&lt;&gt;"", OCTUBRE!F4, "")</f>
        <v>ALTA ZAQUEROZ YANEI</v>
      </c>
      <c r="G4" s="31" t="str">
        <f>IF(OCTUBRE!G4&lt;&gt;"", OCTUBRE!G4, "")</f>
        <v>DIRECCIÓN GENERAL</v>
      </c>
      <c r="H4" s="31" t="str">
        <f>IF(OCTUBRE!H4&lt;&gt;"", OCTUBRE!H4, "")</f>
        <v>Analista Especializado Consultivo B</v>
      </c>
      <c r="I4" s="72" t="str">
        <f>IF(OCTUBRE!I4&lt;&gt;"", OCTUBRE!I4, "")</f>
        <v>AAZY970518MPLLQN09</v>
      </c>
      <c r="J4" s="72" t="str">
        <f>IF(OCTUBRE!J4&lt;&gt;"", OCTUBRE!J4, "")</f>
        <v>AAZY970518LP5</v>
      </c>
      <c r="K4" s="72" t="str">
        <f>IF(OCTUBRE!K4&lt;&gt;"", OCTUBRE!K4, "")</f>
        <v>ACTIVO</v>
      </c>
      <c r="L4" s="72" t="str">
        <f>IF(OCTUBRE!L4&lt;&gt;"", OCTUBRE!L4, "")</f>
        <v>01/01/2025</v>
      </c>
      <c r="M4" s="30" t="str">
        <f>IF(OCTUBRE!N4&lt;&gt;"", OCTUBRE!N4, "")</f>
        <v>X</v>
      </c>
      <c r="N4" s="30" t="str">
        <f>IF(OCTUBRE!O4&lt;&gt;"", OCTUBRE!O4, "")</f>
        <v>M</v>
      </c>
      <c r="O4" s="73" t="str">
        <f>IF(OCTUBRE!P4&lt;&gt;"", OCTUBRE!P4, "")</f>
        <v>28</v>
      </c>
      <c r="P4" s="83">
        <f>Tabla1[[#This Row],[SALARIO DIARIO]]</f>
        <v>280.76</v>
      </c>
      <c r="Q4" s="83">
        <f>Tabla15[[#This Row],[SUELDO MENSUAL]]/2</f>
        <v>4211.3999999999996</v>
      </c>
      <c r="R4" s="84">
        <f>Tabla1[[#This Row],[SUELDO MENSUAL]]</f>
        <v>8422.7999999999993</v>
      </c>
      <c r="S4" s="84">
        <f>Tabla15[[#This Row],[DESPENSA MENSUAL]]/2</f>
        <v>142</v>
      </c>
      <c r="T4" s="84">
        <f>Tabla1[[#This Row],[DESPENSA MENSUAL]]</f>
        <v>284</v>
      </c>
      <c r="U4" s="84">
        <f>Tabla15[[#This Row],[COMPENSACIÓN (J5)  MENSUAL]]/2</f>
        <v>5500</v>
      </c>
      <c r="V4" s="84">
        <f>Tabla1[[#This Row],[COMPENSACIÓN (J5)  MENSUAL]]</f>
        <v>11000</v>
      </c>
      <c r="W4" s="84">
        <f>Tabla1[[#This Row],[QUINQUENIO]]/2</f>
        <v>0</v>
      </c>
      <c r="X4" s="84">
        <f>Tabla1[[#This Row],[COMPENSACIÓN (J6) MENSUAL]]/2</f>
        <v>0</v>
      </c>
      <c r="Y4" s="85">
        <f>Q4+S4+U4+W4+X4</f>
        <v>9853.4</v>
      </c>
      <c r="Z4" s="83">
        <f>Tabla1[[#This Row],[ISR MENSUAL]]/2</f>
        <v>1160.5124199999998</v>
      </c>
      <c r="AA4" s="40">
        <v>1101.82</v>
      </c>
      <c r="AB4" s="43">
        <f t="shared" si="1"/>
        <v>2262.3324199999997</v>
      </c>
      <c r="AC4" s="44">
        <f t="shared" ref="AC4:AC54" si="4">Y4-AB4</f>
        <v>7591.0675799999999</v>
      </c>
      <c r="AD4" s="45">
        <v>0.26</v>
      </c>
      <c r="AE4" s="45">
        <v>2203.6352000000002</v>
      </c>
      <c r="AF4" s="46">
        <f t="shared" si="2"/>
        <v>168.45599999999999</v>
      </c>
      <c r="AG4" s="45">
        <f t="shared" si="3"/>
        <v>295.60199999999998</v>
      </c>
      <c r="AH4" s="44">
        <f t="shared" ref="AH4:AH54" si="5">SUM(AE4:AG4)</f>
        <v>2667.6932000000002</v>
      </c>
      <c r="AI4" s="47">
        <f t="shared" ref="AI4:AI54" si="6">Y4+AH4</f>
        <v>12521.093199999999</v>
      </c>
    </row>
    <row r="5" spans="1:37" s="1" customFormat="1" ht="30" customHeight="1" x14ac:dyDescent="0.25">
      <c r="A5" s="102" t="str">
        <f>IF(OCTUBRE!A5&lt;&gt;"", OCTUBRE!A5, "")</f>
        <v/>
      </c>
      <c r="B5" s="72" t="str">
        <f>IF(OCTUBRE!B5&lt;&gt;"", OCTUBRE!B5, "")</f>
        <v/>
      </c>
      <c r="C5" s="72" t="str">
        <f>IF(OCTUBRE!C5&lt;&gt;"", OCTUBRE!C5, "")</f>
        <v/>
      </c>
      <c r="D5" s="72" t="str">
        <f>IF(OCTUBRE!D5&lt;&gt;"", OCTUBRE!D5, "")</f>
        <v/>
      </c>
      <c r="E5" s="37" t="str">
        <f>IF(OCTUBRE!E5&lt;&gt;"", OCTUBRE!E5, "")</f>
        <v>113022138DA3QG080700.0000002</v>
      </c>
      <c r="F5" s="31" t="str">
        <f>IF(OCTUBRE!F5&lt;&gt;"", OCTUBRE!F5, "")</f>
        <v>VACANTE</v>
      </c>
      <c r="G5" s="31" t="str">
        <f>IF(OCTUBRE!G5&lt;&gt;"", OCTUBRE!G5, "")</f>
        <v/>
      </c>
      <c r="H5" s="31" t="str">
        <f>IF(OCTUBRE!H5&lt;&gt;"", OCTUBRE!H5, "")</f>
        <v/>
      </c>
      <c r="I5" s="72" t="str">
        <f>IF(OCTUBRE!I5&lt;&gt;"", OCTUBRE!I5, "")</f>
        <v/>
      </c>
      <c r="J5" s="72" t="str">
        <f>IF(OCTUBRE!J5&lt;&gt;"", OCTUBRE!J5, "")</f>
        <v/>
      </c>
      <c r="K5" s="72" t="str">
        <f>IF(OCTUBRE!K5&lt;&gt;"", OCTUBRE!K5, "")</f>
        <v/>
      </c>
      <c r="L5" s="72" t="str">
        <f>IF(OCTUBRE!L5&lt;&gt;"", OCTUBRE!L5, "")</f>
        <v/>
      </c>
      <c r="M5" s="30" t="str">
        <f>IF(OCTUBRE!N5&lt;&gt;"", OCTUBRE!N5, "")</f>
        <v>X</v>
      </c>
      <c r="N5" s="30" t="str">
        <f>IF(OCTUBRE!O5&lt;&gt;"", OCTUBRE!O5, "")</f>
        <v/>
      </c>
      <c r="O5" s="73" t="str">
        <f>IF(OCTUBRE!P5&lt;&gt;"", OCTUBRE!P5, "")</f>
        <v/>
      </c>
      <c r="P5" s="83">
        <f>Tabla1[[#This Row],[SALARIO DIARIO]]</f>
        <v>280.76</v>
      </c>
      <c r="Q5" s="83">
        <f>Tabla15[[#This Row],[SUELDO MENSUAL]]/2</f>
        <v>4211.3999999999996</v>
      </c>
      <c r="R5" s="84">
        <f>Tabla1[[#This Row],[SUELDO MENSUAL]]</f>
        <v>8422.7999999999993</v>
      </c>
      <c r="S5" s="84">
        <f>Tabla15[[#This Row],[DESPENSA MENSUAL]]/2</f>
        <v>142</v>
      </c>
      <c r="T5" s="84">
        <f>Tabla1[[#This Row],[DESPENSA MENSUAL]]</f>
        <v>284</v>
      </c>
      <c r="U5" s="84">
        <f>Tabla15[[#This Row],[COMPENSACIÓN (J5)  MENSUAL]]/2</f>
        <v>5500</v>
      </c>
      <c r="V5" s="84">
        <f>Tabla1[[#This Row],[COMPENSACIÓN (J5)  MENSUAL]]</f>
        <v>11000</v>
      </c>
      <c r="W5" s="84">
        <f>Tabla1[[#This Row],[QUINQUENIO]]/2</f>
        <v>0</v>
      </c>
      <c r="X5" s="84">
        <f>Tabla1[[#This Row],[COMPENSACIÓN (J6) MENSUAL]]/2</f>
        <v>0</v>
      </c>
      <c r="Y5" s="85">
        <f t="shared" ref="Y5:Y34" si="7">Q5+S5+U5+W5+X5</f>
        <v>9853.4</v>
      </c>
      <c r="Z5" s="83">
        <f>Tabla1[[#This Row],[ISR MENSUAL]]/2</f>
        <v>1160.5124199999998</v>
      </c>
      <c r="AA5" s="40">
        <v>1101.82</v>
      </c>
      <c r="AB5" s="43">
        <f t="shared" si="1"/>
        <v>2262.3324199999997</v>
      </c>
      <c r="AC5" s="44">
        <f t="shared" si="4"/>
        <v>7591.0675799999999</v>
      </c>
      <c r="AD5" s="45">
        <v>0.26</v>
      </c>
      <c r="AE5" s="45">
        <v>2203.6352000000002</v>
      </c>
      <c r="AF5" s="46">
        <f t="shared" si="2"/>
        <v>168.45599999999999</v>
      </c>
      <c r="AG5" s="45">
        <f t="shared" si="3"/>
        <v>295.60199999999998</v>
      </c>
      <c r="AH5" s="44">
        <f t="shared" si="5"/>
        <v>2667.6932000000002</v>
      </c>
      <c r="AI5" s="47">
        <f t="shared" si="6"/>
        <v>12521.093199999999</v>
      </c>
    </row>
    <row r="6" spans="1:37" s="1" customFormat="1" ht="30" customHeight="1" x14ac:dyDescent="0.25">
      <c r="A6" s="71">
        <f>IF(OCTUBRE!A6&lt;&gt;"", OCTUBRE!A6, "")</f>
        <v>92700237</v>
      </c>
      <c r="B6" s="72" t="str">
        <f>IF(OCTUBRE!B6&lt;&gt;"", OCTUBRE!B6, "")</f>
        <v>185</v>
      </c>
      <c r="C6" s="72" t="str">
        <f>IF(OCTUBRE!C6&lt;&gt;"", OCTUBRE!C6, "")</f>
        <v>55</v>
      </c>
      <c r="D6" s="72" t="str">
        <f>IF(OCTUBRE!D6&lt;&gt;"", OCTUBRE!D6, "")</f>
        <v>G0808</v>
      </c>
      <c r="E6" s="37" t="str">
        <f>IF(OCTUBRE!E6&lt;&gt;"", OCTUBRE!E6, "")</f>
        <v>113222138DA3QG080800.0000002</v>
      </c>
      <c r="F6" s="31" t="str">
        <f>IF(OCTUBRE!F6&lt;&gt;"", OCTUBRE!F6, "")</f>
        <v>SANCHEZ ROLDAN KARIME ELVIRA</v>
      </c>
      <c r="G6" s="31" t="str">
        <f>IF(OCTUBRE!G6&lt;&gt;"", OCTUBRE!G6, "")</f>
        <v>DIRECCIÓN GENERAL</v>
      </c>
      <c r="H6" s="31" t="str">
        <f>IF(OCTUBRE!H6&lt;&gt;"", OCTUBRE!H6, "")</f>
        <v>Analista Especializado Consultivo C</v>
      </c>
      <c r="I6" s="72" t="str">
        <f>IF(OCTUBRE!I6&lt;&gt;"", OCTUBRE!I6, "")</f>
        <v>SARK950511MPLNLR08</v>
      </c>
      <c r="J6" s="72" t="str">
        <f>IF(OCTUBRE!J6&lt;&gt;"", OCTUBRE!J6, "")</f>
        <v>SARK950511I96</v>
      </c>
      <c r="K6" s="72" t="str">
        <f>IF(OCTUBRE!K6&lt;&gt;"", OCTUBRE!K6, "")</f>
        <v>ACTIVO</v>
      </c>
      <c r="L6" s="72" t="str">
        <f>IF(OCTUBRE!L6&lt;&gt;"", OCTUBRE!L6, "")</f>
        <v>01/03/2025</v>
      </c>
      <c r="M6" s="30" t="str">
        <f>IF(OCTUBRE!N6&lt;&gt;"", OCTUBRE!N6, "")</f>
        <v>X</v>
      </c>
      <c r="N6" s="30" t="str">
        <f>IF(OCTUBRE!O6&lt;&gt;"", OCTUBRE!O6, "")</f>
        <v>M</v>
      </c>
      <c r="O6" s="73" t="str">
        <f>IF(OCTUBRE!P6&lt;&gt;"", OCTUBRE!P6, "")</f>
        <v>30</v>
      </c>
      <c r="P6" s="83">
        <f>Tabla1[[#This Row],[SALARIO DIARIO]]</f>
        <v>278.8</v>
      </c>
      <c r="Q6" s="83">
        <f>Tabla15[[#This Row],[SUELDO MENSUAL]]/2</f>
        <v>4182</v>
      </c>
      <c r="R6" s="84">
        <f>Tabla1[[#This Row],[SUELDO MENSUAL]]</f>
        <v>8364</v>
      </c>
      <c r="S6" s="84">
        <f>Tabla15[[#This Row],[DESPENSA MENSUAL]]/2</f>
        <v>142</v>
      </c>
      <c r="T6" s="84">
        <f>Tabla1[[#This Row],[DESPENSA MENSUAL]]</f>
        <v>284</v>
      </c>
      <c r="U6" s="84">
        <f>Tabla15[[#This Row],[COMPENSACIÓN (J5)  MENSUAL]]/2</f>
        <v>3008</v>
      </c>
      <c r="V6" s="84">
        <f>Tabla1[[#This Row],[COMPENSACIÓN (J5)  MENSUAL]]</f>
        <v>6016</v>
      </c>
      <c r="W6" s="84">
        <f>Tabla1[[#This Row],[QUINQUENIO]]/2</f>
        <v>0</v>
      </c>
      <c r="X6" s="84">
        <f>Tabla1[[#This Row],[COMPENSACIÓN (J6) MENSUAL]]/2</f>
        <v>0</v>
      </c>
      <c r="Y6" s="85">
        <f t="shared" si="7"/>
        <v>7332</v>
      </c>
      <c r="Z6" s="83">
        <f>Tabla1[[#This Row],[ISR MENSUAL]]/2</f>
        <v>671.30376000000012</v>
      </c>
      <c r="AA6" s="40">
        <f>(P6*30.4)*13%</f>
        <v>1101.8176000000001</v>
      </c>
      <c r="AB6" s="43">
        <f t="shared" si="1"/>
        <v>1773.1213600000001</v>
      </c>
      <c r="AC6" s="44">
        <f t="shared" si="4"/>
        <v>5558.8786399999999</v>
      </c>
      <c r="AD6" s="45">
        <v>0.26</v>
      </c>
      <c r="AE6" s="45">
        <f>(P6*30.4)*AD6</f>
        <v>2203.6352000000002</v>
      </c>
      <c r="AF6" s="46">
        <f t="shared" si="2"/>
        <v>167.28</v>
      </c>
      <c r="AG6" s="45">
        <f t="shared" si="3"/>
        <v>219.95999999999998</v>
      </c>
      <c r="AH6" s="44">
        <f t="shared" si="5"/>
        <v>2590.8752000000004</v>
      </c>
      <c r="AI6" s="47">
        <f t="shared" si="6"/>
        <v>9922.8752000000004</v>
      </c>
    </row>
    <row r="7" spans="1:37" s="1" customFormat="1" ht="30" customHeight="1" x14ac:dyDescent="0.25">
      <c r="A7" s="100">
        <f>IF(OCTUBRE!A7&lt;&gt;"", OCTUBRE!A7, "")</f>
        <v>92700204</v>
      </c>
      <c r="B7" s="72" t="str">
        <f>IF(OCTUBRE!B7&lt;&gt;"", OCTUBRE!B7, "")</f>
        <v>168</v>
      </c>
      <c r="C7" s="72" t="str">
        <f>IF(OCTUBRE!C7&lt;&gt;"", OCTUBRE!C7, "")</f>
        <v>15</v>
      </c>
      <c r="D7" s="72" t="str">
        <f>IF(OCTUBRE!D7&lt;&gt;"", OCTUBRE!D7, "")</f>
        <v>G0501</v>
      </c>
      <c r="E7" s="37" t="str">
        <f>IF(OCTUBRE!E7&lt;&gt;"", OCTUBRE!E7, "")</f>
        <v>113022138DA3QG050100.0000001</v>
      </c>
      <c r="F7" s="31" t="str">
        <f>IF(OCTUBRE!F7&lt;&gt;"", OCTUBRE!F7, "")</f>
        <v>JIMENEZ VAZQUEZ MIGUEL ANGEL</v>
      </c>
      <c r="G7" s="31" t="str">
        <f>IF(OCTUBRE!G7&lt;&gt;"", OCTUBRE!G7, "")</f>
        <v>DIRECCIÓN GENERAL</v>
      </c>
      <c r="H7" s="31" t="str">
        <f>IF(OCTUBRE!H7&lt;&gt;"", OCTUBRE!H7, "")</f>
        <v>Secretario Técnico</v>
      </c>
      <c r="I7" s="72" t="str">
        <f>IF(OCTUBRE!I7&lt;&gt;"", OCTUBRE!I7, "")</f>
        <v>JIVM790929HPLMZG09</v>
      </c>
      <c r="J7" s="72" t="str">
        <f>IF(OCTUBRE!J7&lt;&gt;"", OCTUBRE!J7, "")</f>
        <v>JIVM790929AZ3</v>
      </c>
      <c r="K7" s="72" t="str">
        <f>IF(OCTUBRE!K7&lt;&gt;"", OCTUBRE!K7, "")</f>
        <v>ACTIVO</v>
      </c>
      <c r="L7" s="72" t="str">
        <f>IF(OCTUBRE!L7&lt;&gt;"", OCTUBRE!L7, "")</f>
        <v>01/01/2025</v>
      </c>
      <c r="M7" s="30" t="str">
        <f>IF(OCTUBRE!N7&lt;&gt;"", OCTUBRE!N7, "")</f>
        <v>X</v>
      </c>
      <c r="N7" s="30" t="str">
        <f>IF(OCTUBRE!O7&lt;&gt;"", OCTUBRE!O7, "")</f>
        <v>H</v>
      </c>
      <c r="O7" s="73" t="str">
        <f>IF(OCTUBRE!P7&lt;&gt;"", OCTUBRE!P7, "")</f>
        <v>46</v>
      </c>
      <c r="P7" s="83">
        <f>Tabla1[[#This Row],[SALARIO DIARIO]]</f>
        <v>492.46</v>
      </c>
      <c r="Q7" s="83">
        <f>Tabla15[[#This Row],[SUELDO MENSUAL]]/2</f>
        <v>7386.9</v>
      </c>
      <c r="R7" s="84">
        <f>Tabla1[[#This Row],[SUELDO MENSUAL]]</f>
        <v>14773.8</v>
      </c>
      <c r="S7" s="84">
        <f>Tabla15[[#This Row],[DESPENSA MENSUAL]]/2</f>
        <v>142</v>
      </c>
      <c r="T7" s="84">
        <f>Tabla1[[#This Row],[DESPENSA MENSUAL]]</f>
        <v>284</v>
      </c>
      <c r="U7" s="84">
        <f>Tabla15[[#This Row],[COMPENSACIÓN (J5)  MENSUAL]]/2</f>
        <v>13200</v>
      </c>
      <c r="V7" s="84">
        <f>Tabla1[[#This Row],[COMPENSACIÓN (J5)  MENSUAL]]</f>
        <v>26400</v>
      </c>
      <c r="W7" s="84">
        <f>Tabla1[[#This Row],[QUINQUENIO]]/2</f>
        <v>0</v>
      </c>
      <c r="X7" s="84">
        <f>Tabla1[[#This Row],[COMPENSACIÓN (J6) MENSUAL]]/2</f>
        <v>0</v>
      </c>
      <c r="Y7" s="85">
        <f t="shared" si="7"/>
        <v>20728.900000000001</v>
      </c>
      <c r="Z7" s="83">
        <f>Tabla1[[#This Row],[ISR MENSUAL]]/2</f>
        <v>3549.3472960000008</v>
      </c>
      <c r="AA7" s="40">
        <f>R7*13%</f>
        <v>1920.5940000000001</v>
      </c>
      <c r="AB7" s="43">
        <f t="shared" si="1"/>
        <v>5469.9412960000009</v>
      </c>
      <c r="AC7" s="44">
        <f t="shared" si="4"/>
        <v>15258.958704000001</v>
      </c>
      <c r="AD7" s="45">
        <v>0.26</v>
      </c>
      <c r="AE7" s="45">
        <f>R7*AD7</f>
        <v>3841.1880000000001</v>
      </c>
      <c r="AF7" s="46">
        <f t="shared" si="2"/>
        <v>295.476</v>
      </c>
      <c r="AG7" s="45">
        <f t="shared" si="3"/>
        <v>621.86700000000008</v>
      </c>
      <c r="AH7" s="44">
        <f t="shared" si="5"/>
        <v>4758.5309999999999</v>
      </c>
      <c r="AI7" s="47">
        <f t="shared" si="6"/>
        <v>25487.431</v>
      </c>
    </row>
    <row r="8" spans="1:37" s="1" customFormat="1" ht="30" customHeight="1" x14ac:dyDescent="0.25">
      <c r="A8" s="71">
        <f>IF(OCTUBRE!A8&lt;&gt;"", OCTUBRE!A8, "")</f>
        <v>105110</v>
      </c>
      <c r="B8" s="72" t="str">
        <f>IF(OCTUBRE!B8&lt;&gt;"", OCTUBRE!B8, "")</f>
        <v>168</v>
      </c>
      <c r="C8" s="72" t="str">
        <f>IF(OCTUBRE!C8&lt;&gt;"", OCTUBRE!C8, "")</f>
        <v>12</v>
      </c>
      <c r="D8" s="72" t="str">
        <f>IF(OCTUBRE!D8&lt;&gt;"", OCTUBRE!D8, "")</f>
        <v>G0808</v>
      </c>
      <c r="E8" s="37" t="str">
        <f>IF(OCTUBRE!E8&lt;&gt;"", OCTUBRE!E8, "")</f>
        <v>113222138DA3QG080800.0000003</v>
      </c>
      <c r="F8" s="31" t="str">
        <f>IF(OCTUBRE!F8&lt;&gt;"", OCTUBRE!F8, "")</f>
        <v>ARROYO GRANILLO YEIMI KAREN</v>
      </c>
      <c r="G8" s="31" t="str">
        <f>IF(OCTUBRE!G8&lt;&gt;"", OCTUBRE!G8, "")</f>
        <v>SUBDIRECCIÓN JURÍDICA</v>
      </c>
      <c r="H8" s="31" t="str">
        <f>IF(OCTUBRE!H8&lt;&gt;"", OCTUBRE!H8, "")</f>
        <v>ANALISTA ESPECIALIZADO CONSULTIVO C</v>
      </c>
      <c r="I8" s="72" t="str">
        <f>IF(OCTUBRE!I8&lt;&gt;"", OCTUBRE!I8, "")</f>
        <v>AOGY930310MPLRRM04</v>
      </c>
      <c r="J8" s="72" t="str">
        <f>IF(OCTUBRE!J8&lt;&gt;"", OCTUBRE!J8, "")</f>
        <v>AOGY930310E15</v>
      </c>
      <c r="K8" s="72" t="str">
        <f>IF(OCTUBRE!K8&lt;&gt;"", OCTUBRE!K8, "")</f>
        <v>ACTIVO</v>
      </c>
      <c r="L8" s="72" t="str">
        <f>IF(OCTUBRE!L8&lt;&gt;"", OCTUBRE!L8, "")</f>
        <v/>
      </c>
      <c r="M8" s="30" t="str">
        <f>IF(OCTUBRE!N8&lt;&gt;"", OCTUBRE!N8, "")</f>
        <v>X</v>
      </c>
      <c r="N8" s="30" t="str">
        <f>IF(OCTUBRE!O8&lt;&gt;"", OCTUBRE!O8, "")</f>
        <v>M</v>
      </c>
      <c r="O8" s="73" t="str">
        <f>IF(OCTUBRE!P8&lt;&gt;"", OCTUBRE!P8, "")</f>
        <v>32</v>
      </c>
      <c r="P8" s="83">
        <f>Tabla1[[#This Row],[SALARIO DIARIO]]</f>
        <v>278.8</v>
      </c>
      <c r="Q8" s="83">
        <f>Tabla15[[#This Row],[SUELDO MENSUAL]]/2</f>
        <v>4182</v>
      </c>
      <c r="R8" s="84">
        <f>Tabla1[[#This Row],[SUELDO MENSUAL]]</f>
        <v>8364</v>
      </c>
      <c r="S8" s="84">
        <f>Tabla15[[#This Row],[DESPENSA MENSUAL]]/2</f>
        <v>142</v>
      </c>
      <c r="T8" s="84">
        <f>Tabla1[[#This Row],[DESPENSA MENSUAL]]</f>
        <v>284</v>
      </c>
      <c r="U8" s="84">
        <f>Tabla15[[#This Row],[COMPENSACIÓN (J5)  MENSUAL]]/2</f>
        <v>5000</v>
      </c>
      <c r="V8" s="84">
        <f>Tabla1[[#This Row],[COMPENSACIÓN (J5)  MENSUAL]]</f>
        <v>10000</v>
      </c>
      <c r="W8" s="84">
        <f>Tabla1[[#This Row],[QUINQUENIO]]/2</f>
        <v>0</v>
      </c>
      <c r="X8" s="84">
        <f>Tabla1[[#This Row],[COMPENSACIÓN (J6) MENSUAL]]/2</f>
        <v>0</v>
      </c>
      <c r="Y8" s="85">
        <f t="shared" si="7"/>
        <v>9324</v>
      </c>
      <c r="Z8" s="83">
        <f>Tabla1[[#This Row],[ISR MENSUAL]]/2</f>
        <v>1047.4325799999997</v>
      </c>
      <c r="AA8" s="40">
        <f>(P8*30.4)*13%</f>
        <v>1101.8176000000001</v>
      </c>
      <c r="AB8" s="43">
        <f t="shared" si="1"/>
        <v>2149.25018</v>
      </c>
      <c r="AC8" s="44">
        <f t="shared" si="4"/>
        <v>7174.74982</v>
      </c>
      <c r="AD8" s="45">
        <v>0.26</v>
      </c>
      <c r="AE8" s="45">
        <f>(P8*30.4)*AD8</f>
        <v>2203.6352000000002</v>
      </c>
      <c r="AF8" s="46">
        <f t="shared" si="2"/>
        <v>167.28</v>
      </c>
      <c r="AG8" s="45">
        <f t="shared" si="3"/>
        <v>279.71999999999997</v>
      </c>
      <c r="AH8" s="44">
        <f t="shared" si="5"/>
        <v>2650.6352000000002</v>
      </c>
      <c r="AI8" s="47">
        <f t="shared" si="6"/>
        <v>11974.635200000001</v>
      </c>
    </row>
    <row r="9" spans="1:37" s="1" customFormat="1" ht="30" customHeight="1" x14ac:dyDescent="0.25">
      <c r="A9" s="71">
        <f>IF(OCTUBRE!A9&lt;&gt;"", OCTUBRE!A9, "")</f>
        <v>107530</v>
      </c>
      <c r="B9" s="72" t="str">
        <f>IF(OCTUBRE!B9&lt;&gt;"", OCTUBRE!B9, "")</f>
        <v>169</v>
      </c>
      <c r="C9" s="72" t="str">
        <f>IF(OCTUBRE!C9&lt;&gt;"", OCTUBRE!C9, "")</f>
        <v>17</v>
      </c>
      <c r="D9" s="72" t="str">
        <f>IF(OCTUBRE!D9&lt;&gt;"", OCTUBRE!D9, "")</f>
        <v>G0801</v>
      </c>
      <c r="E9" s="37" t="str">
        <f>IF(OCTUBRE!E9&lt;&gt;"", OCTUBRE!E9, "")</f>
        <v>113022138DA3QG080100.0000001</v>
      </c>
      <c r="F9" s="31" t="str">
        <f>IF(OCTUBRE!F9&lt;&gt;"", OCTUBRE!F9, "")</f>
        <v>ROSAS CABRERA MOISES ISMAEL</v>
      </c>
      <c r="G9" s="31" t="str">
        <f>IF(OCTUBRE!G9&lt;&gt;"", OCTUBRE!G9, "")</f>
        <v xml:space="preserve"> SUBDIRECCIÓN DESARROLLO DE  TECNOLOGÍAS DE LA INFORMACIÓN</v>
      </c>
      <c r="H9" s="31" t="str">
        <f>IF(OCTUBRE!H9&lt;&gt;"", OCTUBRE!H9, "")</f>
        <v xml:space="preserve"> SUBDIRECTOR DESARROLLO DE  TECNOLOGÍAS DE LA INFORMACIÓN</v>
      </c>
      <c r="I9" s="72" t="str">
        <f>IF(OCTUBRE!I9&lt;&gt;"", OCTUBRE!I9, "")</f>
        <v>ROCM800117HDFSBS00</v>
      </c>
      <c r="J9" s="72" t="str">
        <f>IF(OCTUBRE!J9&lt;&gt;"", OCTUBRE!J9, "")</f>
        <v>ROCM8001178B4</v>
      </c>
      <c r="K9" s="72" t="str">
        <f>IF(OCTUBRE!K9&lt;&gt;"", OCTUBRE!K9, "")</f>
        <v>ACTIVO</v>
      </c>
      <c r="L9" s="72" t="str">
        <f>IF(OCTUBRE!L9&lt;&gt;"", OCTUBRE!L9, "")</f>
        <v>01/08/2020</v>
      </c>
      <c r="M9" s="30" t="str">
        <f>IF(OCTUBRE!N9&lt;&gt;"", OCTUBRE!N9, "")</f>
        <v>X</v>
      </c>
      <c r="N9" s="30" t="str">
        <f>IF(OCTUBRE!O9&lt;&gt;"", OCTUBRE!O9, "")</f>
        <v>H</v>
      </c>
      <c r="O9" s="73" t="str">
        <f>IF(OCTUBRE!P9&lt;&gt;"", OCTUBRE!P9, "")</f>
        <v>45</v>
      </c>
      <c r="P9" s="83">
        <f>Tabla1[[#This Row],[SALARIO DIARIO]]</f>
        <v>280.76</v>
      </c>
      <c r="Q9" s="83">
        <f>Tabla15[[#This Row],[SUELDO MENSUAL]]/2</f>
        <v>4211.3999999999996</v>
      </c>
      <c r="R9" s="84">
        <f>Tabla1[[#This Row],[SUELDO MENSUAL]]</f>
        <v>8422.7999999999993</v>
      </c>
      <c r="S9" s="84">
        <f>Tabla15[[#This Row],[DESPENSA MENSUAL]]/2</f>
        <v>142</v>
      </c>
      <c r="T9" s="84">
        <f>Tabla1[[#This Row],[DESPENSA MENSUAL]]</f>
        <v>284</v>
      </c>
      <c r="U9" s="84">
        <f>Tabla15[[#This Row],[COMPENSACIÓN (J5)  MENSUAL]]/2</f>
        <v>9000</v>
      </c>
      <c r="V9" s="84">
        <f>Tabla1[[#This Row],[COMPENSACIÓN (J5)  MENSUAL]]</f>
        <v>18000</v>
      </c>
      <c r="W9" s="84">
        <f>Tabla1[[#This Row],[QUINQUENIO]]/2</f>
        <v>43.75</v>
      </c>
      <c r="X9" s="84">
        <f>Tabla1[[#This Row],[COMPENSACIÓN (J6) MENSUAL]]/2</f>
        <v>0</v>
      </c>
      <c r="Y9" s="85">
        <f>Q9+S9+U9+W9+X9</f>
        <v>13397.15</v>
      </c>
      <c r="Z9" s="83">
        <f>Tabla1[[#This Row],[ISR MENSUAL]]/2</f>
        <v>1917.4574199999997</v>
      </c>
      <c r="AA9" s="40">
        <v>1101.82</v>
      </c>
      <c r="AB9" s="43">
        <f t="shared" si="1"/>
        <v>3019.2774199999994</v>
      </c>
      <c r="AC9" s="44">
        <f t="shared" si="4"/>
        <v>10377.872579999999</v>
      </c>
      <c r="AD9" s="45">
        <v>0.26</v>
      </c>
      <c r="AE9" s="45">
        <v>2203.64</v>
      </c>
      <c r="AF9" s="46">
        <f t="shared" si="2"/>
        <v>168.45599999999999</v>
      </c>
      <c r="AG9" s="45">
        <f t="shared" si="3"/>
        <v>401.91449999999998</v>
      </c>
      <c r="AH9" s="44">
        <f t="shared" si="5"/>
        <v>2774.0104999999999</v>
      </c>
      <c r="AI9" s="47">
        <f t="shared" si="6"/>
        <v>16171.1605</v>
      </c>
    </row>
    <row r="10" spans="1:37" s="1" customFormat="1" ht="30" customHeight="1" x14ac:dyDescent="0.25">
      <c r="A10" s="71">
        <f>IF(OCTUBRE!A10&lt;&gt;"", OCTUBRE!A10, "")</f>
        <v>92700185</v>
      </c>
      <c r="B10" s="72" t="str">
        <f>IF(OCTUBRE!B10&lt;&gt;"", OCTUBRE!B10, "")</f>
        <v>170</v>
      </c>
      <c r="C10" s="72" t="str">
        <f>IF(OCTUBRE!C10&lt;&gt;"", OCTUBRE!C10, "")</f>
        <v>28</v>
      </c>
      <c r="D10" s="72" t="str">
        <f>IF(OCTUBRE!D10&lt;&gt;"", OCTUBRE!D10, "")</f>
        <v>G0808</v>
      </c>
      <c r="E10" s="37" t="str">
        <f>IF(OCTUBRE!E10&lt;&gt;"", OCTUBRE!E10, "")</f>
        <v>113222138DA3QG080800.0000006</v>
      </c>
      <c r="F10" s="31" t="str">
        <f>IF(OCTUBRE!F10&lt;&gt;"", OCTUBRE!F10, "")</f>
        <v xml:space="preserve">GOMEZ HERNANDEZ MIGUEL TRINIDAD </v>
      </c>
      <c r="G10" s="31" t="str">
        <f>IF(OCTUBRE!G10&lt;&gt;"", OCTUBRE!G10, "")</f>
        <v>OFICINA REGIONAL TEHUACAN</v>
      </c>
      <c r="H10" s="31" t="str">
        <f>IF(OCTUBRE!H10&lt;&gt;"", OCTUBRE!H10, "")</f>
        <v>ANALISTA ESPECIALIZADO CONSULTIVO C</v>
      </c>
      <c r="I10" s="72" t="str">
        <f>IF(OCTUBRE!I10&lt;&gt;"", OCTUBRE!I10, "")</f>
        <v>GOHM971021HPLMRG03</v>
      </c>
      <c r="J10" s="72" t="str">
        <f>IF(OCTUBRE!J10&lt;&gt;"", OCTUBRE!J10, "")</f>
        <v>GOHM971021QT7</v>
      </c>
      <c r="K10" s="72" t="str">
        <f>IF(OCTUBRE!K10&lt;&gt;"", OCTUBRE!K10, "")</f>
        <v>ACTIVO</v>
      </c>
      <c r="L10" s="72" t="str">
        <f>IF(OCTUBRE!L10&lt;&gt;"", OCTUBRE!L10, "")</f>
        <v/>
      </c>
      <c r="M10" s="30" t="str">
        <f>IF(OCTUBRE!N10&lt;&gt;"", OCTUBRE!N10, "")</f>
        <v>X</v>
      </c>
      <c r="N10" s="30" t="str">
        <f>IF(OCTUBRE!O10&lt;&gt;"", OCTUBRE!O10, "")</f>
        <v>H</v>
      </c>
      <c r="O10" s="73" t="str">
        <f>IF(OCTUBRE!P10&lt;&gt;"", OCTUBRE!P10, "")</f>
        <v>28</v>
      </c>
      <c r="P10" s="83">
        <f>Tabla1[[#This Row],[SALARIO DIARIO]]</f>
        <v>278.8</v>
      </c>
      <c r="Q10" s="83">
        <f>Tabla15[[#This Row],[SUELDO MENSUAL]]/2</f>
        <v>4182</v>
      </c>
      <c r="R10" s="84">
        <f>Tabla1[[#This Row],[SUELDO MENSUAL]]</f>
        <v>8364</v>
      </c>
      <c r="S10" s="84">
        <f>Tabla15[[#This Row],[DESPENSA MENSUAL]]/2</f>
        <v>142</v>
      </c>
      <c r="T10" s="84">
        <f>Tabla1[[#This Row],[DESPENSA MENSUAL]]</f>
        <v>284</v>
      </c>
      <c r="U10" s="84">
        <f>Tabla15[[#This Row],[COMPENSACIÓN (J5)  MENSUAL]]/2</f>
        <v>5000</v>
      </c>
      <c r="V10" s="84">
        <f>Tabla1[[#This Row],[COMPENSACIÓN (J5)  MENSUAL]]</f>
        <v>10000</v>
      </c>
      <c r="W10" s="84">
        <f>Tabla1[[#This Row],[QUINQUENIO]]/2</f>
        <v>0</v>
      </c>
      <c r="X10" s="84">
        <f>Tabla1[[#This Row],[COMPENSACIÓN (J6) MENSUAL]]/2</f>
        <v>0</v>
      </c>
      <c r="Y10" s="85">
        <f t="shared" si="7"/>
        <v>9324</v>
      </c>
      <c r="Z10" s="83">
        <f>Tabla1[[#This Row],[ISR MENSUAL]]/2</f>
        <v>1047.4325799999997</v>
      </c>
      <c r="AA10" s="40">
        <f>(P10*30.4)*13%</f>
        <v>1101.8176000000001</v>
      </c>
      <c r="AB10" s="43">
        <f t="shared" si="1"/>
        <v>2149.25018</v>
      </c>
      <c r="AC10" s="44">
        <f t="shared" si="4"/>
        <v>7174.74982</v>
      </c>
      <c r="AD10" s="45">
        <v>0.26</v>
      </c>
      <c r="AE10" s="45">
        <f>(P10*30.4)*AD10</f>
        <v>2203.6352000000002</v>
      </c>
      <c r="AF10" s="46">
        <f t="shared" si="2"/>
        <v>167.28</v>
      </c>
      <c r="AG10" s="45">
        <f t="shared" si="3"/>
        <v>279.71999999999997</v>
      </c>
      <c r="AH10" s="44">
        <f t="shared" si="5"/>
        <v>2650.6352000000002</v>
      </c>
      <c r="AI10" s="47">
        <f t="shared" si="6"/>
        <v>11974.635200000001</v>
      </c>
    </row>
    <row r="11" spans="1:37" s="1" customFormat="1" ht="30" customHeight="1" x14ac:dyDescent="0.25">
      <c r="A11" s="71">
        <f>IF(OCTUBRE!A11&lt;&gt;"", OCTUBRE!A11, "")</f>
        <v>92700203</v>
      </c>
      <c r="B11" s="72" t="str">
        <f>IF(OCTUBRE!B11&lt;&gt;"", OCTUBRE!B11, "")</f>
        <v>171</v>
      </c>
      <c r="C11" s="72" t="str">
        <f>IF(OCTUBRE!C11&lt;&gt;"", OCTUBRE!C11, "")</f>
        <v>19</v>
      </c>
      <c r="D11" s="72" t="str">
        <f>IF(OCTUBRE!D11&lt;&gt;"", OCTUBRE!D11, "")</f>
        <v>G0801</v>
      </c>
      <c r="E11" s="37" t="str">
        <f>IF(OCTUBRE!E11&lt;&gt;"", OCTUBRE!E11, "")</f>
        <v>113022138DA3QG080100.0000002</v>
      </c>
      <c r="F11" s="31" t="str">
        <f>IF(OCTUBRE!F11&lt;&gt;"", OCTUBRE!F11, "")</f>
        <v>ARCHUNDIA LÓPEZ DAVID</v>
      </c>
      <c r="G11" s="31" t="str">
        <f>IF(OCTUBRE!G11&lt;&gt;"", OCTUBRE!G11, "")</f>
        <v>SUBDIRECCIÓN JURÍDICA</v>
      </c>
      <c r="H11" s="31" t="str">
        <f>IF(OCTUBRE!H11&lt;&gt;"", OCTUBRE!H11, "")</f>
        <v>SUBDIRECTOR JURÍDICO</v>
      </c>
      <c r="I11" s="72" t="str">
        <f>IF(OCTUBRE!I11&lt;&gt;"", OCTUBRE!I11, "")</f>
        <v>AULD790114HPLRPV06</v>
      </c>
      <c r="J11" s="72" t="str">
        <f>IF(OCTUBRE!J11&lt;&gt;"", OCTUBRE!J11, "")</f>
        <v>AULD790114HT8</v>
      </c>
      <c r="K11" s="72" t="str">
        <f>IF(OCTUBRE!K11&lt;&gt;"", OCTUBRE!K11, "")</f>
        <v>ACTIVO</v>
      </c>
      <c r="L11" s="72" t="str">
        <f>IF(OCTUBRE!L11&lt;&gt;"", OCTUBRE!L11, "")</f>
        <v>01/01/2025</v>
      </c>
      <c r="M11" s="30" t="str">
        <f>IF(OCTUBRE!N11&lt;&gt;"", OCTUBRE!N11, "")</f>
        <v>X</v>
      </c>
      <c r="N11" s="30" t="str">
        <f>IF(OCTUBRE!O11&lt;&gt;"", OCTUBRE!O11, "")</f>
        <v>H</v>
      </c>
      <c r="O11" s="73" t="str">
        <f>IF(OCTUBRE!P11&lt;&gt;"", OCTUBRE!P11, "")</f>
        <v>47</v>
      </c>
      <c r="P11" s="83">
        <f>Tabla1[[#This Row],[SALARIO DIARIO]]</f>
        <v>280.76</v>
      </c>
      <c r="Q11" s="83">
        <f>Tabla15[[#This Row],[SUELDO MENSUAL]]/2</f>
        <v>4211.3999999999996</v>
      </c>
      <c r="R11" s="84">
        <f>Tabla1[[#This Row],[SUELDO MENSUAL]]</f>
        <v>8422.7999999999993</v>
      </c>
      <c r="S11" s="84">
        <f>Tabla15[[#This Row],[DESPENSA MENSUAL]]/2</f>
        <v>142</v>
      </c>
      <c r="T11" s="84">
        <f>Tabla1[[#This Row],[DESPENSA MENSUAL]]</f>
        <v>284</v>
      </c>
      <c r="U11" s="84">
        <f>Tabla15[[#This Row],[COMPENSACIÓN (J5)  MENSUAL]]/2</f>
        <v>9000</v>
      </c>
      <c r="V11" s="84">
        <f>Tabla1[[#This Row],[COMPENSACIÓN (J5)  MENSUAL]]</f>
        <v>18000</v>
      </c>
      <c r="W11" s="84">
        <f>Tabla1[[#This Row],[QUINQUENIO]]/2</f>
        <v>0</v>
      </c>
      <c r="X11" s="84">
        <f>Tabla1[[#This Row],[COMPENSACIÓN (J6) MENSUAL]]/2</f>
        <v>0</v>
      </c>
      <c r="Y11" s="85">
        <f t="shared" si="7"/>
        <v>13353.4</v>
      </c>
      <c r="Z11" s="83">
        <f>Tabla1[[#This Row],[ISR MENSUAL]]/2</f>
        <v>1908.1124199999997</v>
      </c>
      <c r="AA11" s="40">
        <v>1101.82</v>
      </c>
      <c r="AB11" s="43">
        <f t="shared" si="1"/>
        <v>3009.9324199999996</v>
      </c>
      <c r="AC11" s="44">
        <f t="shared" si="4"/>
        <v>10343.46758</v>
      </c>
      <c r="AD11" s="45">
        <v>0.26</v>
      </c>
      <c r="AE11" s="45">
        <v>2203.6352000000002</v>
      </c>
      <c r="AF11" s="46">
        <f t="shared" si="2"/>
        <v>168.45599999999999</v>
      </c>
      <c r="AG11" s="45">
        <f t="shared" si="3"/>
        <v>400.60199999999998</v>
      </c>
      <c r="AH11" s="44">
        <f t="shared" si="5"/>
        <v>2772.6932000000002</v>
      </c>
      <c r="AI11" s="47">
        <f t="shared" si="6"/>
        <v>16126.093199999999</v>
      </c>
    </row>
    <row r="12" spans="1:37" s="1" customFormat="1" ht="30" customHeight="1" x14ac:dyDescent="0.25">
      <c r="A12" s="71">
        <f>IF(OCTUBRE!A12&lt;&gt;"", OCTUBRE!A12, "")</f>
        <v>92700236</v>
      </c>
      <c r="B12" s="72" t="str">
        <f>IF(OCTUBRE!B12&lt;&gt;"", OCTUBRE!B12, "")</f>
        <v>173</v>
      </c>
      <c r="C12" s="72" t="str">
        <f>IF(OCTUBRE!C12&lt;&gt;"", OCTUBRE!C12, "")</f>
        <v>69</v>
      </c>
      <c r="D12" s="72" t="str">
        <f>IF(OCTUBRE!D12&lt;&gt;"", OCTUBRE!D12, "")</f>
        <v>G0805</v>
      </c>
      <c r="E12" s="37" t="str">
        <f>IF(OCTUBRE!E12&lt;&gt;"", OCTUBRE!E12, "")</f>
        <v>113022138DA3QG080500.0000003</v>
      </c>
      <c r="F12" s="31" t="str">
        <f>IF(OCTUBRE!F12&lt;&gt;"", OCTUBRE!F12, "")</f>
        <v>GONZALEZ JUAREZ JOSE CARLOS</v>
      </c>
      <c r="G12" s="31" t="str">
        <f>IF(OCTUBRE!G12&lt;&gt;"", OCTUBRE!G12, "")</f>
        <v>SUBDIRECCIÓN JURÍDICA</v>
      </c>
      <c r="H12" s="31" t="str">
        <f>IF(OCTUBRE!H12&lt;&gt;"", OCTUBRE!H12, "")</f>
        <v>Jefe de Departamento Contencioso</v>
      </c>
      <c r="I12" s="72" t="str">
        <f>IF(OCTUBRE!I12&lt;&gt;"", OCTUBRE!I12, "")</f>
        <v>GOJC881118HMCNRR09</v>
      </c>
      <c r="J12" s="72" t="str">
        <f>IF(OCTUBRE!J12&lt;&gt;"", OCTUBRE!J12, "")</f>
        <v>GOJC881118R12</v>
      </c>
      <c r="K12" s="72" t="str">
        <f>IF(OCTUBRE!K12&lt;&gt;"", OCTUBRE!K12, "")</f>
        <v>ACTIVO</v>
      </c>
      <c r="L12" s="72" t="str">
        <f>IF(OCTUBRE!L12&lt;&gt;"", OCTUBRE!L12, "")</f>
        <v>01/03/2025</v>
      </c>
      <c r="M12" s="30" t="str">
        <f>IF(OCTUBRE!N12&lt;&gt;"", OCTUBRE!N12, "")</f>
        <v>X</v>
      </c>
      <c r="N12" s="30" t="str">
        <f>IF(OCTUBRE!O12&lt;&gt;"", OCTUBRE!O12, "")</f>
        <v>H</v>
      </c>
      <c r="O12" s="73" t="str">
        <f>IF(OCTUBRE!P12&lt;&gt;"", OCTUBRE!P12, "")</f>
        <v>37</v>
      </c>
      <c r="P12" s="83">
        <f>Tabla1[[#This Row],[SALARIO DIARIO]]</f>
        <v>278.8</v>
      </c>
      <c r="Q12" s="83">
        <f>Tabla15[[#This Row],[SUELDO MENSUAL]]/2</f>
        <v>4182</v>
      </c>
      <c r="R12" s="84">
        <f>Tabla1[[#This Row],[SUELDO MENSUAL]]</f>
        <v>8364</v>
      </c>
      <c r="S12" s="84">
        <f>Tabla15[[#This Row],[DESPENSA MENSUAL]]/2</f>
        <v>142</v>
      </c>
      <c r="T12" s="84">
        <f>Tabla1[[#This Row],[DESPENSA MENSUAL]]</f>
        <v>284</v>
      </c>
      <c r="U12" s="84">
        <f>Tabla15[[#This Row],[COMPENSACIÓN (J5)  MENSUAL]]/2</f>
        <v>5641.57</v>
      </c>
      <c r="V12" s="84">
        <f>Tabla1[[#This Row],[COMPENSACIÓN (J5)  MENSUAL]]</f>
        <v>11283.14</v>
      </c>
      <c r="W12" s="84">
        <f>Tabla1[[#This Row],[QUINQUENIO]]/2</f>
        <v>0</v>
      </c>
      <c r="X12" s="84">
        <f>Tabla1[[#This Row],[COMPENSACIÓN (J6) MENSUAL]]/2</f>
        <v>0</v>
      </c>
      <c r="Y12" s="85">
        <f t="shared" si="7"/>
        <v>9965.57</v>
      </c>
      <c r="Z12" s="83">
        <f>Tabla1[[#This Row],[ISR MENSUAL]]/2</f>
        <v>1184.4719319999997</v>
      </c>
      <c r="AA12" s="40">
        <f>(P12*30.4)*13%</f>
        <v>1101.8176000000001</v>
      </c>
      <c r="AB12" s="43">
        <f t="shared" si="1"/>
        <v>2286.2895319999998</v>
      </c>
      <c r="AC12" s="44">
        <f t="shared" si="4"/>
        <v>7679.2804679999999</v>
      </c>
      <c r="AD12" s="45">
        <v>0.26</v>
      </c>
      <c r="AE12" s="45">
        <f>(P12*30.4)*AD12</f>
        <v>2203.6352000000002</v>
      </c>
      <c r="AF12" s="46">
        <f t="shared" si="2"/>
        <v>167.28</v>
      </c>
      <c r="AG12" s="45">
        <f t="shared" si="3"/>
        <v>298.96709999999996</v>
      </c>
      <c r="AH12" s="44">
        <f t="shared" si="5"/>
        <v>2669.8823000000002</v>
      </c>
      <c r="AI12" s="47">
        <f t="shared" si="6"/>
        <v>12635.452300000001</v>
      </c>
    </row>
    <row r="13" spans="1:37" s="1" customFormat="1" ht="30" customHeight="1" x14ac:dyDescent="0.25">
      <c r="A13" s="71" t="str">
        <f>IF(OCTUBRE!A13&lt;&gt;"", OCTUBRE!A13, "")</f>
        <v/>
      </c>
      <c r="B13" s="72" t="str">
        <f>IF(OCTUBRE!B13&lt;&gt;"", OCTUBRE!B13, "")</f>
        <v/>
      </c>
      <c r="C13" s="72" t="str">
        <f>IF(OCTUBRE!C13&lt;&gt;"", OCTUBRE!C13, "")</f>
        <v/>
      </c>
      <c r="D13" s="72" t="str">
        <f>IF(OCTUBRE!D13&lt;&gt;"", OCTUBRE!D13, "")</f>
        <v/>
      </c>
      <c r="E13" s="37" t="str">
        <f>IF(OCTUBRE!E13&lt;&gt;"", OCTUBRE!E13, "")</f>
        <v>113222138DA3QG080800.0000005</v>
      </c>
      <c r="F13" s="31" t="str">
        <f>IF(OCTUBRE!F13&lt;&gt;"", OCTUBRE!F13, "")</f>
        <v>VACANTE</v>
      </c>
      <c r="G13" s="31" t="str">
        <f>IF(OCTUBRE!G13&lt;&gt;"", OCTUBRE!G13, "")</f>
        <v/>
      </c>
      <c r="H13" s="31" t="str">
        <f>IF(OCTUBRE!H13&lt;&gt;"", OCTUBRE!H13, "")</f>
        <v/>
      </c>
      <c r="I13" s="72" t="str">
        <f>IF(OCTUBRE!I13&lt;&gt;"", OCTUBRE!I13, "")</f>
        <v/>
      </c>
      <c r="J13" s="72" t="str">
        <f>IF(OCTUBRE!J13&lt;&gt;"", OCTUBRE!J13, "")</f>
        <v/>
      </c>
      <c r="K13" s="72" t="str">
        <f>IF(OCTUBRE!K13&lt;&gt;"", OCTUBRE!K13, "")</f>
        <v/>
      </c>
      <c r="L13" s="72" t="str">
        <f>IF(OCTUBRE!L13&lt;&gt;"", OCTUBRE!L13, "")</f>
        <v/>
      </c>
      <c r="M13" s="30" t="str">
        <f>IF(OCTUBRE!N13&lt;&gt;"", OCTUBRE!N13, "")</f>
        <v>X</v>
      </c>
      <c r="N13" s="30" t="str">
        <f>IF(OCTUBRE!O13&lt;&gt;"", OCTUBRE!O13, "")</f>
        <v/>
      </c>
      <c r="O13" s="73" t="str">
        <f>IF(OCTUBRE!P13&lt;&gt;"", OCTUBRE!P13, "")</f>
        <v/>
      </c>
      <c r="P13" s="83">
        <f>Tabla1[[#This Row],[SALARIO DIARIO]]</f>
        <v>278.8</v>
      </c>
      <c r="Q13" s="83">
        <f>Tabla15[[#This Row],[SUELDO MENSUAL]]/2</f>
        <v>4182</v>
      </c>
      <c r="R13" s="84">
        <f>Tabla1[[#This Row],[SUELDO MENSUAL]]</f>
        <v>8364</v>
      </c>
      <c r="S13" s="84">
        <f>Tabla15[[#This Row],[DESPENSA MENSUAL]]/2</f>
        <v>142</v>
      </c>
      <c r="T13" s="84">
        <f>Tabla1[[#This Row],[DESPENSA MENSUAL]]</f>
        <v>284</v>
      </c>
      <c r="U13" s="84">
        <f>Tabla15[[#This Row],[COMPENSACIÓN (J5)  MENSUAL]]/2</f>
        <v>5000</v>
      </c>
      <c r="V13" s="84">
        <f>Tabla1[[#This Row],[COMPENSACIÓN (J5)  MENSUAL]]</f>
        <v>10000</v>
      </c>
      <c r="W13" s="84">
        <f>Tabla1[[#This Row],[QUINQUENIO]]/2</f>
        <v>0</v>
      </c>
      <c r="X13" s="84">
        <f>Tabla1[[#This Row],[COMPENSACIÓN (J6) MENSUAL]]/2</f>
        <v>0</v>
      </c>
      <c r="Y13" s="85">
        <f t="shared" si="7"/>
        <v>9324</v>
      </c>
      <c r="Z13" s="83">
        <f>Tabla1[[#This Row],[ISR MENSUAL]]/2</f>
        <v>1047.4325799999997</v>
      </c>
      <c r="AA13" s="40">
        <f>(P13*30.4)*13%</f>
        <v>1101.8176000000001</v>
      </c>
      <c r="AB13" s="43">
        <f t="shared" si="1"/>
        <v>2149.25018</v>
      </c>
      <c r="AC13" s="44">
        <f t="shared" si="4"/>
        <v>7174.74982</v>
      </c>
      <c r="AD13" s="45">
        <v>0.26</v>
      </c>
      <c r="AE13" s="45">
        <f>(P13*30.4)*AD13</f>
        <v>2203.6352000000002</v>
      </c>
      <c r="AF13" s="46">
        <f t="shared" si="2"/>
        <v>167.28</v>
      </c>
      <c r="AG13" s="45">
        <f t="shared" si="3"/>
        <v>279.71999999999997</v>
      </c>
      <c r="AH13" s="44">
        <f t="shared" si="5"/>
        <v>2650.6352000000002</v>
      </c>
      <c r="AI13" s="47">
        <f t="shared" si="6"/>
        <v>11974.635200000001</v>
      </c>
    </row>
    <row r="14" spans="1:37" s="1" customFormat="1" ht="30" customHeight="1" x14ac:dyDescent="0.25">
      <c r="A14" s="100">
        <f>IF(OCTUBRE!A14&lt;&gt;"", OCTUBRE!A14, "")</f>
        <v>92700202</v>
      </c>
      <c r="B14" s="72" t="str">
        <f>IF(OCTUBRE!B14&lt;&gt;"", OCTUBRE!B14, "")</f>
        <v>174</v>
      </c>
      <c r="C14" s="72" t="str">
        <f>IF(OCTUBRE!C14&lt;&gt;"", OCTUBRE!C14, "")</f>
        <v>23</v>
      </c>
      <c r="D14" s="72" t="str">
        <f>IF(OCTUBRE!D14&lt;&gt;"", OCTUBRE!D14, "")</f>
        <v>G0501</v>
      </c>
      <c r="E14" s="37" t="str">
        <f>IF(OCTUBRE!E14&lt;&gt;"", OCTUBRE!E14, "")</f>
        <v>113022138DA3QG050100.0000002</v>
      </c>
      <c r="F14" s="31" t="str">
        <f>IF(OCTUBRE!F14&lt;&gt;"", OCTUBRE!F14, "")</f>
        <v>MENDEZ SANTOS LUZ TERESA</v>
      </c>
      <c r="G14" s="31" t="str">
        <f>IF(OCTUBRE!G14&lt;&gt;"", OCTUBRE!G14, "")</f>
        <v>DIRECCIÓN DE DESARROLLO CON IDENTIDAD INDÍGENA</v>
      </c>
      <c r="H14" s="31" t="str">
        <f>IF(OCTUBRE!H14&lt;&gt;"", OCTUBRE!H14, "")</f>
        <v>Directora de Desarrollo con Identidad Indígena</v>
      </c>
      <c r="I14" s="72" t="str">
        <f>IF(OCTUBRE!I14&lt;&gt;"", OCTUBRE!I14, "")</f>
        <v>MESL790513MPLNNZ01</v>
      </c>
      <c r="J14" s="72" t="str">
        <f>IF(OCTUBRE!J14&lt;&gt;"", OCTUBRE!J14, "")</f>
        <v>MESL790513TZ4</v>
      </c>
      <c r="K14" s="72" t="str">
        <f>IF(OCTUBRE!K14&lt;&gt;"", OCTUBRE!K14, "")</f>
        <v>ACTIVO</v>
      </c>
      <c r="L14" s="72" t="str">
        <f>IF(OCTUBRE!L14&lt;&gt;"", OCTUBRE!L14, "")</f>
        <v>01/01/2025</v>
      </c>
      <c r="M14" s="30" t="str">
        <f>IF(OCTUBRE!N14&lt;&gt;"", OCTUBRE!N14, "")</f>
        <v>X</v>
      </c>
      <c r="N14" s="30" t="str">
        <f>IF(OCTUBRE!O14&lt;&gt;"", OCTUBRE!O14, "")</f>
        <v>M</v>
      </c>
      <c r="O14" s="73" t="str">
        <f>IF(OCTUBRE!P14&lt;&gt;"", OCTUBRE!P14, "")</f>
        <v>46</v>
      </c>
      <c r="P14" s="83">
        <f>Tabla1[[#This Row],[SALARIO DIARIO]]</f>
        <v>492.46</v>
      </c>
      <c r="Q14" s="83">
        <f>Tabla15[[#This Row],[SUELDO MENSUAL]]/2</f>
        <v>7386.9</v>
      </c>
      <c r="R14" s="84">
        <f>Tabla1[[#This Row],[SUELDO MENSUAL]]</f>
        <v>14773.8</v>
      </c>
      <c r="S14" s="84">
        <f>Tabla15[[#This Row],[DESPENSA MENSUAL]]/2</f>
        <v>142</v>
      </c>
      <c r="T14" s="84">
        <f>Tabla1[[#This Row],[DESPENSA MENSUAL]]</f>
        <v>284</v>
      </c>
      <c r="U14" s="84">
        <f>Tabla15[[#This Row],[COMPENSACIÓN (J5)  MENSUAL]]/2</f>
        <v>13200</v>
      </c>
      <c r="V14" s="84">
        <f>Tabla1[[#This Row],[COMPENSACIÓN (J5)  MENSUAL]]</f>
        <v>26400</v>
      </c>
      <c r="W14" s="84">
        <f>Tabla1[[#This Row],[QUINQUENIO]]/2</f>
        <v>0</v>
      </c>
      <c r="X14" s="84">
        <f>Tabla1[[#This Row],[COMPENSACIÓN (J6) MENSUAL]]/2</f>
        <v>0</v>
      </c>
      <c r="Y14" s="85">
        <f t="shared" si="7"/>
        <v>20728.900000000001</v>
      </c>
      <c r="Z14" s="83">
        <f>Tabla1[[#This Row],[ISR MENSUAL]]/2</f>
        <v>3549.3472960000008</v>
      </c>
      <c r="AA14" s="40">
        <f>Q14*13%</f>
        <v>960.29700000000003</v>
      </c>
      <c r="AB14" s="43">
        <f t="shared" si="1"/>
        <v>4509.6442960000004</v>
      </c>
      <c r="AC14" s="44">
        <f t="shared" si="4"/>
        <v>16219.255704000001</v>
      </c>
      <c r="AD14" s="45">
        <v>0.26</v>
      </c>
      <c r="AE14" s="45">
        <f>R14*AD14</f>
        <v>3841.1880000000001</v>
      </c>
      <c r="AF14" s="46">
        <f t="shared" si="2"/>
        <v>295.476</v>
      </c>
      <c r="AG14" s="45">
        <f t="shared" si="3"/>
        <v>621.86700000000008</v>
      </c>
      <c r="AH14" s="44">
        <f t="shared" si="5"/>
        <v>4758.5309999999999</v>
      </c>
      <c r="AI14" s="47">
        <f t="shared" si="6"/>
        <v>25487.431</v>
      </c>
    </row>
    <row r="15" spans="1:37" s="1" customFormat="1" ht="30" customHeight="1" x14ac:dyDescent="0.25">
      <c r="A15" s="71">
        <f>IF(OCTUBRE!A15&lt;&gt;"", OCTUBRE!A15, "")</f>
        <v>92700181</v>
      </c>
      <c r="B15" s="72" t="str">
        <f>IF(OCTUBRE!B15&lt;&gt;"", OCTUBRE!B15, "")</f>
        <v>175</v>
      </c>
      <c r="C15" s="72" t="str">
        <f>IF(OCTUBRE!C15&lt;&gt;"", OCTUBRE!C15, "")</f>
        <v>25</v>
      </c>
      <c r="D15" s="72" t="str">
        <f>IF(OCTUBRE!D15&lt;&gt;"", OCTUBRE!D15, "")</f>
        <v>G0805</v>
      </c>
      <c r="E15" s="37" t="str">
        <f>IF(OCTUBRE!E15&lt;&gt;"", OCTUBRE!E15, "")</f>
        <v>113022138DA3QG080500.0000004</v>
      </c>
      <c r="F15" s="31" t="str">
        <f>IF(OCTUBRE!F15&lt;&gt;"", OCTUBRE!F15, "")</f>
        <v>MORALES CARRETERO JOSE ALBERTO</v>
      </c>
      <c r="G15" s="31" t="str">
        <f>IF(OCTUBRE!G15&lt;&gt;"", OCTUBRE!G15, "")</f>
        <v>DIRECCIÓN DE DIÁLOGO Y CONCERTACIÓN</v>
      </c>
      <c r="H15" s="31" t="str">
        <f>IF(OCTUBRE!H15&lt;&gt;"", OCTUBRE!H15, "")</f>
        <v>JEFE DE DEPARTAMENTO DE INFRAESTRUCTURA INDÍGENA</v>
      </c>
      <c r="I15" s="72" t="str">
        <f>IF(OCTUBRE!I15&lt;&gt;"", OCTUBRE!I15, "")</f>
        <v>MOCA980205HPLRRL01</v>
      </c>
      <c r="J15" s="72" t="str">
        <f>IF(OCTUBRE!J15&lt;&gt;"", OCTUBRE!J15, "")</f>
        <v>MOCA980205324</v>
      </c>
      <c r="K15" s="72" t="str">
        <f>IF(OCTUBRE!K15&lt;&gt;"", OCTUBRE!K15, "")</f>
        <v>ACTIVO</v>
      </c>
      <c r="L15" s="72" t="str">
        <f>IF(OCTUBRE!L15&lt;&gt;"", OCTUBRE!L15, "")</f>
        <v/>
      </c>
      <c r="M15" s="30" t="str">
        <f>IF(OCTUBRE!N15&lt;&gt;"", OCTUBRE!N15, "")</f>
        <v>X</v>
      </c>
      <c r="N15" s="30" t="str">
        <f>IF(OCTUBRE!O15&lt;&gt;"", OCTUBRE!O15, "")</f>
        <v>H</v>
      </c>
      <c r="O15" s="73" t="str">
        <f>IF(OCTUBRE!P15&lt;&gt;"", OCTUBRE!P15, "")</f>
        <v>27</v>
      </c>
      <c r="P15" s="83">
        <f>Tabla1[[#This Row],[SALARIO DIARIO]]</f>
        <v>278.8</v>
      </c>
      <c r="Q15" s="83">
        <f>Tabla15[[#This Row],[SUELDO MENSUAL]]/2</f>
        <v>4182</v>
      </c>
      <c r="R15" s="84">
        <f>Tabla1[[#This Row],[SUELDO MENSUAL]]</f>
        <v>8364</v>
      </c>
      <c r="S15" s="84">
        <f>Tabla15[[#This Row],[DESPENSA MENSUAL]]/2</f>
        <v>142</v>
      </c>
      <c r="T15" s="84">
        <f>Tabla1[[#This Row],[DESPENSA MENSUAL]]</f>
        <v>284</v>
      </c>
      <c r="U15" s="84">
        <f>Tabla15[[#This Row],[COMPENSACIÓN (J5)  MENSUAL]]/2</f>
        <v>5641.57</v>
      </c>
      <c r="V15" s="84">
        <f>Tabla1[[#This Row],[COMPENSACIÓN (J5)  MENSUAL]]</f>
        <v>11283.14</v>
      </c>
      <c r="W15" s="84">
        <f>Tabla1[[#This Row],[QUINQUENIO]]/2</f>
        <v>0</v>
      </c>
      <c r="X15" s="84">
        <f>Tabla1[[#This Row],[COMPENSACIÓN (J6) MENSUAL]]/2</f>
        <v>0</v>
      </c>
      <c r="Y15" s="85">
        <f t="shared" si="7"/>
        <v>9965.57</v>
      </c>
      <c r="Z15" s="83">
        <f>Tabla1[[#This Row],[ISR MENSUAL]]/2</f>
        <v>1184.4719319999997</v>
      </c>
      <c r="AA15" s="40">
        <f>(P15*30.4)*13%</f>
        <v>1101.8176000000001</v>
      </c>
      <c r="AB15" s="43">
        <f t="shared" si="1"/>
        <v>2286.2895319999998</v>
      </c>
      <c r="AC15" s="44">
        <f t="shared" si="4"/>
        <v>7679.2804679999999</v>
      </c>
      <c r="AD15" s="45">
        <v>0.26</v>
      </c>
      <c r="AE15" s="45">
        <f>(P15*30.4)*AD15</f>
        <v>2203.6352000000002</v>
      </c>
      <c r="AF15" s="46">
        <f t="shared" si="2"/>
        <v>167.28</v>
      </c>
      <c r="AG15" s="45">
        <f t="shared" si="3"/>
        <v>298.96709999999996</v>
      </c>
      <c r="AH15" s="44">
        <f t="shared" si="5"/>
        <v>2669.8823000000002</v>
      </c>
      <c r="AI15" s="47">
        <f t="shared" si="6"/>
        <v>12635.452300000001</v>
      </c>
    </row>
    <row r="16" spans="1:37" s="1" customFormat="1" ht="30" customHeight="1" x14ac:dyDescent="0.25">
      <c r="A16" s="71" t="str">
        <f>IF(OCTUBRE!A16&lt;&gt;"", OCTUBRE!A16, "")</f>
        <v/>
      </c>
      <c r="B16" s="72" t="str">
        <f>IF(OCTUBRE!B16&lt;&gt;"", OCTUBRE!B16, "")</f>
        <v/>
      </c>
      <c r="C16" s="72" t="str">
        <f>IF(OCTUBRE!C16&lt;&gt;"", OCTUBRE!C16, "")</f>
        <v/>
      </c>
      <c r="D16" s="72" t="str">
        <f>IF(OCTUBRE!D16&lt;&gt;"", OCTUBRE!D16, "")</f>
        <v/>
      </c>
      <c r="E16" s="37" t="str">
        <f>IF(OCTUBRE!E16&lt;&gt;"", OCTUBRE!E16, "")</f>
        <v>113222138DA3QG080800.0000004</v>
      </c>
      <c r="F16" s="31" t="str">
        <f>IF(OCTUBRE!F16&lt;&gt;"", OCTUBRE!F16, "")</f>
        <v>VACANTE</v>
      </c>
      <c r="G16" s="31" t="str">
        <f>IF(OCTUBRE!G16&lt;&gt;"", OCTUBRE!G16, "")</f>
        <v/>
      </c>
      <c r="H16" s="31" t="str">
        <f>IF(OCTUBRE!H16&lt;&gt;"", OCTUBRE!H16, "")</f>
        <v/>
      </c>
      <c r="I16" s="72" t="str">
        <f>IF(OCTUBRE!I16&lt;&gt;"", OCTUBRE!I16, "")</f>
        <v/>
      </c>
      <c r="J16" s="72" t="str">
        <f>IF(OCTUBRE!J16&lt;&gt;"", OCTUBRE!J16, "")</f>
        <v/>
      </c>
      <c r="K16" s="72" t="str">
        <f>IF(OCTUBRE!K16&lt;&gt;"", OCTUBRE!K16, "")</f>
        <v/>
      </c>
      <c r="L16" s="72" t="str">
        <f>IF(OCTUBRE!L16&lt;&gt;"", OCTUBRE!L16, "")</f>
        <v/>
      </c>
      <c r="M16" s="30" t="str">
        <f>IF(OCTUBRE!N16&lt;&gt;"", OCTUBRE!N16, "")</f>
        <v>X</v>
      </c>
      <c r="N16" s="30" t="str">
        <f>IF(OCTUBRE!O16&lt;&gt;"", OCTUBRE!O16, "")</f>
        <v/>
      </c>
      <c r="O16" s="73" t="str">
        <f>IF(OCTUBRE!P16&lt;&gt;"", OCTUBRE!P16, "")</f>
        <v/>
      </c>
      <c r="P16" s="83">
        <f>Tabla1[[#This Row],[SALARIO DIARIO]]</f>
        <v>278.8</v>
      </c>
      <c r="Q16" s="83">
        <f>Tabla15[[#This Row],[SUELDO MENSUAL]]/2</f>
        <v>4182</v>
      </c>
      <c r="R16" s="84">
        <f>Tabla1[[#This Row],[SUELDO MENSUAL]]</f>
        <v>8364</v>
      </c>
      <c r="S16" s="84">
        <f>Tabla15[[#This Row],[DESPENSA MENSUAL]]/2</f>
        <v>142</v>
      </c>
      <c r="T16" s="84">
        <f>Tabla1[[#This Row],[DESPENSA MENSUAL]]</f>
        <v>284</v>
      </c>
      <c r="U16" s="84">
        <f>Tabla15[[#This Row],[COMPENSACIÓN (J5)  MENSUAL]]/2</f>
        <v>3008</v>
      </c>
      <c r="V16" s="84">
        <f>Tabla1[[#This Row],[COMPENSACIÓN (J5)  MENSUAL]]</f>
        <v>6016</v>
      </c>
      <c r="W16" s="84">
        <f>Tabla1[[#This Row],[QUINQUENIO]]/2</f>
        <v>0</v>
      </c>
      <c r="X16" s="84">
        <f>Tabla1[[#This Row],[COMPENSACIÓN (J6) MENSUAL]]/2</f>
        <v>0</v>
      </c>
      <c r="Y16" s="85">
        <f t="shared" si="7"/>
        <v>7332</v>
      </c>
      <c r="Z16" s="83">
        <f>Tabla1[[#This Row],[ISR MENSUAL]]/2</f>
        <v>671.30376000000012</v>
      </c>
      <c r="AA16" s="40">
        <f>(P16*30.4)*13%</f>
        <v>1101.8176000000001</v>
      </c>
      <c r="AB16" s="43">
        <f t="shared" si="1"/>
        <v>1773.1213600000001</v>
      </c>
      <c r="AC16" s="44">
        <f t="shared" si="4"/>
        <v>5558.8786399999999</v>
      </c>
      <c r="AD16" s="45">
        <v>0.26</v>
      </c>
      <c r="AE16" s="45">
        <f>(P16*30.4)*AD16</f>
        <v>2203.6352000000002</v>
      </c>
      <c r="AF16" s="46">
        <f t="shared" si="2"/>
        <v>167.28</v>
      </c>
      <c r="AG16" s="45">
        <f t="shared" si="3"/>
        <v>219.95999999999998</v>
      </c>
      <c r="AH16" s="44">
        <f t="shared" si="5"/>
        <v>2590.8752000000004</v>
      </c>
      <c r="AI16" s="47">
        <f t="shared" si="6"/>
        <v>9922.8752000000004</v>
      </c>
    </row>
    <row r="17" spans="1:35" s="14" customFormat="1" ht="30" customHeight="1" x14ac:dyDescent="0.25">
      <c r="A17" s="71">
        <f>IF(OCTUBRE!A17&lt;&gt;"", OCTUBRE!A17, "")</f>
        <v>92700209</v>
      </c>
      <c r="B17" s="72" t="str">
        <f>IF(OCTUBRE!B17&lt;&gt;"", OCTUBRE!B17, "")</f>
        <v>177</v>
      </c>
      <c r="C17" s="72" t="str">
        <f>IF(OCTUBRE!C17&lt;&gt;"", OCTUBRE!C17, "")</f>
        <v>27</v>
      </c>
      <c r="D17" s="72" t="str">
        <f>IF(OCTUBRE!D17&lt;&gt;"", OCTUBRE!D17, "")</f>
        <v>G0805</v>
      </c>
      <c r="E17" s="37" t="str">
        <f>IF(OCTUBRE!E17&lt;&gt;"", OCTUBRE!E17, "")</f>
        <v>113022138DA3QG080500.0000027</v>
      </c>
      <c r="F17" s="31" t="str">
        <f>IF(OCTUBRE!F17&lt;&gt;"", OCTUBRE!F17, "")</f>
        <v>CUADRADO GALEANO AMADEUZ</v>
      </c>
      <c r="G17" s="31" t="str">
        <f>IF(OCTUBRE!G17&lt;&gt;"", OCTUBRE!G17, "")</f>
        <v>DIRECCIÓN DE DESARROLLO CON IDENTIDAD INDÍGENA</v>
      </c>
      <c r="H17" s="31" t="str">
        <f>IF(OCTUBRE!H17&lt;&gt;"", OCTUBRE!H17, "")</f>
        <v>JEFE DE DEPARTAMENTO DE PLANEACIÓN TERRITORIAL</v>
      </c>
      <c r="I17" s="72" t="str">
        <f>IF(OCTUBRE!I17&lt;&gt;"", OCTUBRE!I17, "")</f>
        <v>CUGA941124HPLDLM05</v>
      </c>
      <c r="J17" s="72" t="str">
        <f>IF(OCTUBRE!J17&lt;&gt;"", OCTUBRE!J17, "")</f>
        <v>CUGA9411245S5</v>
      </c>
      <c r="K17" s="72" t="str">
        <f>IF(OCTUBRE!K17&lt;&gt;"", OCTUBRE!K17, "")</f>
        <v>ACTIVO</v>
      </c>
      <c r="L17" s="72" t="str">
        <f>IF(OCTUBRE!L17&lt;&gt;"", OCTUBRE!L17, "")</f>
        <v>01/01/2025</v>
      </c>
      <c r="M17" s="30" t="str">
        <f>IF(OCTUBRE!N17&lt;&gt;"", OCTUBRE!N17, "")</f>
        <v>X</v>
      </c>
      <c r="N17" s="30" t="str">
        <f>IF(OCTUBRE!O17&lt;&gt;"", OCTUBRE!O17, "")</f>
        <v>H</v>
      </c>
      <c r="O17" s="73" t="str">
        <f>IF(OCTUBRE!P17&lt;&gt;"", OCTUBRE!P17, "")</f>
        <v>31</v>
      </c>
      <c r="P17" s="83">
        <f>Tabla1[[#This Row],[SALARIO DIARIO]]</f>
        <v>278.8</v>
      </c>
      <c r="Q17" s="83">
        <f>Tabla15[[#This Row],[SUELDO MENSUAL]]/2</f>
        <v>4182</v>
      </c>
      <c r="R17" s="84">
        <f>Tabla1[[#This Row],[SUELDO MENSUAL]]</f>
        <v>8364</v>
      </c>
      <c r="S17" s="84">
        <f>Tabla15[[#This Row],[DESPENSA MENSUAL]]/2</f>
        <v>142</v>
      </c>
      <c r="T17" s="84">
        <f>Tabla1[[#This Row],[DESPENSA MENSUAL]]</f>
        <v>284</v>
      </c>
      <c r="U17" s="84">
        <f>Tabla15[[#This Row],[COMPENSACIÓN (J5)  MENSUAL]]/2</f>
        <v>5641.57</v>
      </c>
      <c r="V17" s="84">
        <f>Tabla1[[#This Row],[COMPENSACIÓN (J5)  MENSUAL]]</f>
        <v>11283.14</v>
      </c>
      <c r="W17" s="84">
        <f>Tabla1[[#This Row],[QUINQUENIO]]/2</f>
        <v>0</v>
      </c>
      <c r="X17" s="84">
        <f>Tabla1[[#This Row],[COMPENSACIÓN (J6) MENSUAL]]/2</f>
        <v>0</v>
      </c>
      <c r="Y17" s="85">
        <f t="shared" si="7"/>
        <v>9965.57</v>
      </c>
      <c r="Z17" s="83">
        <f>Tabla1[[#This Row],[ISR MENSUAL]]/2</f>
        <v>1184.4719319999997</v>
      </c>
      <c r="AA17" s="40">
        <f>(P17*30.4)*13%</f>
        <v>1101.8176000000001</v>
      </c>
      <c r="AB17" s="43">
        <f t="shared" si="1"/>
        <v>2286.2895319999998</v>
      </c>
      <c r="AC17" s="44">
        <f t="shared" si="4"/>
        <v>7679.2804679999999</v>
      </c>
      <c r="AD17" s="45">
        <v>0.26</v>
      </c>
      <c r="AE17" s="45">
        <f>(P17*30.4)*AD17</f>
        <v>2203.6352000000002</v>
      </c>
      <c r="AF17" s="46">
        <f t="shared" si="2"/>
        <v>167.28</v>
      </c>
      <c r="AG17" s="45">
        <f t="shared" si="3"/>
        <v>298.96709999999996</v>
      </c>
      <c r="AH17" s="44">
        <f t="shared" si="5"/>
        <v>2669.8823000000002</v>
      </c>
      <c r="AI17" s="47">
        <f t="shared" si="6"/>
        <v>12635.452300000001</v>
      </c>
    </row>
    <row r="18" spans="1:35" s="1" customFormat="1" ht="30" customHeight="1" x14ac:dyDescent="0.25">
      <c r="A18" s="71">
        <f>IF(OCTUBRE!A18&lt;&gt;"", OCTUBRE!A18, "")</f>
        <v>92700234</v>
      </c>
      <c r="B18" s="72" t="str">
        <f>IF(OCTUBRE!B18&lt;&gt;"", OCTUBRE!B18, "")</f>
        <v>177</v>
      </c>
      <c r="C18" s="72" t="str">
        <f>IF(OCTUBRE!C18&lt;&gt;"", OCTUBRE!C18, "")</f>
        <v>6</v>
      </c>
      <c r="D18" s="72" t="str">
        <f>IF(OCTUBRE!D18&lt;&gt;"", OCTUBRE!D18, "")</f>
        <v>G0808</v>
      </c>
      <c r="E18" s="37" t="str">
        <f>IF(OCTUBRE!E18&lt;&gt;"", OCTUBRE!E18, "")</f>
        <v>113222138DA3QG080800.0000007</v>
      </c>
      <c r="F18" s="31" t="str">
        <f>IF(OCTUBRE!F18&lt;&gt;"", OCTUBRE!F18, "")</f>
        <v>PEREZ FLORENTINO UZIEL</v>
      </c>
      <c r="G18" s="31" t="str">
        <f>IF(OCTUBRE!G18&lt;&gt;"", OCTUBRE!G18, "")</f>
        <v>DIRECCIÓN DE DESARROLLO CON IDENTIDAD INDÍGENA</v>
      </c>
      <c r="H18" s="31" t="str">
        <f>IF(OCTUBRE!H18&lt;&gt;"", OCTUBRE!H18, "")</f>
        <v>Analista Especializado Consultivo C</v>
      </c>
      <c r="I18" s="72" t="str">
        <f>IF(OCTUBRE!I18&lt;&gt;"", OCTUBRE!I18, "")</f>
        <v>PEFU900128HPLRLZ04</v>
      </c>
      <c r="J18" s="72" t="str">
        <f>IF(OCTUBRE!J18&lt;&gt;"", OCTUBRE!J18, "")</f>
        <v>PEFU900128T85</v>
      </c>
      <c r="K18" s="72" t="str">
        <f>IF(OCTUBRE!K18&lt;&gt;"", OCTUBRE!K18, "")</f>
        <v>ACTIVO</v>
      </c>
      <c r="L18" s="72" t="str">
        <f>IF(OCTUBRE!L18&lt;&gt;"", OCTUBRE!L18, "")</f>
        <v/>
      </c>
      <c r="M18" s="30" t="str">
        <f>IF(OCTUBRE!N18&lt;&gt;"", OCTUBRE!N18, "")</f>
        <v>X</v>
      </c>
      <c r="N18" s="30" t="str">
        <f>IF(OCTUBRE!O18&lt;&gt;"", OCTUBRE!O18, "")</f>
        <v>H</v>
      </c>
      <c r="O18" s="73" t="str">
        <f>IF(OCTUBRE!P18&lt;&gt;"", OCTUBRE!P18, "")</f>
        <v>35</v>
      </c>
      <c r="P18" s="83">
        <f>Tabla1[[#This Row],[SALARIO DIARIO]]</f>
        <v>278.8</v>
      </c>
      <c r="Q18" s="83">
        <f>Tabla15[[#This Row],[SUELDO MENSUAL]]/2</f>
        <v>4182</v>
      </c>
      <c r="R18" s="84">
        <f>Tabla1[[#This Row],[SUELDO MENSUAL]]</f>
        <v>8364</v>
      </c>
      <c r="S18" s="84">
        <f>Tabla15[[#This Row],[DESPENSA MENSUAL]]/2</f>
        <v>142</v>
      </c>
      <c r="T18" s="84">
        <f>Tabla1[[#This Row],[DESPENSA MENSUAL]]</f>
        <v>284</v>
      </c>
      <c r="U18" s="84">
        <f>Tabla15[[#This Row],[COMPENSACIÓN (J5)  MENSUAL]]/2</f>
        <v>5000</v>
      </c>
      <c r="V18" s="84">
        <f>Tabla1[[#This Row],[COMPENSACIÓN (J5)  MENSUAL]]</f>
        <v>10000</v>
      </c>
      <c r="W18" s="84">
        <f>Tabla1[[#This Row],[QUINQUENIO]]/2</f>
        <v>0</v>
      </c>
      <c r="X18" s="84">
        <f>Tabla1[[#This Row],[COMPENSACIÓN (J6) MENSUAL]]/2</f>
        <v>0</v>
      </c>
      <c r="Y18" s="85">
        <f t="shared" si="7"/>
        <v>9324</v>
      </c>
      <c r="Z18" s="83">
        <f>Tabla1[[#This Row],[ISR MENSUAL]]/2</f>
        <v>1047.4325799999997</v>
      </c>
      <c r="AA18" s="40">
        <f>(P18*30.4)*13%</f>
        <v>1101.8176000000001</v>
      </c>
      <c r="AB18" s="43">
        <f t="shared" si="1"/>
        <v>2149.25018</v>
      </c>
      <c r="AC18" s="44">
        <f t="shared" si="4"/>
        <v>7174.74982</v>
      </c>
      <c r="AD18" s="45">
        <v>0.26</v>
      </c>
      <c r="AE18" s="45">
        <f>(P18*30.4)*AD18</f>
        <v>2203.6352000000002</v>
      </c>
      <c r="AF18" s="46">
        <f t="shared" si="2"/>
        <v>167.28</v>
      </c>
      <c r="AG18" s="45">
        <f t="shared" si="3"/>
        <v>279.71999999999997</v>
      </c>
      <c r="AH18" s="44">
        <f t="shared" si="5"/>
        <v>2650.6352000000002</v>
      </c>
      <c r="AI18" s="47">
        <f t="shared" si="6"/>
        <v>11974.635200000001</v>
      </c>
    </row>
    <row r="19" spans="1:35" s="1" customFormat="1" ht="30" customHeight="1" x14ac:dyDescent="0.25">
      <c r="A19" s="100" t="str">
        <f>IF(OCTUBRE!A19&lt;&gt;"", OCTUBRE!A19, "")</f>
        <v/>
      </c>
      <c r="B19" s="72" t="str">
        <f>IF(OCTUBRE!B19&lt;&gt;"", OCTUBRE!B19, "")</f>
        <v/>
      </c>
      <c r="C19" s="72" t="str">
        <f>IF(OCTUBRE!C19&lt;&gt;"", OCTUBRE!C19, "")</f>
        <v/>
      </c>
      <c r="D19" s="72" t="str">
        <f>IF(OCTUBRE!D19&lt;&gt;"", OCTUBRE!D19, "")</f>
        <v/>
      </c>
      <c r="E19" s="37" t="str">
        <f>IF(OCTUBRE!E19&lt;&gt;"", OCTUBRE!E19, "")</f>
        <v>113022138DA3QG050100.0000003</v>
      </c>
      <c r="F19" s="31" t="str">
        <f>IF(OCTUBRE!F19&lt;&gt;"", OCTUBRE!F19, "")</f>
        <v>VACANTE</v>
      </c>
      <c r="G19" s="31" t="str">
        <f>IF(OCTUBRE!G19&lt;&gt;"", OCTUBRE!G19, "")</f>
        <v/>
      </c>
      <c r="H19" s="31" t="str">
        <f>IF(OCTUBRE!H19&lt;&gt;"", OCTUBRE!H19, "")</f>
        <v/>
      </c>
      <c r="I19" s="72" t="str">
        <f>IF(OCTUBRE!I19&lt;&gt;"", OCTUBRE!I19, "")</f>
        <v/>
      </c>
      <c r="J19" s="72" t="str">
        <f>IF(OCTUBRE!J19&lt;&gt;"", OCTUBRE!J19, "")</f>
        <v/>
      </c>
      <c r="K19" s="72" t="str">
        <f>IF(OCTUBRE!K19&lt;&gt;"", OCTUBRE!K19, "")</f>
        <v/>
      </c>
      <c r="L19" s="72" t="str">
        <f>IF(OCTUBRE!L19&lt;&gt;"", OCTUBRE!L19, "")</f>
        <v/>
      </c>
      <c r="M19" s="30" t="str">
        <f>IF(OCTUBRE!N19&lt;&gt;"", OCTUBRE!N19, "")</f>
        <v>X</v>
      </c>
      <c r="N19" s="30" t="str">
        <f>IF(OCTUBRE!O19&lt;&gt;"", OCTUBRE!O19, "")</f>
        <v/>
      </c>
      <c r="O19" s="73" t="str">
        <f>IF(OCTUBRE!P19&lt;&gt;"", OCTUBRE!P19, "")</f>
        <v/>
      </c>
      <c r="P19" s="83">
        <f>Tabla1[[#This Row],[SALARIO DIARIO]]</f>
        <v>492.46</v>
      </c>
      <c r="Q19" s="83">
        <f>Tabla15[[#This Row],[SUELDO MENSUAL]]/2</f>
        <v>7386.9</v>
      </c>
      <c r="R19" s="84">
        <f>Tabla1[[#This Row],[SUELDO MENSUAL]]</f>
        <v>14773.8</v>
      </c>
      <c r="S19" s="84">
        <f>Tabla15[[#This Row],[DESPENSA MENSUAL]]/2</f>
        <v>142</v>
      </c>
      <c r="T19" s="84">
        <f>Tabla1[[#This Row],[DESPENSA MENSUAL]]</f>
        <v>284</v>
      </c>
      <c r="U19" s="84">
        <f>Tabla15[[#This Row],[COMPENSACIÓN (J5)  MENSUAL]]/2</f>
        <v>13200</v>
      </c>
      <c r="V19" s="84">
        <f>Tabla1[[#This Row],[COMPENSACIÓN (J5)  MENSUAL]]</f>
        <v>26400</v>
      </c>
      <c r="W19" s="84">
        <f>Tabla1[[#This Row],[QUINQUENIO]]/2</f>
        <v>0</v>
      </c>
      <c r="X19" s="84">
        <f>Tabla1[[#This Row],[COMPENSACIÓN (J6) MENSUAL]]/2</f>
        <v>0</v>
      </c>
      <c r="Y19" s="85">
        <f t="shared" si="7"/>
        <v>20728.900000000001</v>
      </c>
      <c r="Z19" s="83">
        <f>Tabla1[[#This Row],[ISR MENSUAL]]/2</f>
        <v>3549.3472960000008</v>
      </c>
      <c r="AA19" s="40">
        <f>Q19*13%</f>
        <v>960.29700000000003</v>
      </c>
      <c r="AB19" s="43">
        <f t="shared" si="1"/>
        <v>4509.6442960000004</v>
      </c>
      <c r="AC19" s="44">
        <f t="shared" si="4"/>
        <v>16219.255704000001</v>
      </c>
      <c r="AD19" s="45">
        <v>0.26</v>
      </c>
      <c r="AE19" s="45">
        <f>R19*AD19</f>
        <v>3841.1880000000001</v>
      </c>
      <c r="AF19" s="46">
        <f t="shared" si="2"/>
        <v>295.476</v>
      </c>
      <c r="AG19" s="45">
        <f t="shared" si="3"/>
        <v>621.86700000000008</v>
      </c>
      <c r="AH19" s="44">
        <f t="shared" si="5"/>
        <v>4758.5309999999999</v>
      </c>
      <c r="AI19" s="47">
        <f t="shared" si="6"/>
        <v>25487.431</v>
      </c>
    </row>
    <row r="20" spans="1:35" s="1" customFormat="1" ht="30" customHeight="1" x14ac:dyDescent="0.25">
      <c r="A20" s="71">
        <f>IF(OCTUBRE!A20&lt;&gt;"", OCTUBRE!A20, "")</f>
        <v>92700208</v>
      </c>
      <c r="B20" s="72" t="str">
        <f>IF(OCTUBRE!B20&lt;&gt;"", OCTUBRE!B20, "")</f>
        <v>179</v>
      </c>
      <c r="C20" s="72" t="str">
        <f>IF(OCTUBRE!C20&lt;&gt;"", OCTUBRE!C20, "")</f>
        <v>34</v>
      </c>
      <c r="D20" s="72" t="str">
        <f>IF(OCTUBRE!D20&lt;&gt;"", OCTUBRE!D20, "")</f>
        <v>G0805</v>
      </c>
      <c r="E20" s="37" t="str">
        <f>IF(OCTUBRE!E20&lt;&gt;"", OCTUBRE!E20, "")</f>
        <v>113022138DA3QG080500.0000007</v>
      </c>
      <c r="F20" s="31" t="str">
        <f>IF(OCTUBRE!F20&lt;&gt;"", OCTUBRE!F20, "")</f>
        <v>LOPEZ CORTES JUAN PABLO</v>
      </c>
      <c r="G20" s="31" t="str">
        <f>IF(OCTUBRE!G20&lt;&gt;"", OCTUBRE!G20, "")</f>
        <v xml:space="preserve">DIRECCIÓN DE PATRIMONIO CULTURAL, INVESTIGACIÓN Y EDUCACIÓN PARA LA EQUIDAD </v>
      </c>
      <c r="H20" s="31" t="str">
        <f>IF(OCTUBRE!H20&lt;&gt;"", OCTUBRE!H20, "")</f>
        <v>Jefe de Departamento de Investigación</v>
      </c>
      <c r="I20" s="72" t="str">
        <f>IF(OCTUBRE!I20&lt;&gt;"", OCTUBRE!I20, "")</f>
        <v>LOCJ900522HPLPRN06</v>
      </c>
      <c r="J20" s="72" t="str">
        <f>IF(OCTUBRE!J20&lt;&gt;"", OCTUBRE!J20, "")</f>
        <v>LOCJ900522KD1</v>
      </c>
      <c r="K20" s="72" t="str">
        <f>IF(OCTUBRE!K20&lt;&gt;"", OCTUBRE!K20, "")</f>
        <v>ACTIVO</v>
      </c>
      <c r="L20" s="72" t="str">
        <f>IF(OCTUBRE!L20&lt;&gt;"", OCTUBRE!L20, "")</f>
        <v>01/01/2025</v>
      </c>
      <c r="M20" s="30" t="str">
        <f>IF(OCTUBRE!N20&lt;&gt;"", OCTUBRE!N20, "")</f>
        <v>X</v>
      </c>
      <c r="N20" s="30" t="str">
        <f>IF(OCTUBRE!O20&lt;&gt;"", OCTUBRE!O20, "")</f>
        <v>H</v>
      </c>
      <c r="O20" s="73" t="str">
        <f>IF(OCTUBRE!P20&lt;&gt;"", OCTUBRE!P20, "")</f>
        <v>35</v>
      </c>
      <c r="P20" s="83">
        <f>Tabla1[[#This Row],[SALARIO DIARIO]]</f>
        <v>278.8</v>
      </c>
      <c r="Q20" s="83">
        <f>Tabla15[[#This Row],[SUELDO MENSUAL]]/2</f>
        <v>4182</v>
      </c>
      <c r="R20" s="84">
        <f>Tabla1[[#This Row],[SUELDO MENSUAL]]</f>
        <v>8364</v>
      </c>
      <c r="S20" s="84">
        <f>Tabla15[[#This Row],[DESPENSA MENSUAL]]/2</f>
        <v>142</v>
      </c>
      <c r="T20" s="84">
        <f>Tabla1[[#This Row],[DESPENSA MENSUAL]]</f>
        <v>284</v>
      </c>
      <c r="U20" s="84">
        <f>Tabla15[[#This Row],[COMPENSACIÓN (J5)  MENSUAL]]/2</f>
        <v>5641.57</v>
      </c>
      <c r="V20" s="84">
        <f>Tabla1[[#This Row],[COMPENSACIÓN (J5)  MENSUAL]]</f>
        <v>11283.14</v>
      </c>
      <c r="W20" s="84">
        <f>Tabla1[[#This Row],[QUINQUENIO]]/2</f>
        <v>0</v>
      </c>
      <c r="X20" s="84">
        <f>Tabla1[[#This Row],[COMPENSACIÓN (J6) MENSUAL]]/2</f>
        <v>0</v>
      </c>
      <c r="Y20" s="85">
        <f t="shared" si="7"/>
        <v>9965.57</v>
      </c>
      <c r="Z20" s="83">
        <f>Tabla1[[#This Row],[ISR MENSUAL]]/2</f>
        <v>1184.4719319999997</v>
      </c>
      <c r="AA20" s="40">
        <f>(P20*30.4)*13%</f>
        <v>1101.8176000000001</v>
      </c>
      <c r="AB20" s="43">
        <f t="shared" si="1"/>
        <v>2286.2895319999998</v>
      </c>
      <c r="AC20" s="44">
        <f t="shared" si="4"/>
        <v>7679.2804679999999</v>
      </c>
      <c r="AD20" s="45">
        <v>0.26</v>
      </c>
      <c r="AE20" s="45">
        <f>(P20*30.4)*AD20</f>
        <v>2203.6352000000002</v>
      </c>
      <c r="AF20" s="46">
        <f t="shared" si="2"/>
        <v>167.28</v>
      </c>
      <c r="AG20" s="45">
        <f t="shared" si="3"/>
        <v>298.96709999999996</v>
      </c>
      <c r="AH20" s="44">
        <f t="shared" si="5"/>
        <v>2669.8823000000002</v>
      </c>
      <c r="AI20" s="47">
        <f t="shared" si="6"/>
        <v>12635.452300000001</v>
      </c>
    </row>
    <row r="21" spans="1:35" s="1" customFormat="1" ht="30" customHeight="1" x14ac:dyDescent="0.25">
      <c r="A21" s="71" t="str">
        <f>IF(OCTUBRE!A21&lt;&gt;"", OCTUBRE!A21, "")</f>
        <v/>
      </c>
      <c r="B21" s="72" t="str">
        <f>IF(OCTUBRE!B21&lt;&gt;"", OCTUBRE!B21, "")</f>
        <v/>
      </c>
      <c r="C21" s="72" t="str">
        <f>IF(OCTUBRE!C21&lt;&gt;"", OCTUBRE!C21, "")</f>
        <v/>
      </c>
      <c r="D21" s="72" t="str">
        <f>IF(OCTUBRE!D21&lt;&gt;"", OCTUBRE!D21, "")</f>
        <v/>
      </c>
      <c r="E21" s="37" t="str">
        <f>IF(OCTUBRE!E21&lt;&gt;"", OCTUBRE!E21, "")</f>
        <v>113022138DA3QG080500.0000008</v>
      </c>
      <c r="F21" s="31" t="str">
        <f>IF(OCTUBRE!F21&lt;&gt;"", OCTUBRE!F21, "")</f>
        <v>VACANTE</v>
      </c>
      <c r="G21" s="31" t="str">
        <f>IF(OCTUBRE!G21&lt;&gt;"", OCTUBRE!G21, "")</f>
        <v/>
      </c>
      <c r="H21" s="31" t="str">
        <f>IF(OCTUBRE!H21&lt;&gt;"", OCTUBRE!H21, "")</f>
        <v/>
      </c>
      <c r="I21" s="72" t="str">
        <f>IF(OCTUBRE!I21&lt;&gt;"", OCTUBRE!I21, "")</f>
        <v/>
      </c>
      <c r="J21" s="72" t="str">
        <f>IF(OCTUBRE!J21&lt;&gt;"", OCTUBRE!J21, "")</f>
        <v/>
      </c>
      <c r="K21" s="72" t="str">
        <f>IF(OCTUBRE!K21&lt;&gt;"", OCTUBRE!K21, "")</f>
        <v/>
      </c>
      <c r="L21" s="72" t="str">
        <f>IF(OCTUBRE!L21&lt;&gt;"", OCTUBRE!L21, "")</f>
        <v/>
      </c>
      <c r="M21" s="30" t="str">
        <f>IF(OCTUBRE!N21&lt;&gt;"", OCTUBRE!N21, "")</f>
        <v>X</v>
      </c>
      <c r="N21" s="30" t="str">
        <f>IF(OCTUBRE!O21&lt;&gt;"", OCTUBRE!O21, "")</f>
        <v/>
      </c>
      <c r="O21" s="73" t="str">
        <f>IF(OCTUBRE!P21&lt;&gt;"", OCTUBRE!P21, "")</f>
        <v/>
      </c>
      <c r="P21" s="83">
        <f>Tabla1[[#This Row],[SALARIO DIARIO]]</f>
        <v>278.8</v>
      </c>
      <c r="Q21" s="83">
        <f>Tabla15[[#This Row],[SUELDO MENSUAL]]/2</f>
        <v>4182</v>
      </c>
      <c r="R21" s="84">
        <f>Tabla1[[#This Row],[SUELDO MENSUAL]]</f>
        <v>8364</v>
      </c>
      <c r="S21" s="84">
        <f>Tabla15[[#This Row],[DESPENSA MENSUAL]]/2</f>
        <v>142</v>
      </c>
      <c r="T21" s="84">
        <f>Tabla1[[#This Row],[DESPENSA MENSUAL]]</f>
        <v>284</v>
      </c>
      <c r="U21" s="84">
        <f>Tabla15[[#This Row],[COMPENSACIÓN (J5)  MENSUAL]]/2</f>
        <v>5641.57</v>
      </c>
      <c r="V21" s="84">
        <f>Tabla1[[#This Row],[COMPENSACIÓN (J5)  MENSUAL]]</f>
        <v>11283.14</v>
      </c>
      <c r="W21" s="84">
        <f>Tabla1[[#This Row],[QUINQUENIO]]/2</f>
        <v>0</v>
      </c>
      <c r="X21" s="84">
        <f>Tabla1[[#This Row],[COMPENSACIÓN (J6) MENSUAL]]/2</f>
        <v>0</v>
      </c>
      <c r="Y21" s="85">
        <f t="shared" si="7"/>
        <v>9965.57</v>
      </c>
      <c r="Z21" s="83">
        <f>Tabla1[[#This Row],[ISR MENSUAL]]/2</f>
        <v>1184.4719319999997</v>
      </c>
      <c r="AA21" s="40">
        <f>(P21*30.4)*13%</f>
        <v>1101.8176000000001</v>
      </c>
      <c r="AB21" s="43">
        <f t="shared" si="1"/>
        <v>2286.2895319999998</v>
      </c>
      <c r="AC21" s="44">
        <f t="shared" si="4"/>
        <v>7679.2804679999999</v>
      </c>
      <c r="AD21" s="45">
        <v>0.26</v>
      </c>
      <c r="AE21" s="45">
        <f>(P21*30.4)*AD21</f>
        <v>2203.6352000000002</v>
      </c>
      <c r="AF21" s="46">
        <f t="shared" si="2"/>
        <v>167.28</v>
      </c>
      <c r="AG21" s="45">
        <f t="shared" si="3"/>
        <v>298.96709999999996</v>
      </c>
      <c r="AH21" s="44">
        <f t="shared" si="5"/>
        <v>2669.8823000000002</v>
      </c>
      <c r="AI21" s="47">
        <f t="shared" si="6"/>
        <v>12635.452300000001</v>
      </c>
    </row>
    <row r="22" spans="1:35" s="1" customFormat="1" ht="30" customHeight="1" x14ac:dyDescent="0.25">
      <c r="A22" s="71">
        <f>IF(OCTUBRE!A22&lt;&gt;"", OCTUBRE!A22, "")</f>
        <v>92700249</v>
      </c>
      <c r="B22" s="72" t="str">
        <f>IF(OCTUBRE!B22&lt;&gt;"", OCTUBRE!B22, "")</f>
        <v>180</v>
      </c>
      <c r="C22" s="72" t="str">
        <f>IF(OCTUBRE!C22&lt;&gt;"", OCTUBRE!C22, "")</f>
        <v>44</v>
      </c>
      <c r="D22" s="72" t="str">
        <f>IF(OCTUBRE!D22&lt;&gt;"", OCTUBRE!D22, "")</f>
        <v>G0808</v>
      </c>
      <c r="E22" s="37" t="str">
        <f>IF(OCTUBRE!E22&lt;&gt;"", OCTUBRE!E22, "")</f>
        <v>113222138DA3QG080800.0000008</v>
      </c>
      <c r="F22" s="31" t="str">
        <f>IF(OCTUBRE!F22&lt;&gt;"", OCTUBRE!F22, "")</f>
        <v>ROSETE DAVALOS ANGELA MARIANA</v>
      </c>
      <c r="G22" s="31" t="str">
        <f>IF(OCTUBRE!G22&lt;&gt;"", OCTUBRE!G22, "")</f>
        <v>DEPARTAMENTO DE PATRIMONIO CULTURAL</v>
      </c>
      <c r="H22" s="31" t="str">
        <f>IF(OCTUBRE!H22&lt;&gt;"", OCTUBRE!H22, "")</f>
        <v>Analista Especializado Consultivo C</v>
      </c>
      <c r="I22" s="72" t="str">
        <f>IF(OCTUBRE!I22&lt;&gt;"", OCTUBRE!I22, "")</f>
        <v>RODA970315MTLSVN04</v>
      </c>
      <c r="J22" s="72" t="str">
        <f>IF(OCTUBRE!J22&lt;&gt;"", OCTUBRE!J22, "")</f>
        <v>RODA970315UM8</v>
      </c>
      <c r="K22" s="72" t="str">
        <f>IF(OCTUBRE!K22&lt;&gt;"", OCTUBRE!K22, "")</f>
        <v>ACTIVO</v>
      </c>
      <c r="L22" s="72" t="str">
        <f>IF(OCTUBRE!L22&lt;&gt;"", OCTUBRE!L22, "")</f>
        <v>01/06/2025</v>
      </c>
      <c r="M22" s="30" t="str">
        <f>IF(OCTUBRE!N22&lt;&gt;"", OCTUBRE!N22, "")</f>
        <v>X</v>
      </c>
      <c r="N22" s="30" t="str">
        <f>IF(OCTUBRE!O22&lt;&gt;"", OCTUBRE!O22, "")</f>
        <v>M</v>
      </c>
      <c r="O22" s="73" t="str">
        <f>IF(OCTUBRE!P22&lt;&gt;"", OCTUBRE!P22, "")</f>
        <v>28</v>
      </c>
      <c r="P22" s="83">
        <f>Tabla1[[#This Row],[SALARIO DIARIO]]</f>
        <v>278.8</v>
      </c>
      <c r="Q22" s="83">
        <f>Tabla15[[#This Row],[SUELDO MENSUAL]]/2</f>
        <v>4182</v>
      </c>
      <c r="R22" s="84">
        <f>Tabla1[[#This Row],[SUELDO MENSUAL]]</f>
        <v>8364</v>
      </c>
      <c r="S22" s="84">
        <f>Tabla15[[#This Row],[DESPENSA MENSUAL]]/2</f>
        <v>142</v>
      </c>
      <c r="T22" s="84">
        <f>Tabla1[[#This Row],[DESPENSA MENSUAL]]</f>
        <v>284</v>
      </c>
      <c r="U22" s="84">
        <f>Tabla15[[#This Row],[COMPENSACIÓN (J5)  MENSUAL]]/2</f>
        <v>5000</v>
      </c>
      <c r="V22" s="84">
        <f>Tabla1[[#This Row],[COMPENSACIÓN (J5)  MENSUAL]]</f>
        <v>10000</v>
      </c>
      <c r="W22" s="84">
        <f>Tabla1[[#This Row],[QUINQUENIO]]/2</f>
        <v>0</v>
      </c>
      <c r="X22" s="84">
        <f>Tabla1[[#This Row],[COMPENSACIÓN (J6) MENSUAL]]/2</f>
        <v>0</v>
      </c>
      <c r="Y22" s="85">
        <f t="shared" si="7"/>
        <v>9324</v>
      </c>
      <c r="Z22" s="83">
        <f>Tabla1[[#This Row],[ISR MENSUAL]]/2</f>
        <v>1047.4325799999997</v>
      </c>
      <c r="AA22" s="40">
        <f>(P22*30.4)*13%</f>
        <v>1101.8176000000001</v>
      </c>
      <c r="AB22" s="43">
        <f t="shared" si="1"/>
        <v>2149.25018</v>
      </c>
      <c r="AC22" s="44">
        <f t="shared" si="4"/>
        <v>7174.74982</v>
      </c>
      <c r="AD22" s="45">
        <v>0.26</v>
      </c>
      <c r="AE22" s="45">
        <f>(P22*30.4)*AD22</f>
        <v>2203.6352000000002</v>
      </c>
      <c r="AF22" s="46">
        <f t="shared" si="2"/>
        <v>167.28</v>
      </c>
      <c r="AG22" s="45">
        <f t="shared" si="3"/>
        <v>279.71999999999997</v>
      </c>
      <c r="AH22" s="44">
        <f t="shared" si="5"/>
        <v>2650.6352000000002</v>
      </c>
      <c r="AI22" s="47">
        <f t="shared" si="6"/>
        <v>11974.635200000001</v>
      </c>
    </row>
    <row r="23" spans="1:35" s="1" customFormat="1" ht="30" customHeight="1" x14ac:dyDescent="0.25">
      <c r="A23" s="100" t="str">
        <f>IF(OCTUBRE!A23&lt;&gt;"", OCTUBRE!A23, "")</f>
        <v/>
      </c>
      <c r="B23" s="72" t="str">
        <f>IF(OCTUBRE!B23&lt;&gt;"", OCTUBRE!B23, "")</f>
        <v/>
      </c>
      <c r="C23" s="72" t="str">
        <f>IF(OCTUBRE!C23&lt;&gt;"", OCTUBRE!C23, "")</f>
        <v/>
      </c>
      <c r="D23" s="72" t="str">
        <f>IF(OCTUBRE!D23&lt;&gt;"", OCTUBRE!D23, "")</f>
        <v/>
      </c>
      <c r="E23" s="37" t="str">
        <f>IF(OCTUBRE!E23&lt;&gt;"", OCTUBRE!E23, "")</f>
        <v>113022138DA3QG080500.0000043</v>
      </c>
      <c r="F23" s="31" t="str">
        <f>IF(OCTUBRE!F23&lt;&gt;"", OCTUBRE!F23, "")</f>
        <v>VACANTE</v>
      </c>
      <c r="G23" s="31" t="str">
        <f>IF(OCTUBRE!G23&lt;&gt;"", OCTUBRE!G23, "")</f>
        <v/>
      </c>
      <c r="H23" s="31" t="str">
        <f>IF(OCTUBRE!H23&lt;&gt;"", OCTUBRE!H23, "")</f>
        <v/>
      </c>
      <c r="I23" s="72" t="str">
        <f>IF(OCTUBRE!I23&lt;&gt;"", OCTUBRE!I23, "")</f>
        <v/>
      </c>
      <c r="J23" s="72" t="str">
        <f>IF(OCTUBRE!J23&lt;&gt;"", OCTUBRE!J23, "")</f>
        <v/>
      </c>
      <c r="K23" s="72" t="str">
        <f>IF(OCTUBRE!K23&lt;&gt;"", OCTUBRE!K23, "")</f>
        <v/>
      </c>
      <c r="L23" s="72" t="str">
        <f>IF(OCTUBRE!L23&lt;&gt;"", OCTUBRE!L23, "")</f>
        <v/>
      </c>
      <c r="M23" s="30" t="str">
        <f>IF(OCTUBRE!N23&lt;&gt;"", OCTUBRE!N23, "")</f>
        <v>X</v>
      </c>
      <c r="N23" s="30" t="str">
        <f>IF(OCTUBRE!O23&lt;&gt;"", OCTUBRE!O23, "")</f>
        <v/>
      </c>
      <c r="O23" s="73" t="str">
        <f>IF(OCTUBRE!P23&lt;&gt;"", OCTUBRE!P23, "")</f>
        <v/>
      </c>
      <c r="P23" s="83">
        <f>Tabla1[[#This Row],[SALARIO DIARIO]]</f>
        <v>492.46</v>
      </c>
      <c r="Q23" s="83">
        <f>Tabla15[[#This Row],[SUELDO MENSUAL]]/2</f>
        <v>7386.9</v>
      </c>
      <c r="R23" s="84">
        <f>Tabla1[[#This Row],[SUELDO MENSUAL]]</f>
        <v>14773.8</v>
      </c>
      <c r="S23" s="84">
        <f>Tabla15[[#This Row],[DESPENSA MENSUAL]]/2</f>
        <v>142</v>
      </c>
      <c r="T23" s="84">
        <f>Tabla1[[#This Row],[DESPENSA MENSUAL]]</f>
        <v>284</v>
      </c>
      <c r="U23" s="84">
        <f>Tabla15[[#This Row],[COMPENSACIÓN (J5)  MENSUAL]]/2</f>
        <v>13200</v>
      </c>
      <c r="V23" s="84">
        <f>Tabla1[[#This Row],[COMPENSACIÓN (J5)  MENSUAL]]</f>
        <v>26400</v>
      </c>
      <c r="W23" s="84">
        <f>Tabla1[[#This Row],[QUINQUENIO]]/2</f>
        <v>0</v>
      </c>
      <c r="X23" s="84">
        <f>Tabla1[[#This Row],[COMPENSACIÓN (J6) MENSUAL]]/2</f>
        <v>0</v>
      </c>
      <c r="Y23" s="85">
        <f t="shared" si="7"/>
        <v>20728.900000000001</v>
      </c>
      <c r="Z23" s="83">
        <f>Tabla1[[#This Row],[ISR MENSUAL]]/2</f>
        <v>3549.3472960000008</v>
      </c>
      <c r="AA23" s="40">
        <f>Q23*13%</f>
        <v>960.29700000000003</v>
      </c>
      <c r="AB23" s="43">
        <f t="shared" si="1"/>
        <v>4509.6442960000004</v>
      </c>
      <c r="AC23" s="44">
        <f t="shared" si="4"/>
        <v>16219.255704000001</v>
      </c>
      <c r="AD23" s="45">
        <v>0.19</v>
      </c>
      <c r="AE23" s="45">
        <f>R23*AD23</f>
        <v>2807.0219999999999</v>
      </c>
      <c r="AF23" s="46">
        <f t="shared" si="2"/>
        <v>295.476</v>
      </c>
      <c r="AG23" s="45">
        <f t="shared" si="3"/>
        <v>621.86700000000008</v>
      </c>
      <c r="AH23" s="44">
        <f t="shared" si="5"/>
        <v>3724.3650000000002</v>
      </c>
      <c r="AI23" s="47">
        <f t="shared" si="6"/>
        <v>24453.265000000003</v>
      </c>
    </row>
    <row r="24" spans="1:35" s="1" customFormat="1" ht="30" customHeight="1" x14ac:dyDescent="0.25">
      <c r="A24" s="71">
        <f>IF(OCTUBRE!A24&lt;&gt;"", OCTUBRE!A24, "")</f>
        <v>92700194</v>
      </c>
      <c r="B24" s="72" t="str">
        <f>IF(OCTUBRE!B24&lt;&gt;"", OCTUBRE!B24, "")</f>
        <v>184</v>
      </c>
      <c r="C24" s="72" t="str">
        <f>IF(OCTUBRE!C24&lt;&gt;"", OCTUBRE!C24, "")</f>
        <v>43</v>
      </c>
      <c r="D24" s="72" t="str">
        <f>IF(OCTUBRE!D24&lt;&gt;"", OCTUBRE!D24, "")</f>
        <v>G0805</v>
      </c>
      <c r="E24" s="37" t="str">
        <f>IF(OCTUBRE!E24&lt;&gt;"", OCTUBRE!E24, "")</f>
        <v>113022138DA3QG080500.0000043</v>
      </c>
      <c r="F24" s="31" t="str">
        <f>IF(OCTUBRE!F24&lt;&gt;"", OCTUBRE!F24, "")</f>
        <v>CARRERA DACOSTA SANDRA</v>
      </c>
      <c r="G24" s="31" t="str">
        <f>IF(OCTUBRE!G24&lt;&gt;"", OCTUBRE!G24, "")</f>
        <v>DEPARTAMENTO DE CONSULTA Y PARTICIPACIÓN</v>
      </c>
      <c r="H24" s="31" t="str">
        <f>IF(OCTUBRE!H24&lt;&gt;"", OCTUBRE!H24, "")</f>
        <v>Jefa de Departamento de Consulta y Participación</v>
      </c>
      <c r="I24" s="72" t="str">
        <f>IF(OCTUBRE!I24&lt;&gt;"", OCTUBRE!I24, "")</f>
        <v>CADS980512MPLRCN07</v>
      </c>
      <c r="J24" s="72" t="str">
        <f>IF(OCTUBRE!J24&lt;&gt;"", OCTUBRE!J24, "")</f>
        <v>CADS9805123T2</v>
      </c>
      <c r="K24" s="72" t="str">
        <f>IF(OCTUBRE!K24&lt;&gt;"", OCTUBRE!K24, "")</f>
        <v>ACTIVO</v>
      </c>
      <c r="L24" s="72" t="str">
        <f>IF(OCTUBRE!L24&lt;&gt;"", OCTUBRE!L24, "")</f>
        <v/>
      </c>
      <c r="M24" s="30" t="str">
        <f>IF(OCTUBRE!N24&lt;&gt;"", OCTUBRE!N24, "")</f>
        <v>X</v>
      </c>
      <c r="N24" s="30" t="str">
        <f>IF(OCTUBRE!O24&lt;&gt;"", OCTUBRE!O24, "")</f>
        <v>M</v>
      </c>
      <c r="O24" s="73" t="str">
        <f>IF(OCTUBRE!P24&lt;&gt;"", OCTUBRE!P24, "")</f>
        <v>27</v>
      </c>
      <c r="P24" s="83">
        <f>Tabla1[[#This Row],[SALARIO DIARIO]]</f>
        <v>278.8</v>
      </c>
      <c r="Q24" s="83">
        <f>Tabla15[[#This Row],[SUELDO MENSUAL]]/2</f>
        <v>4182</v>
      </c>
      <c r="R24" s="84">
        <f>Tabla1[[#This Row],[SUELDO MENSUAL]]</f>
        <v>8364</v>
      </c>
      <c r="S24" s="84">
        <f>Tabla15[[#This Row],[DESPENSA MENSUAL]]/2</f>
        <v>142</v>
      </c>
      <c r="T24" s="84">
        <f>Tabla1[[#This Row],[DESPENSA MENSUAL]]</f>
        <v>284</v>
      </c>
      <c r="U24" s="84">
        <f>Tabla15[[#This Row],[COMPENSACIÓN (J5)  MENSUAL]]/2</f>
        <v>5641.57</v>
      </c>
      <c r="V24" s="84">
        <f>Tabla1[[#This Row],[COMPENSACIÓN (J5)  MENSUAL]]</f>
        <v>11283.14</v>
      </c>
      <c r="W24" s="84">
        <f>Tabla1[[#This Row],[QUINQUENIO]]/2</f>
        <v>0</v>
      </c>
      <c r="X24" s="84">
        <f>Tabla1[[#This Row],[COMPENSACIÓN (J6) MENSUAL]]/2</f>
        <v>0</v>
      </c>
      <c r="Y24" s="85">
        <f t="shared" si="7"/>
        <v>9965.57</v>
      </c>
      <c r="Z24" s="83">
        <f>Tabla1[[#This Row],[ISR MENSUAL]]/2</f>
        <v>1184.4719319999997</v>
      </c>
      <c r="AA24" s="40">
        <f>(P24*30.4)*13%</f>
        <v>1101.8176000000001</v>
      </c>
      <c r="AB24" s="43">
        <f t="shared" si="1"/>
        <v>2286.2895319999998</v>
      </c>
      <c r="AC24" s="44">
        <f t="shared" si="4"/>
        <v>7679.2804679999999</v>
      </c>
      <c r="AD24" s="45">
        <v>0.26</v>
      </c>
      <c r="AE24" s="45">
        <f>(P24*30.4)*AD24</f>
        <v>2203.6352000000002</v>
      </c>
      <c r="AF24" s="46">
        <f t="shared" si="2"/>
        <v>167.28</v>
      </c>
      <c r="AG24" s="45">
        <f t="shared" si="3"/>
        <v>298.96709999999996</v>
      </c>
      <c r="AH24" s="44">
        <f t="shared" si="5"/>
        <v>2669.8823000000002</v>
      </c>
      <c r="AI24" s="47">
        <f t="shared" si="6"/>
        <v>12635.452300000001</v>
      </c>
    </row>
    <row r="25" spans="1:35" s="1" customFormat="1" ht="30" customHeight="1" x14ac:dyDescent="0.25">
      <c r="A25" s="71">
        <f>IF(OCTUBRE!A25&lt;&gt;"", OCTUBRE!A25, "")</f>
        <v>92700213</v>
      </c>
      <c r="B25" s="72" t="str">
        <f>IF(OCTUBRE!B25&lt;&gt;"", OCTUBRE!B25, "")</f>
        <v>184</v>
      </c>
      <c r="C25" s="72" t="str">
        <f>IF(OCTUBRE!C25&lt;&gt;"", OCTUBRE!C25, "")</f>
        <v>76</v>
      </c>
      <c r="D25" s="72" t="str">
        <f>IF(OCTUBRE!D25&lt;&gt;"", OCTUBRE!D25, "")</f>
        <v>G0808</v>
      </c>
      <c r="E25" s="37" t="str">
        <f>IF(OCTUBRE!E25&lt;&gt;"", OCTUBRE!E25, "")</f>
        <v>113222138DA3QG080800.0000009</v>
      </c>
      <c r="F25" s="31" t="str">
        <f>IF(OCTUBRE!F25&lt;&gt;"", OCTUBRE!F25, "")</f>
        <v>ZAMORA SILVA RODRIGO VALENTIN</v>
      </c>
      <c r="G25" s="31" t="str">
        <f>IF(OCTUBRE!G25&lt;&gt;"", OCTUBRE!G25, "")</f>
        <v>DIRECCIÓN DE DIÁLOGO Y CONCERTACIÓN</v>
      </c>
      <c r="H25" s="31" t="str">
        <f>IF(OCTUBRE!H25&lt;&gt;"", OCTUBRE!H25, "")</f>
        <v>Analista Especializado Consultivo C</v>
      </c>
      <c r="I25" s="72" t="str">
        <f>IF(OCTUBRE!I25&lt;&gt;"", OCTUBRE!I25, "")</f>
        <v>ZASR800314HPLMLD00</v>
      </c>
      <c r="J25" s="72" t="str">
        <f>IF(OCTUBRE!J25&lt;&gt;"", OCTUBRE!J25, "")</f>
        <v>ZASR800314E45</v>
      </c>
      <c r="K25" s="72" t="str">
        <f>IF(OCTUBRE!K25&lt;&gt;"", OCTUBRE!K25, "")</f>
        <v>ACTIVO</v>
      </c>
      <c r="L25" s="72" t="str">
        <f>IF(OCTUBRE!L25&lt;&gt;"", OCTUBRE!L25, "")</f>
        <v>01/01/2025</v>
      </c>
      <c r="M25" s="30" t="str">
        <f>IF(OCTUBRE!N25&lt;&gt;"", OCTUBRE!N25, "")</f>
        <v>X</v>
      </c>
      <c r="N25" s="30" t="str">
        <f>IF(OCTUBRE!O25&lt;&gt;"", OCTUBRE!O25, "")</f>
        <v>H</v>
      </c>
      <c r="O25" s="73" t="str">
        <f>IF(OCTUBRE!P25&lt;&gt;"", OCTUBRE!P25, "")</f>
        <v>45</v>
      </c>
      <c r="P25" s="83">
        <f>Tabla1[[#This Row],[SALARIO DIARIO]]</f>
        <v>278.8</v>
      </c>
      <c r="Q25" s="83">
        <f>Tabla15[[#This Row],[SUELDO MENSUAL]]/2</f>
        <v>4182</v>
      </c>
      <c r="R25" s="84">
        <f>Tabla1[[#This Row],[SUELDO MENSUAL]]</f>
        <v>8364</v>
      </c>
      <c r="S25" s="84">
        <f>Tabla15[[#This Row],[DESPENSA MENSUAL]]/2</f>
        <v>142</v>
      </c>
      <c r="T25" s="84">
        <f>Tabla1[[#This Row],[DESPENSA MENSUAL]]</f>
        <v>284</v>
      </c>
      <c r="U25" s="84">
        <f>Tabla15[[#This Row],[COMPENSACIÓN (J5)  MENSUAL]]/2</f>
        <v>5000</v>
      </c>
      <c r="V25" s="84">
        <f>Tabla1[[#This Row],[COMPENSACIÓN (J5)  MENSUAL]]</f>
        <v>10000</v>
      </c>
      <c r="W25" s="84">
        <f>Tabla1[[#This Row],[QUINQUENIO]]/2</f>
        <v>0</v>
      </c>
      <c r="X25" s="84">
        <f>Tabla1[[#This Row],[COMPENSACIÓN (J6) MENSUAL]]/2</f>
        <v>0</v>
      </c>
      <c r="Y25" s="85">
        <f t="shared" si="7"/>
        <v>9324</v>
      </c>
      <c r="Z25" s="83">
        <f>Tabla1[[#This Row],[ISR MENSUAL]]/2</f>
        <v>1047.4325799999997</v>
      </c>
      <c r="AA25" s="40">
        <f>(P25*30.4)*13%</f>
        <v>1101.8176000000001</v>
      </c>
      <c r="AB25" s="43">
        <f t="shared" si="1"/>
        <v>2149.25018</v>
      </c>
      <c r="AC25" s="44">
        <f t="shared" si="4"/>
        <v>7174.74982</v>
      </c>
      <c r="AD25" s="45">
        <v>0.26</v>
      </c>
      <c r="AE25" s="45">
        <f>(P25*30.4)*AD25</f>
        <v>2203.6352000000002</v>
      </c>
      <c r="AF25" s="46">
        <f t="shared" si="2"/>
        <v>167.28</v>
      </c>
      <c r="AG25" s="45">
        <f t="shared" si="3"/>
        <v>279.71999999999997</v>
      </c>
      <c r="AH25" s="44">
        <f t="shared" si="5"/>
        <v>2650.6352000000002</v>
      </c>
      <c r="AI25" s="47">
        <f t="shared" si="6"/>
        <v>11974.635200000001</v>
      </c>
    </row>
    <row r="26" spans="1:35" s="1" customFormat="1" ht="30" customHeight="1" x14ac:dyDescent="0.25">
      <c r="A26" s="71" t="str">
        <f>IF(OCTUBRE!A26&lt;&gt;"", OCTUBRE!A26, "")</f>
        <v/>
      </c>
      <c r="B26" s="72" t="str">
        <f>IF(OCTUBRE!B26&lt;&gt;"", OCTUBRE!B26, "")</f>
        <v/>
      </c>
      <c r="C26" s="72" t="str">
        <f>IF(OCTUBRE!C26&lt;&gt;"", OCTUBRE!C26, "")</f>
        <v/>
      </c>
      <c r="D26" s="72" t="str">
        <f>IF(OCTUBRE!D26&lt;&gt;"", OCTUBRE!D26, "")</f>
        <v/>
      </c>
      <c r="E26" s="37" t="str">
        <f>IF(OCTUBRE!E26&lt;&gt;"", OCTUBRE!E26, "")</f>
        <v>113022138DA3QG051000.0000044</v>
      </c>
      <c r="F26" s="31" t="str">
        <f>IF(OCTUBRE!F26&lt;&gt;"", OCTUBRE!F26, "")</f>
        <v>VACANTE</v>
      </c>
      <c r="G26" s="31" t="str">
        <f>IF(OCTUBRE!G26&lt;&gt;"", OCTUBRE!G26, "")</f>
        <v/>
      </c>
      <c r="H26" s="31" t="str">
        <f>IF(OCTUBRE!H26&lt;&gt;"", OCTUBRE!H26, "")</f>
        <v/>
      </c>
      <c r="I26" s="72" t="str">
        <f>IF(OCTUBRE!I26&lt;&gt;"", OCTUBRE!I26, "")</f>
        <v/>
      </c>
      <c r="J26" s="72" t="str">
        <f>IF(OCTUBRE!J26&lt;&gt;"", OCTUBRE!J26, "")</f>
        <v/>
      </c>
      <c r="K26" s="72" t="str">
        <f>IF(OCTUBRE!K26&lt;&gt;"", OCTUBRE!K26, "")</f>
        <v/>
      </c>
      <c r="L26" s="72" t="str">
        <f>IF(OCTUBRE!L26&lt;&gt;"", OCTUBRE!L26, "")</f>
        <v/>
      </c>
      <c r="M26" s="30" t="str">
        <f>IF(OCTUBRE!N26&lt;&gt;"", OCTUBRE!N26, "")</f>
        <v>X</v>
      </c>
      <c r="N26" s="30" t="str">
        <f>IF(OCTUBRE!O26&lt;&gt;"", OCTUBRE!O26, "")</f>
        <v/>
      </c>
      <c r="O26" s="73" t="str">
        <f>IF(OCTUBRE!P26&lt;&gt;"", OCTUBRE!P26, "")</f>
        <v/>
      </c>
      <c r="P26" s="83">
        <f>Tabla1[[#This Row],[SALARIO DIARIO]]</f>
        <v>278.8</v>
      </c>
      <c r="Q26" s="83">
        <f>Tabla15[[#This Row],[SUELDO MENSUAL]]/2</f>
        <v>4182</v>
      </c>
      <c r="R26" s="84">
        <f>Tabla1[[#This Row],[SUELDO MENSUAL]]</f>
        <v>8364</v>
      </c>
      <c r="S26" s="84">
        <f>Tabla15[[#This Row],[DESPENSA MENSUAL]]/2</f>
        <v>142</v>
      </c>
      <c r="T26" s="84">
        <f>Tabla1[[#This Row],[DESPENSA MENSUAL]]</f>
        <v>284</v>
      </c>
      <c r="U26" s="84">
        <f>Tabla15[[#This Row],[COMPENSACIÓN (J5)  MENSUAL]]/2</f>
        <v>5641.57</v>
      </c>
      <c r="V26" s="84">
        <f>Tabla1[[#This Row],[COMPENSACIÓN (J5)  MENSUAL]]</f>
        <v>11283.14</v>
      </c>
      <c r="W26" s="84">
        <f>Tabla1[[#This Row],[QUINQUENIO]]/2</f>
        <v>0</v>
      </c>
      <c r="X26" s="84">
        <f>Tabla1[[#This Row],[COMPENSACIÓN (J6) MENSUAL]]/2</f>
        <v>0</v>
      </c>
      <c r="Y26" s="85">
        <f t="shared" si="7"/>
        <v>9965.57</v>
      </c>
      <c r="Z26" s="83">
        <f>Tabla1[[#This Row],[ISR MENSUAL]]/2</f>
        <v>1184.4719319999997</v>
      </c>
      <c r="AA26" s="40">
        <f>(P26*30.4)*13%</f>
        <v>1101.8176000000001</v>
      </c>
      <c r="AB26" s="43">
        <f t="shared" si="1"/>
        <v>2286.2895319999998</v>
      </c>
      <c r="AC26" s="44">
        <f t="shared" si="4"/>
        <v>7679.2804679999999</v>
      </c>
      <c r="AD26" s="45">
        <v>0.26</v>
      </c>
      <c r="AE26" s="45">
        <f>(P26*30.4)*AD26</f>
        <v>2203.6352000000002</v>
      </c>
      <c r="AF26" s="46">
        <f t="shared" si="2"/>
        <v>167.28</v>
      </c>
      <c r="AG26" s="45">
        <f t="shared" si="3"/>
        <v>298.96709999999996</v>
      </c>
      <c r="AH26" s="44">
        <f t="shared" si="5"/>
        <v>2669.8823000000002</v>
      </c>
      <c r="AI26" s="47">
        <f t="shared" si="6"/>
        <v>12635.452300000001</v>
      </c>
    </row>
    <row r="27" spans="1:35" s="1" customFormat="1" ht="30" customHeight="1" x14ac:dyDescent="0.25">
      <c r="A27" s="71">
        <f>IF(OCTUBRE!A27&lt;&gt;"", OCTUBRE!A27, "")</f>
        <v>92700210</v>
      </c>
      <c r="B27" s="72" t="str">
        <f>IF(OCTUBRE!B27&lt;&gt;"", OCTUBRE!B27, "")</f>
        <v>185</v>
      </c>
      <c r="C27" s="72" t="str">
        <f>IF(OCTUBRE!C27&lt;&gt;"", OCTUBRE!C27, "")</f>
        <v>74</v>
      </c>
      <c r="D27" s="72" t="str">
        <f>IF(OCTUBRE!D27&lt;&gt;"", OCTUBRE!D27, "")</f>
        <v>G0808</v>
      </c>
      <c r="E27" s="37" t="str">
        <f>IF(OCTUBRE!E27&lt;&gt;"", OCTUBRE!E27, "")</f>
        <v>113222138DA3QG080800.0000010</v>
      </c>
      <c r="F27" s="31" t="str">
        <f>IF(OCTUBRE!F27&lt;&gt;"", OCTUBRE!F27, "")</f>
        <v>DIAZ MACARENO LENNICA</v>
      </c>
      <c r="G27" s="31" t="str">
        <f>IF(OCTUBRE!G27&lt;&gt;"", OCTUBRE!G27, "")</f>
        <v>DIRECCIÓN DE DIÁLOGO Y CONCERTACIÓN</v>
      </c>
      <c r="H27" s="31" t="str">
        <f>IF(OCTUBRE!H27&lt;&gt;"", OCTUBRE!H27, "")</f>
        <v>Analista Especializado Consultivo C</v>
      </c>
      <c r="I27" s="72" t="str">
        <f>IF(OCTUBRE!I27&lt;&gt;"", OCTUBRE!I27, "")</f>
        <v>DIML950624MPLZCN09</v>
      </c>
      <c r="J27" s="72" t="str">
        <f>IF(OCTUBRE!J27&lt;&gt;"", OCTUBRE!J27, "")</f>
        <v>DIML950624UQA</v>
      </c>
      <c r="K27" s="72" t="str">
        <f>IF(OCTUBRE!K27&lt;&gt;"", OCTUBRE!K27, "")</f>
        <v>ACTIVO</v>
      </c>
      <c r="L27" s="72" t="str">
        <f>IF(OCTUBRE!L27&lt;&gt;"", OCTUBRE!L27, "")</f>
        <v/>
      </c>
      <c r="M27" s="30" t="str">
        <f>IF(OCTUBRE!N27&lt;&gt;"", OCTUBRE!N27, "")</f>
        <v>X</v>
      </c>
      <c r="N27" s="30" t="str">
        <f>IF(OCTUBRE!O27&lt;&gt;"", OCTUBRE!O27, "")</f>
        <v>M</v>
      </c>
      <c r="O27" s="73" t="str">
        <f>IF(OCTUBRE!P27&lt;&gt;"", OCTUBRE!P27, "")</f>
        <v>30</v>
      </c>
      <c r="P27" s="83">
        <f>Tabla1[[#This Row],[SALARIO DIARIO]]</f>
        <v>278.8</v>
      </c>
      <c r="Q27" s="83">
        <f>Tabla15[[#This Row],[SUELDO MENSUAL]]/2</f>
        <v>4182</v>
      </c>
      <c r="R27" s="84">
        <f>Tabla1[[#This Row],[SUELDO MENSUAL]]</f>
        <v>8364</v>
      </c>
      <c r="S27" s="84">
        <f>Tabla15[[#This Row],[DESPENSA MENSUAL]]/2</f>
        <v>142</v>
      </c>
      <c r="T27" s="84">
        <f>Tabla1[[#This Row],[DESPENSA MENSUAL]]</f>
        <v>284</v>
      </c>
      <c r="U27" s="84">
        <f>Tabla15[[#This Row],[COMPENSACIÓN (J5)  MENSUAL]]/2</f>
        <v>5000</v>
      </c>
      <c r="V27" s="84">
        <f>Tabla1[[#This Row],[COMPENSACIÓN (J5)  MENSUAL]]</f>
        <v>10000</v>
      </c>
      <c r="W27" s="84">
        <f>Tabla1[[#This Row],[QUINQUENIO]]/2</f>
        <v>0</v>
      </c>
      <c r="X27" s="84">
        <f>Tabla1[[#This Row],[COMPENSACIÓN (J6) MENSUAL]]/2</f>
        <v>0</v>
      </c>
      <c r="Y27" s="85">
        <f t="shared" si="7"/>
        <v>9324</v>
      </c>
      <c r="Z27" s="83">
        <f>Tabla1[[#This Row],[ISR MENSUAL]]/2</f>
        <v>1047.4325799999997</v>
      </c>
      <c r="AA27" s="40">
        <f>(P27*30.4)*13%</f>
        <v>1101.8176000000001</v>
      </c>
      <c r="AB27" s="43">
        <f t="shared" si="1"/>
        <v>2149.25018</v>
      </c>
      <c r="AC27" s="44">
        <f t="shared" si="4"/>
        <v>7174.74982</v>
      </c>
      <c r="AD27" s="45">
        <v>0.26</v>
      </c>
      <c r="AE27" s="45">
        <f>(P27*30.4)*AD27</f>
        <v>2203.6352000000002</v>
      </c>
      <c r="AF27" s="46">
        <f t="shared" si="2"/>
        <v>167.28</v>
      </c>
      <c r="AG27" s="45">
        <f t="shared" si="3"/>
        <v>279.71999999999997</v>
      </c>
      <c r="AH27" s="44">
        <f t="shared" si="5"/>
        <v>2650.6352000000002</v>
      </c>
      <c r="AI27" s="47">
        <f t="shared" si="6"/>
        <v>11974.635200000001</v>
      </c>
    </row>
    <row r="28" spans="1:35" s="1" customFormat="1" ht="30" customHeight="1" x14ac:dyDescent="0.25">
      <c r="A28" s="71">
        <f>IF(OCTUBRE!A28&lt;&gt;"", OCTUBRE!A28, "")</f>
        <v>92700244</v>
      </c>
      <c r="B28" s="72" t="str">
        <f>IF(OCTUBRE!B28&lt;&gt;"", OCTUBRE!B28, "")</f>
        <v>167</v>
      </c>
      <c r="C28" s="72" t="str">
        <f>IF(OCTUBRE!C28&lt;&gt;"", OCTUBRE!C28, "")</f>
        <v>14</v>
      </c>
      <c r="D28" s="72" t="str">
        <f>IF(OCTUBRE!D28&lt;&gt;"", OCTUBRE!D28, "")</f>
        <v>G0808</v>
      </c>
      <c r="E28" s="37" t="str">
        <f>IF(OCTUBRE!E28&lt;&gt;"", OCTUBRE!E28, "")</f>
        <v>113222138DA3QG080800.0000011</v>
      </c>
      <c r="F28" s="31" t="str">
        <f>IF(OCTUBRE!F28&lt;&gt;"", OCTUBRE!F28, "")</f>
        <v>BALDERAS HERNANDEZ ANA KAREN</v>
      </c>
      <c r="G28" s="31" t="str">
        <f>IF(OCTUBRE!G28&lt;&gt;"", OCTUBRE!G28, "")</f>
        <v>DEPARTAMENTO DE COMUNICACIÓN INDIGENA</v>
      </c>
      <c r="H28" s="31" t="str">
        <f>IF(OCTUBRE!H28&lt;&gt;"", OCTUBRE!H28, "")</f>
        <v>Analista Especializado Consultivo C</v>
      </c>
      <c r="I28" s="72" t="str">
        <f>IF(OCTUBRE!I28&lt;&gt;"", OCTUBRE!I28, "")</f>
        <v>BAHA900124MPLLRN07</v>
      </c>
      <c r="J28" s="72" t="str">
        <f>IF(OCTUBRE!J28&lt;&gt;"", OCTUBRE!J28, "")</f>
        <v>BAHA900124QA6</v>
      </c>
      <c r="K28" s="72" t="str">
        <f>IF(OCTUBRE!K28&lt;&gt;"", OCTUBRE!K28, "")</f>
        <v>ACTIVO</v>
      </c>
      <c r="L28" s="72" t="str">
        <f>IF(OCTUBRE!L28&lt;&gt;"", OCTUBRE!L28, "")</f>
        <v>01/05/2025</v>
      </c>
      <c r="M28" s="30" t="str">
        <f>IF(OCTUBRE!N28&lt;&gt;"", OCTUBRE!N28, "")</f>
        <v>X</v>
      </c>
      <c r="N28" s="30" t="str">
        <f>IF(OCTUBRE!O28&lt;&gt;"", OCTUBRE!O28, "")</f>
        <v>M</v>
      </c>
      <c r="O28" s="73" t="str">
        <f>IF(OCTUBRE!P28&lt;&gt;"", OCTUBRE!P28, "")</f>
        <v>35</v>
      </c>
      <c r="P28" s="83">
        <f>Tabla1[[#This Row],[SALARIO DIARIO]]</f>
        <v>278.8</v>
      </c>
      <c r="Q28" s="83">
        <f>Tabla15[[#This Row],[SUELDO MENSUAL]]/2</f>
        <v>4182</v>
      </c>
      <c r="R28" s="84">
        <f>Tabla1[[#This Row],[SUELDO MENSUAL]]</f>
        <v>8364</v>
      </c>
      <c r="S28" s="84">
        <f>Tabla15[[#This Row],[DESPENSA MENSUAL]]/2</f>
        <v>142</v>
      </c>
      <c r="T28" s="84">
        <f>Tabla1[[#This Row],[DESPENSA MENSUAL]]</f>
        <v>284</v>
      </c>
      <c r="U28" s="84">
        <f>Tabla15[[#This Row],[COMPENSACIÓN (J5)  MENSUAL]]/2</f>
        <v>3008</v>
      </c>
      <c r="V28" s="84">
        <f>Tabla1[[#This Row],[COMPENSACIÓN (J5)  MENSUAL]]</f>
        <v>6016</v>
      </c>
      <c r="W28" s="84">
        <f>Tabla1[[#This Row],[QUINQUENIO]]/2</f>
        <v>0</v>
      </c>
      <c r="X28" s="84">
        <f>Tabla1[[#This Row],[COMPENSACIÓN (J6) MENSUAL]]/2</f>
        <v>0</v>
      </c>
      <c r="Y28" s="85">
        <f t="shared" si="7"/>
        <v>7332</v>
      </c>
      <c r="Z28" s="83">
        <f>Tabla1[[#This Row],[ISR MENSUAL]]/2</f>
        <v>671.30376000000012</v>
      </c>
      <c r="AA28" s="40">
        <f>(P28*30.4)*13%</f>
        <v>1101.8176000000001</v>
      </c>
      <c r="AB28" s="43">
        <f t="shared" si="1"/>
        <v>1773.1213600000001</v>
      </c>
      <c r="AC28" s="44">
        <f t="shared" si="4"/>
        <v>5558.8786399999999</v>
      </c>
      <c r="AD28" s="45">
        <v>0.26</v>
      </c>
      <c r="AE28" s="45">
        <f>(P28*30.4)*AD28</f>
        <v>2203.6352000000002</v>
      </c>
      <c r="AF28" s="46">
        <f t="shared" si="2"/>
        <v>167.28</v>
      </c>
      <c r="AG28" s="45">
        <f t="shared" si="3"/>
        <v>219.95999999999998</v>
      </c>
      <c r="AH28" s="44">
        <f t="shared" si="5"/>
        <v>2590.8752000000004</v>
      </c>
      <c r="AI28" s="47">
        <f t="shared" si="6"/>
        <v>9922.8752000000004</v>
      </c>
    </row>
    <row r="29" spans="1:35" s="1" customFormat="1" ht="30" customHeight="1" x14ac:dyDescent="0.25">
      <c r="A29" s="100">
        <f>IF(OCTUBRE!A29&lt;&gt;"", OCTUBRE!A29, "")</f>
        <v>92700200</v>
      </c>
      <c r="B29" s="72" t="str">
        <f>IF(OCTUBRE!B29&lt;&gt;"", OCTUBRE!B29, "")</f>
        <v>186</v>
      </c>
      <c r="C29" s="72" t="str">
        <f>IF(OCTUBRE!C29&lt;&gt;"", OCTUBRE!C29, "")</f>
        <v>47</v>
      </c>
      <c r="D29" s="72" t="str">
        <f>IF(OCTUBRE!D29&lt;&gt;"", OCTUBRE!D29, "")</f>
        <v>G0501</v>
      </c>
      <c r="E29" s="37" t="str">
        <f>IF(OCTUBRE!E29&lt;&gt;"", OCTUBRE!E29, "")</f>
        <v>113022138DA3QG050100.0000047</v>
      </c>
      <c r="F29" s="31" t="str">
        <f>IF(OCTUBRE!F29&lt;&gt;"", OCTUBRE!F29, "")</f>
        <v>SALAS PEREZ LUCERO</v>
      </c>
      <c r="G29" s="31" t="str">
        <f>IF(OCTUBRE!G29&lt;&gt;"", OCTUBRE!G29, "")</f>
        <v>DIRECCIÓN DE ACADEMIA DE LAS LENGUAS INDIGENAS</v>
      </c>
      <c r="H29" s="31" t="str">
        <f>IF(OCTUBRE!H29&lt;&gt;"", OCTUBRE!H29, "")</f>
        <v>DIRECTORA ACADEMIA DE LAS LENGUAS INDÍGENAS</v>
      </c>
      <c r="I29" s="72" t="str">
        <f>IF(OCTUBRE!I29&lt;&gt;"", OCTUBRE!I29, "")</f>
        <v>SAPL000720MPLLRCA3</v>
      </c>
      <c r="J29" s="72" t="str">
        <f>IF(OCTUBRE!J29&lt;&gt;"", OCTUBRE!J29, "")</f>
        <v>SAPL000720T5A</v>
      </c>
      <c r="K29" s="72" t="str">
        <f>IF(OCTUBRE!K29&lt;&gt;"", OCTUBRE!K29, "")</f>
        <v>ACTIVO</v>
      </c>
      <c r="L29" s="72" t="str">
        <f>IF(OCTUBRE!L29&lt;&gt;"", OCTUBRE!L29, "")</f>
        <v>14/12/2024</v>
      </c>
      <c r="M29" s="30" t="str">
        <f>IF(OCTUBRE!N29&lt;&gt;"", OCTUBRE!N29, "")</f>
        <v>X</v>
      </c>
      <c r="N29" s="30" t="str">
        <f>IF(OCTUBRE!O29&lt;&gt;"", OCTUBRE!O29, "")</f>
        <v>M</v>
      </c>
      <c r="O29" s="73" t="str">
        <f>IF(OCTUBRE!P29&lt;&gt;"", OCTUBRE!P29, "")</f>
        <v>25</v>
      </c>
      <c r="P29" s="83">
        <f>Tabla1[[#This Row],[SALARIO DIARIO]]</f>
        <v>492.46</v>
      </c>
      <c r="Q29" s="83">
        <f>Tabla15[[#This Row],[SUELDO MENSUAL]]/2</f>
        <v>7386.9</v>
      </c>
      <c r="R29" s="84">
        <f>Tabla1[[#This Row],[SUELDO MENSUAL]]</f>
        <v>14773.8</v>
      </c>
      <c r="S29" s="84">
        <f>Tabla15[[#This Row],[DESPENSA MENSUAL]]/2</f>
        <v>142</v>
      </c>
      <c r="T29" s="84">
        <f>Tabla1[[#This Row],[DESPENSA MENSUAL]]</f>
        <v>284</v>
      </c>
      <c r="U29" s="84">
        <f>Tabla15[[#This Row],[COMPENSACIÓN (J5)  MENSUAL]]/2</f>
        <v>13200</v>
      </c>
      <c r="V29" s="84">
        <f>Tabla1[[#This Row],[COMPENSACIÓN (J5)  MENSUAL]]</f>
        <v>26400</v>
      </c>
      <c r="W29" s="84">
        <f>Tabla1[[#This Row],[QUINQUENIO]]/2</f>
        <v>0</v>
      </c>
      <c r="X29" s="84">
        <f>Tabla1[[#This Row],[COMPENSACIÓN (J6) MENSUAL]]/2</f>
        <v>0</v>
      </c>
      <c r="Y29" s="85">
        <f t="shared" si="7"/>
        <v>20728.900000000001</v>
      </c>
      <c r="Z29" s="83">
        <f>Tabla1[[#This Row],[ISR MENSUAL]]/2</f>
        <v>3549.3472960000008</v>
      </c>
      <c r="AA29" s="40">
        <f>Q29*13%</f>
        <v>960.29700000000003</v>
      </c>
      <c r="AB29" s="43">
        <f t="shared" si="1"/>
        <v>4509.6442960000004</v>
      </c>
      <c r="AC29" s="44">
        <f t="shared" si="4"/>
        <v>16219.255704000001</v>
      </c>
      <c r="AD29" s="45">
        <v>0.26</v>
      </c>
      <c r="AE29" s="45">
        <f>R29*AD29</f>
        <v>3841.1880000000001</v>
      </c>
      <c r="AF29" s="46">
        <f t="shared" si="2"/>
        <v>295.476</v>
      </c>
      <c r="AG29" s="45">
        <f t="shared" si="3"/>
        <v>621.86700000000008</v>
      </c>
      <c r="AH29" s="44">
        <f t="shared" si="5"/>
        <v>4758.5309999999999</v>
      </c>
      <c r="AI29" s="47">
        <f t="shared" si="6"/>
        <v>25487.431</v>
      </c>
    </row>
    <row r="30" spans="1:35" s="1" customFormat="1" ht="30" customHeight="1" x14ac:dyDescent="0.25">
      <c r="A30" s="71">
        <f>IF(OCTUBRE!A30&lt;&gt;"", OCTUBRE!A30, "")</f>
        <v>92700220</v>
      </c>
      <c r="B30" s="72" t="str">
        <f>IF(OCTUBRE!B30&lt;&gt;"", OCTUBRE!B30, "")</f>
        <v>188</v>
      </c>
      <c r="C30" s="72" t="str">
        <f>IF(OCTUBRE!C30&lt;&gt;"", OCTUBRE!C30, "")</f>
        <v>48</v>
      </c>
      <c r="D30" s="72" t="str">
        <f>IF(OCTUBRE!D30&lt;&gt;"", OCTUBRE!D30, "")</f>
        <v>G0805</v>
      </c>
      <c r="E30" s="37" t="str">
        <f>IF(OCTUBRE!E30&lt;&gt;"", OCTUBRE!E30, "")</f>
        <v>113022138DA3QG080500.0000048</v>
      </c>
      <c r="F30" s="31" t="str">
        <f>IF(OCTUBRE!F30&lt;&gt;"", OCTUBRE!F30, "")</f>
        <v>MARTINEZ BAEZ HECTOR ROMUALDO</v>
      </c>
      <c r="G30" s="31" t="str">
        <f>IF(OCTUBRE!G30&lt;&gt;"", OCTUBRE!G30, "")</f>
        <v>DEPARTAMENTO DE DESARROLLO DE LENGUAS INDÍGENAS</v>
      </c>
      <c r="H30" s="31" t="str">
        <f>IF(OCTUBRE!H30&lt;&gt;"", OCTUBRE!H30, "")</f>
        <v>Jefe de Departamento</v>
      </c>
      <c r="I30" s="72" t="str">
        <f>IF(OCTUBRE!I30&lt;&gt;"", OCTUBRE!I30, "")</f>
        <v>MABH640207HPLRZC08</v>
      </c>
      <c r="J30" s="72" t="str">
        <f>IF(OCTUBRE!J30&lt;&gt;"", OCTUBRE!J30, "")</f>
        <v>MABH640207BX0</v>
      </c>
      <c r="K30" s="72" t="str">
        <f>IF(OCTUBRE!K30&lt;&gt;"", OCTUBRE!K30, "")</f>
        <v>ACTIVO</v>
      </c>
      <c r="L30" s="72" t="str">
        <f>IF(OCTUBRE!L30&lt;&gt;"", OCTUBRE!L30, "")</f>
        <v/>
      </c>
      <c r="M30" s="30" t="str">
        <f>IF(OCTUBRE!N30&lt;&gt;"", OCTUBRE!N30, "")</f>
        <v>X</v>
      </c>
      <c r="N30" s="30" t="str">
        <f>IF(OCTUBRE!O30&lt;&gt;"", OCTUBRE!O30, "")</f>
        <v>H</v>
      </c>
      <c r="O30" s="73" t="str">
        <f>IF(OCTUBRE!P30&lt;&gt;"", OCTUBRE!P30, "")</f>
        <v>61</v>
      </c>
      <c r="P30" s="83">
        <f>Tabla1[[#This Row],[SALARIO DIARIO]]</f>
        <v>278.8</v>
      </c>
      <c r="Q30" s="83">
        <f>Tabla15[[#This Row],[SUELDO MENSUAL]]/2</f>
        <v>4182</v>
      </c>
      <c r="R30" s="84">
        <f>Tabla1[[#This Row],[SUELDO MENSUAL]]</f>
        <v>8364</v>
      </c>
      <c r="S30" s="84">
        <f>Tabla15[[#This Row],[DESPENSA MENSUAL]]/2</f>
        <v>142</v>
      </c>
      <c r="T30" s="84">
        <f>Tabla1[[#This Row],[DESPENSA MENSUAL]]</f>
        <v>284</v>
      </c>
      <c r="U30" s="84">
        <f>Tabla15[[#This Row],[COMPENSACIÓN (J5)  MENSUAL]]/2</f>
        <v>5641.57</v>
      </c>
      <c r="V30" s="84">
        <f>Tabla1[[#This Row],[COMPENSACIÓN (J5)  MENSUAL]]</f>
        <v>11283.14</v>
      </c>
      <c r="W30" s="84">
        <f>Tabla1[[#This Row],[QUINQUENIO]]/2</f>
        <v>0</v>
      </c>
      <c r="X30" s="84">
        <f>Tabla1[[#This Row],[COMPENSACIÓN (J6) MENSUAL]]/2</f>
        <v>0</v>
      </c>
      <c r="Y30" s="85">
        <f t="shared" si="7"/>
        <v>9965.57</v>
      </c>
      <c r="Z30" s="83">
        <f>Tabla1[[#This Row],[ISR MENSUAL]]/2</f>
        <v>1184.4719319999997</v>
      </c>
      <c r="AA30" s="40">
        <f>(P30*30.4)*13%</f>
        <v>1101.8176000000001</v>
      </c>
      <c r="AB30" s="43">
        <f t="shared" si="1"/>
        <v>2286.2895319999998</v>
      </c>
      <c r="AC30" s="44">
        <f t="shared" si="4"/>
        <v>7679.2804679999999</v>
      </c>
      <c r="AD30" s="45">
        <v>0.19</v>
      </c>
      <c r="AE30" s="45">
        <f>(P30*30.4)*AD30</f>
        <v>1610.3488000000002</v>
      </c>
      <c r="AF30" s="46">
        <f t="shared" si="2"/>
        <v>167.28</v>
      </c>
      <c r="AG30" s="45">
        <f t="shared" si="3"/>
        <v>298.96709999999996</v>
      </c>
      <c r="AH30" s="44">
        <f t="shared" si="5"/>
        <v>2076.5959000000003</v>
      </c>
      <c r="AI30" s="47">
        <f t="shared" si="6"/>
        <v>12042.1659</v>
      </c>
    </row>
    <row r="31" spans="1:35" s="1" customFormat="1" ht="30" customHeight="1" x14ac:dyDescent="0.25">
      <c r="A31" s="71" t="str">
        <f>IF(OCTUBRE!A31&lt;&gt;"", OCTUBRE!A31, "")</f>
        <v/>
      </c>
      <c r="B31" s="72" t="str">
        <f>IF(OCTUBRE!B31&lt;&gt;"", OCTUBRE!B31, "")</f>
        <v/>
      </c>
      <c r="C31" s="72" t="str">
        <f>IF(OCTUBRE!C31&lt;&gt;"", OCTUBRE!C31, "")</f>
        <v/>
      </c>
      <c r="D31" s="72" t="str">
        <f>IF(OCTUBRE!D31&lt;&gt;"", OCTUBRE!D31, "")</f>
        <v/>
      </c>
      <c r="E31" s="37" t="str">
        <f>IF(OCTUBRE!E31&lt;&gt;"", OCTUBRE!E31, "")</f>
        <v>113222138DA3QG080800.0000012</v>
      </c>
      <c r="F31" s="31" t="str">
        <f>IF(OCTUBRE!F31&lt;&gt;"", OCTUBRE!F31, "")</f>
        <v>VACANTE</v>
      </c>
      <c r="G31" s="31" t="str">
        <f>IF(OCTUBRE!G31&lt;&gt;"", OCTUBRE!G31, "")</f>
        <v/>
      </c>
      <c r="H31" s="31" t="str">
        <f>IF(OCTUBRE!H31&lt;&gt;"", OCTUBRE!H31, "")</f>
        <v/>
      </c>
      <c r="I31" s="72" t="str">
        <f>IF(OCTUBRE!I31&lt;&gt;"", OCTUBRE!I31, "")</f>
        <v/>
      </c>
      <c r="J31" s="72" t="str">
        <f>IF(OCTUBRE!J31&lt;&gt;"", OCTUBRE!J31, "")</f>
        <v/>
      </c>
      <c r="K31" s="72" t="str">
        <f>IF(OCTUBRE!K31&lt;&gt;"", OCTUBRE!K31, "")</f>
        <v/>
      </c>
      <c r="L31" s="72" t="str">
        <f>IF(OCTUBRE!L31&lt;&gt;"", OCTUBRE!L31, "")</f>
        <v/>
      </c>
      <c r="M31" s="30" t="str">
        <f>IF(OCTUBRE!N31&lt;&gt;"", OCTUBRE!N31, "")</f>
        <v>X</v>
      </c>
      <c r="N31" s="30" t="str">
        <f>IF(OCTUBRE!O31&lt;&gt;"", OCTUBRE!O31, "")</f>
        <v/>
      </c>
      <c r="O31" s="73" t="str">
        <f>IF(OCTUBRE!P31&lt;&gt;"", OCTUBRE!P31, "")</f>
        <v/>
      </c>
      <c r="P31" s="83">
        <f>Tabla1[[#This Row],[SALARIO DIARIO]]</f>
        <v>278.8</v>
      </c>
      <c r="Q31" s="83">
        <f>Tabla15[[#This Row],[SUELDO MENSUAL]]/2</f>
        <v>4182</v>
      </c>
      <c r="R31" s="84">
        <f>Tabla1[[#This Row],[SUELDO MENSUAL]]</f>
        <v>8364</v>
      </c>
      <c r="S31" s="84">
        <f>Tabla15[[#This Row],[DESPENSA MENSUAL]]/2</f>
        <v>142</v>
      </c>
      <c r="T31" s="84">
        <f>Tabla1[[#This Row],[DESPENSA MENSUAL]]</f>
        <v>284</v>
      </c>
      <c r="U31" s="84">
        <f>Tabla15[[#This Row],[COMPENSACIÓN (J5)  MENSUAL]]/2</f>
        <v>5000</v>
      </c>
      <c r="V31" s="84">
        <f>Tabla1[[#This Row],[COMPENSACIÓN (J5)  MENSUAL]]</f>
        <v>10000</v>
      </c>
      <c r="W31" s="84">
        <f>Tabla1[[#This Row],[QUINQUENIO]]/2</f>
        <v>0</v>
      </c>
      <c r="X31" s="84">
        <f>Tabla1[[#This Row],[COMPENSACIÓN (J6) MENSUAL]]/2</f>
        <v>0</v>
      </c>
      <c r="Y31" s="85">
        <f t="shared" si="7"/>
        <v>9324</v>
      </c>
      <c r="Z31" s="83">
        <f>Tabla1[[#This Row],[ISR MENSUAL]]/2</f>
        <v>1047.4325799999997</v>
      </c>
      <c r="AA31" s="40">
        <f>(P31*30.4)*13%</f>
        <v>1101.8176000000001</v>
      </c>
      <c r="AB31" s="43">
        <f t="shared" si="1"/>
        <v>2149.25018</v>
      </c>
      <c r="AC31" s="44">
        <f t="shared" si="4"/>
        <v>7174.74982</v>
      </c>
      <c r="AD31" s="45">
        <v>0.26</v>
      </c>
      <c r="AE31" s="45">
        <f>(P31*30.4)*AD31</f>
        <v>2203.6352000000002</v>
      </c>
      <c r="AF31" s="46">
        <f t="shared" si="2"/>
        <v>167.28</v>
      </c>
      <c r="AG31" s="45">
        <f t="shared" si="3"/>
        <v>279.71999999999997</v>
      </c>
      <c r="AH31" s="44">
        <f t="shared" si="5"/>
        <v>2650.6352000000002</v>
      </c>
      <c r="AI31" s="47">
        <f t="shared" si="6"/>
        <v>11974.635200000001</v>
      </c>
    </row>
    <row r="32" spans="1:35" s="1" customFormat="1" ht="30" customHeight="1" x14ac:dyDescent="0.25">
      <c r="A32" s="71" t="str">
        <f>IF(OCTUBRE!A32&lt;&gt;"", OCTUBRE!A32, "")</f>
        <v/>
      </c>
      <c r="B32" s="72" t="str">
        <f>IF(OCTUBRE!B32&lt;&gt;"", OCTUBRE!B32, "")</f>
        <v/>
      </c>
      <c r="C32" s="72" t="str">
        <f>IF(OCTUBRE!C32&lt;&gt;"", OCTUBRE!C32, "")</f>
        <v/>
      </c>
      <c r="D32" s="72" t="str">
        <f>IF(OCTUBRE!D32&lt;&gt;"", OCTUBRE!D32, "")</f>
        <v/>
      </c>
      <c r="E32" s="37" t="str">
        <f>IF(OCTUBRE!E32&lt;&gt;"", OCTUBRE!E32, "")</f>
        <v>113022138DA3QG080500.0000049</v>
      </c>
      <c r="F32" s="31" t="str">
        <f>IF(OCTUBRE!F32&lt;&gt;"", OCTUBRE!F32, "")</f>
        <v>VACANTE</v>
      </c>
      <c r="G32" s="31" t="str">
        <f>IF(OCTUBRE!G32&lt;&gt;"", OCTUBRE!G32, "")</f>
        <v/>
      </c>
      <c r="H32" s="31" t="str">
        <f>IF(OCTUBRE!H32&lt;&gt;"", OCTUBRE!H32, "")</f>
        <v/>
      </c>
      <c r="I32" s="72" t="str">
        <f>IF(OCTUBRE!I32&lt;&gt;"", OCTUBRE!I32, "")</f>
        <v/>
      </c>
      <c r="J32" s="72" t="str">
        <f>IF(OCTUBRE!J32&lt;&gt;"", OCTUBRE!J32, "")</f>
        <v/>
      </c>
      <c r="K32" s="72" t="str">
        <f>IF(OCTUBRE!K32&lt;&gt;"", OCTUBRE!K32, "")</f>
        <v/>
      </c>
      <c r="L32" s="72" t="str">
        <f>IF(OCTUBRE!L32&lt;&gt;"", OCTUBRE!L32, "")</f>
        <v/>
      </c>
      <c r="M32" s="30" t="str">
        <f>IF(OCTUBRE!N32&lt;&gt;"", OCTUBRE!N32, "")</f>
        <v>X</v>
      </c>
      <c r="N32" s="30" t="str">
        <f>IF(OCTUBRE!O32&lt;&gt;"", OCTUBRE!O32, "")</f>
        <v/>
      </c>
      <c r="O32" s="73" t="str">
        <f>IF(OCTUBRE!P32&lt;&gt;"", OCTUBRE!P32, "")</f>
        <v/>
      </c>
      <c r="P32" s="83">
        <f>Tabla1[[#This Row],[SALARIO DIARIO]]</f>
        <v>278.8</v>
      </c>
      <c r="Q32" s="83">
        <f>Tabla15[[#This Row],[SUELDO MENSUAL]]/2</f>
        <v>4182</v>
      </c>
      <c r="R32" s="84">
        <f>Tabla1[[#This Row],[SUELDO MENSUAL]]</f>
        <v>8364</v>
      </c>
      <c r="S32" s="84">
        <f>Tabla15[[#This Row],[DESPENSA MENSUAL]]/2</f>
        <v>142</v>
      </c>
      <c r="T32" s="84">
        <f>Tabla1[[#This Row],[DESPENSA MENSUAL]]</f>
        <v>284</v>
      </c>
      <c r="U32" s="84">
        <f>Tabla15[[#This Row],[COMPENSACIÓN (J5)  MENSUAL]]/2</f>
        <v>5641.57</v>
      </c>
      <c r="V32" s="84">
        <f>Tabla1[[#This Row],[COMPENSACIÓN (J5)  MENSUAL]]</f>
        <v>11283.14</v>
      </c>
      <c r="W32" s="84">
        <f>Tabla1[[#This Row],[QUINQUENIO]]/2</f>
        <v>0</v>
      </c>
      <c r="X32" s="84">
        <f>Tabla1[[#This Row],[COMPENSACIÓN (J6) MENSUAL]]/2</f>
        <v>0</v>
      </c>
      <c r="Y32" s="85">
        <f t="shared" si="7"/>
        <v>9965.57</v>
      </c>
      <c r="Z32" s="83">
        <f>Tabla1[[#This Row],[ISR MENSUAL]]/2</f>
        <v>1184.4719319999997</v>
      </c>
      <c r="AA32" s="40">
        <f>(P32*30.4)*13%</f>
        <v>1101.8176000000001</v>
      </c>
      <c r="AB32" s="43">
        <f t="shared" si="1"/>
        <v>2286.2895319999998</v>
      </c>
      <c r="AC32" s="44">
        <f t="shared" si="4"/>
        <v>7679.2804679999999</v>
      </c>
      <c r="AD32" s="45">
        <v>0.26</v>
      </c>
      <c r="AE32" s="45">
        <f>(P32*30.4)*AD32</f>
        <v>2203.6352000000002</v>
      </c>
      <c r="AF32" s="46">
        <f t="shared" si="2"/>
        <v>167.28</v>
      </c>
      <c r="AG32" s="45">
        <f t="shared" si="3"/>
        <v>298.96709999999996</v>
      </c>
      <c r="AH32" s="44">
        <f t="shared" si="5"/>
        <v>2669.8823000000002</v>
      </c>
      <c r="AI32" s="47">
        <f t="shared" si="6"/>
        <v>12635.452300000001</v>
      </c>
    </row>
    <row r="33" spans="1:35" s="1" customFormat="1" ht="30" customHeight="1" x14ac:dyDescent="0.25">
      <c r="A33" s="71">
        <f>IF(OCTUBRE!A33&lt;&gt;"", OCTUBRE!A33, "")</f>
        <v>92700132</v>
      </c>
      <c r="B33" s="72" t="str">
        <f>IF(OCTUBRE!B33&lt;&gt;"", OCTUBRE!B33, "")</f>
        <v>189</v>
      </c>
      <c r="C33" s="72" t="str">
        <f>IF(OCTUBRE!C33&lt;&gt;"", OCTUBRE!C33, "")</f>
        <v>49</v>
      </c>
      <c r="D33" s="72" t="str">
        <f>IF(OCTUBRE!D33&lt;&gt;"", OCTUBRE!D33, "")</f>
        <v>G0805</v>
      </c>
      <c r="E33" s="37" t="str">
        <f>IF(OCTUBRE!E33&lt;&gt;"", OCTUBRE!E33, "")</f>
        <v>113222138DA3QG080800.0000014</v>
      </c>
      <c r="F33" s="31" t="str">
        <f>IF(OCTUBRE!F33&lt;&gt;"", OCTUBRE!F33, "")</f>
        <v>ALDANA RAMIREZ ZAHIRA</v>
      </c>
      <c r="G33" s="31" t="str">
        <f>IF(OCTUBRE!G33&lt;&gt;"", OCTUBRE!G33, "")</f>
        <v>DIRECCIÓN ACADEMIA DE LAS LENGUAS INDÍGENAS</v>
      </c>
      <c r="H33" s="31" t="str">
        <f>IF(OCTUBRE!H33&lt;&gt;"", OCTUBRE!H33, "")</f>
        <v>Jefe de Departamento de Formación de Traductores e Intérpretes</v>
      </c>
      <c r="I33" s="72" t="str">
        <f>IF(OCTUBRE!I33&lt;&gt;"", OCTUBRE!I33, "")</f>
        <v>AARZ950820MPLLMH05</v>
      </c>
      <c r="J33" s="72" t="str">
        <f>IF(OCTUBRE!J33&lt;&gt;"", OCTUBRE!J33, "")</f>
        <v>AARZ950820LC4</v>
      </c>
      <c r="K33" s="72" t="str">
        <f>IF(OCTUBRE!K33&lt;&gt;"", OCTUBRE!K33, "")</f>
        <v>ACTIVO</v>
      </c>
      <c r="L33" s="72" t="str">
        <f>IF(OCTUBRE!L33&lt;&gt;"", OCTUBRE!L33, "")</f>
        <v/>
      </c>
      <c r="M33" s="30" t="str">
        <f>IF(OCTUBRE!N33&lt;&gt;"", OCTUBRE!N33, "")</f>
        <v>X</v>
      </c>
      <c r="N33" s="30" t="str">
        <f>IF(OCTUBRE!O33&lt;&gt;"", OCTUBRE!O33, "")</f>
        <v>M</v>
      </c>
      <c r="O33" s="73" t="str">
        <f>IF(OCTUBRE!P33&lt;&gt;"", OCTUBRE!P33, "")</f>
        <v>30</v>
      </c>
      <c r="P33" s="83">
        <f>Tabla1[[#This Row],[SALARIO DIARIO]]</f>
        <v>278.8</v>
      </c>
      <c r="Q33" s="83">
        <f>Tabla15[[#This Row],[SUELDO MENSUAL]]/2</f>
        <v>4182</v>
      </c>
      <c r="R33" s="84">
        <f>Tabla1[[#This Row],[SUELDO MENSUAL]]</f>
        <v>8364</v>
      </c>
      <c r="S33" s="84">
        <f>Tabla15[[#This Row],[DESPENSA MENSUAL]]/2</f>
        <v>142</v>
      </c>
      <c r="T33" s="84">
        <f>Tabla1[[#This Row],[DESPENSA MENSUAL]]</f>
        <v>284</v>
      </c>
      <c r="U33" s="84">
        <f>Tabla15[[#This Row],[COMPENSACIÓN (J5)  MENSUAL]]/2</f>
        <v>5000</v>
      </c>
      <c r="V33" s="84">
        <f>Tabla1[[#This Row],[COMPENSACIÓN (J5)  MENSUAL]]</f>
        <v>10000</v>
      </c>
      <c r="W33" s="84">
        <f>Tabla1[[#This Row],[QUINQUENIO]]/2</f>
        <v>43.75</v>
      </c>
      <c r="X33" s="84">
        <f>Tabla1[[#This Row],[COMPENSACIÓN (J6) MENSUAL]]/2</f>
        <v>0</v>
      </c>
      <c r="Y33" s="85">
        <f t="shared" si="7"/>
        <v>9367.75</v>
      </c>
      <c r="Z33" s="83">
        <f>Tabla1[[#This Row],[ISR MENSUAL]]/2</f>
        <v>1056.7775799999997</v>
      </c>
      <c r="AA33" s="40">
        <f>(P33*30.4)*13%</f>
        <v>1101.8176000000001</v>
      </c>
      <c r="AB33" s="43">
        <f t="shared" si="1"/>
        <v>2158.5951799999998</v>
      </c>
      <c r="AC33" s="44">
        <f t="shared" si="4"/>
        <v>7209.1548199999997</v>
      </c>
      <c r="AD33" s="45">
        <v>0.26</v>
      </c>
      <c r="AE33" s="45">
        <f>(P33*30.4)*AD33</f>
        <v>2203.6352000000002</v>
      </c>
      <c r="AF33" s="46">
        <f t="shared" si="2"/>
        <v>167.28</v>
      </c>
      <c r="AG33" s="45">
        <f t="shared" si="3"/>
        <v>281.03249999999997</v>
      </c>
      <c r="AH33" s="44">
        <f t="shared" si="5"/>
        <v>2651.9477000000002</v>
      </c>
      <c r="AI33" s="47">
        <f t="shared" si="6"/>
        <v>12019.697700000001</v>
      </c>
    </row>
    <row r="34" spans="1:35" s="1" customFormat="1" ht="30" customHeight="1" x14ac:dyDescent="0.25">
      <c r="A34" s="71">
        <f>IF(OCTUBRE!A34&lt;&gt;"", OCTUBRE!A34, "")</f>
        <v>92700132</v>
      </c>
      <c r="B34" s="72" t="str">
        <f>IF(OCTUBRE!B34&lt;&gt;"", OCTUBRE!B34, "")</f>
        <v>189</v>
      </c>
      <c r="C34" s="72" t="str">
        <f>IF(OCTUBRE!C34&lt;&gt;"", OCTUBRE!C34, "")</f>
        <v>49</v>
      </c>
      <c r="D34" s="72" t="str">
        <f>IF(OCTUBRE!D34&lt;&gt;"", OCTUBRE!D34, "")</f>
        <v>G0805</v>
      </c>
      <c r="E34" s="37" t="str">
        <f>IF(OCTUBRE!E34&lt;&gt;"", OCTUBRE!E34, "")</f>
        <v>113222138DA3QG080800.0000014</v>
      </c>
      <c r="F34" s="31" t="str">
        <f>IF(OCTUBRE!F34&lt;&gt;"", OCTUBRE!F34, "")</f>
        <v>ALDANA RAMIREZ ZAHIRA</v>
      </c>
      <c r="G34" s="31" t="str">
        <f>IF(OCTUBRE!G34&lt;&gt;"", OCTUBRE!G34, "")</f>
        <v>DIRECCIÓN ACADEMIA DE LAS LENGUAS INDÍGENAS</v>
      </c>
      <c r="H34" s="31" t="str">
        <f>IF(OCTUBRE!H34&lt;&gt;"", OCTUBRE!H34, "")</f>
        <v>Jefe de Departamento de Formación de Traductores e Intérpretes</v>
      </c>
      <c r="I34" s="72" t="str">
        <f>IF(OCTUBRE!I34&lt;&gt;"", OCTUBRE!I34, "")</f>
        <v>AARZ950820MPLLMH05</v>
      </c>
      <c r="J34" s="72" t="str">
        <f>IF(OCTUBRE!J34&lt;&gt;"", OCTUBRE!J34, "")</f>
        <v>AARZ950820LC4</v>
      </c>
      <c r="K34" s="72" t="str">
        <f>IF(OCTUBRE!K34&lt;&gt;"", OCTUBRE!K34, "")</f>
        <v>ACTIVO</v>
      </c>
      <c r="L34" s="72" t="str">
        <f>IF(OCTUBRE!L34&lt;&gt;"", OCTUBRE!L34, "")</f>
        <v/>
      </c>
      <c r="M34" s="30" t="str">
        <f>IF(OCTUBRE!N34&lt;&gt;"", OCTUBRE!N34, "")</f>
        <v>X</v>
      </c>
      <c r="N34" s="30" t="str">
        <f>IF(OCTUBRE!O34&lt;&gt;"", OCTUBRE!O34, "")</f>
        <v>M</v>
      </c>
      <c r="O34" s="73" t="str">
        <f>IF(OCTUBRE!P34&lt;&gt;"", OCTUBRE!P34, "")</f>
        <v>30</v>
      </c>
      <c r="P34" s="83">
        <f>Tabla1[[#This Row],[SALARIO DIARIO]]</f>
        <v>278.8</v>
      </c>
      <c r="Q34" s="83">
        <f>Tabla15[[#This Row],[SUELDO MENSUAL]]/2</f>
        <v>4182</v>
      </c>
      <c r="R34" s="84">
        <f>Tabla1[[#This Row],[SUELDO MENSUAL]]</f>
        <v>8364</v>
      </c>
      <c r="S34" s="84">
        <f>Tabla15[[#This Row],[DESPENSA MENSUAL]]/2</f>
        <v>142</v>
      </c>
      <c r="T34" s="84">
        <f>Tabla1[[#This Row],[DESPENSA MENSUAL]]</f>
        <v>284</v>
      </c>
      <c r="U34" s="84">
        <f>Tabla15[[#This Row],[COMPENSACIÓN (J5)  MENSUAL]]/2</f>
        <v>3008</v>
      </c>
      <c r="V34" s="84">
        <f>Tabla1[[#This Row],[COMPENSACIÓN (J5)  MENSUAL]]</f>
        <v>6016</v>
      </c>
      <c r="W34" s="84">
        <f>Tabla1[[#This Row],[QUINQUENIO]]/2</f>
        <v>0</v>
      </c>
      <c r="X34" s="84">
        <f>Tabla1[[#This Row],[COMPENSACIÓN (J6) MENSUAL]]/2</f>
        <v>0</v>
      </c>
      <c r="Y34" s="85">
        <f t="shared" si="7"/>
        <v>7332</v>
      </c>
      <c r="Z34" s="83">
        <f>Tabla1[[#This Row],[ISR MENSUAL]]/2</f>
        <v>671.30376000000012</v>
      </c>
      <c r="AA34" s="40">
        <f>(P34*30.4)*13%</f>
        <v>1101.8176000000001</v>
      </c>
      <c r="AB34" s="43">
        <f t="shared" si="1"/>
        <v>1773.1213600000001</v>
      </c>
      <c r="AC34" s="44">
        <f t="shared" si="4"/>
        <v>5558.8786399999999</v>
      </c>
      <c r="AD34" s="45">
        <v>0.26</v>
      </c>
      <c r="AE34" s="45">
        <f>(P34*30.4)*AD34</f>
        <v>2203.6352000000002</v>
      </c>
      <c r="AF34" s="46">
        <f t="shared" si="2"/>
        <v>167.28</v>
      </c>
      <c r="AG34" s="45">
        <f t="shared" si="3"/>
        <v>219.95999999999998</v>
      </c>
      <c r="AH34" s="44">
        <f t="shared" si="5"/>
        <v>2590.8752000000004</v>
      </c>
      <c r="AI34" s="47">
        <f t="shared" si="6"/>
        <v>9922.8752000000004</v>
      </c>
    </row>
    <row r="35" spans="1:35" s="1" customFormat="1" ht="30" customHeight="1" x14ac:dyDescent="0.25">
      <c r="A35" s="100">
        <f>IF(OCTUBRE!A35&lt;&gt;"", OCTUBRE!A35, "")</f>
        <v>92700239</v>
      </c>
      <c r="B35" s="72" t="str">
        <f>IF(OCTUBRE!B35&lt;&gt;"", OCTUBRE!B35, "")</f>
        <v>191</v>
      </c>
      <c r="C35" s="72" t="str">
        <f>IF(OCTUBRE!C35&lt;&gt;"", OCTUBRE!C35, "")</f>
        <v>51</v>
      </c>
      <c r="D35" s="72" t="str">
        <f>IF(OCTUBRE!D35&lt;&gt;"", OCTUBRE!D35, "")</f>
        <v>G0501</v>
      </c>
      <c r="E35" s="37" t="str">
        <f>IF(OCTUBRE!E35&lt;&gt;"", OCTUBRE!E35, "")</f>
        <v>113022138DA3QG050100.0000007</v>
      </c>
      <c r="F35" s="31" t="str">
        <f>IF(OCTUBRE!F35&lt;&gt;"", OCTUBRE!F35, "")</f>
        <v>ABURTO RODRIGUEZ JESSICA</v>
      </c>
      <c r="G35" s="31" t="str">
        <f>IF(OCTUBRE!G35&lt;&gt;"", OCTUBRE!G35, "")</f>
        <v>DIRECCIÓN DE ADMINISTRACIÓN Y FINANZAS</v>
      </c>
      <c r="H35" s="31" t="str">
        <f>IF(OCTUBRE!H35&lt;&gt;"", OCTUBRE!H35, "")</f>
        <v>Directora de Administración y Finanzas</v>
      </c>
      <c r="I35" s="72" t="str">
        <f>IF(OCTUBRE!I35&lt;&gt;"", OCTUBRE!I35, "")</f>
        <v>AURJ960422MPLBDS06</v>
      </c>
      <c r="J35" s="72" t="str">
        <f>IF(OCTUBRE!J35&lt;&gt;"", OCTUBRE!J35, "")</f>
        <v>AURJ960422H34</v>
      </c>
      <c r="K35" s="72" t="str">
        <f>IF(OCTUBRE!K35&lt;&gt;"", OCTUBRE!K35, "")</f>
        <v>ACTIVO</v>
      </c>
      <c r="L35" s="72" t="str">
        <f>IF(OCTUBRE!L35&lt;&gt;"", OCTUBRE!L35, "")</f>
        <v>16/03/2025</v>
      </c>
      <c r="M35" s="30" t="str">
        <f>IF(OCTUBRE!N35&lt;&gt;"", OCTUBRE!N35, "")</f>
        <v>X</v>
      </c>
      <c r="N35" s="30" t="str">
        <f>IF(OCTUBRE!O35&lt;&gt;"", OCTUBRE!O35, "")</f>
        <v>M</v>
      </c>
      <c r="O35" s="73" t="str">
        <f>IF(OCTUBRE!P35&lt;&gt;"", OCTUBRE!P35, "")</f>
        <v>29</v>
      </c>
      <c r="P35" s="83">
        <f>Tabla1[[#This Row],[SALARIO DIARIO]]</f>
        <v>492.46</v>
      </c>
      <c r="Q35" s="83">
        <f>Tabla15[[#This Row],[SUELDO MENSUAL]]/2</f>
        <v>7386.9</v>
      </c>
      <c r="R35" s="84">
        <f>Tabla1[[#This Row],[SUELDO MENSUAL]]</f>
        <v>14773.8</v>
      </c>
      <c r="S35" s="84">
        <f>Tabla15[[#This Row],[DESPENSA MENSUAL]]/2</f>
        <v>142</v>
      </c>
      <c r="T35" s="84">
        <f>Tabla1[[#This Row],[DESPENSA MENSUAL]]</f>
        <v>284</v>
      </c>
      <c r="U35" s="84">
        <f>Tabla15[[#This Row],[COMPENSACIÓN (J5)  MENSUAL]]/2</f>
        <v>13200</v>
      </c>
      <c r="V35" s="84">
        <f>Tabla1[[#This Row],[COMPENSACIÓN (J5)  MENSUAL]]</f>
        <v>26400</v>
      </c>
      <c r="W35" s="84">
        <f>Tabla1[[#This Row],[QUINQUENIO]]/2</f>
        <v>0</v>
      </c>
      <c r="X35" s="84">
        <f>Tabla1[[#This Row],[COMPENSACIÓN (J6) MENSUAL]]/2</f>
        <v>0</v>
      </c>
      <c r="Y35" s="85">
        <f t="shared" ref="Y35:Y54" si="8">Q35+S35+U35+W35+X35</f>
        <v>20728.900000000001</v>
      </c>
      <c r="Z35" s="83">
        <f>Tabla1[[#This Row],[ISR MENSUAL]]/2</f>
        <v>3549.3472960000008</v>
      </c>
      <c r="AA35" s="40">
        <f>Q35*13%</f>
        <v>960.29700000000003</v>
      </c>
      <c r="AB35" s="43">
        <f t="shared" ref="AB35:AB54" si="9">SUM(Z35:AA35)</f>
        <v>4509.6442960000004</v>
      </c>
      <c r="AC35" s="44">
        <f t="shared" si="4"/>
        <v>16219.255704000001</v>
      </c>
      <c r="AD35" s="45">
        <v>0.26</v>
      </c>
      <c r="AE35" s="45">
        <f>R35*AD35</f>
        <v>3841.1880000000001</v>
      </c>
      <c r="AF35" s="46">
        <f t="shared" si="2"/>
        <v>295.476</v>
      </c>
      <c r="AG35" s="45">
        <f t="shared" si="3"/>
        <v>621.86700000000008</v>
      </c>
      <c r="AH35" s="44">
        <f t="shared" si="5"/>
        <v>4758.5309999999999</v>
      </c>
      <c r="AI35" s="47">
        <f t="shared" si="6"/>
        <v>25487.431</v>
      </c>
    </row>
    <row r="36" spans="1:35" s="1" customFormat="1" ht="30" customHeight="1" x14ac:dyDescent="0.25">
      <c r="A36" s="71">
        <f>IF(OCTUBRE!A36&lt;&gt;"", OCTUBRE!A36, "")</f>
        <v>92700205</v>
      </c>
      <c r="B36" s="72" t="str">
        <f>IF(OCTUBRE!B36&lt;&gt;"", OCTUBRE!B36, "")</f>
        <v>191</v>
      </c>
      <c r="C36" s="72" t="str">
        <f>IF(OCTUBRE!C36&lt;&gt;"", OCTUBRE!C36, "")</f>
        <v>16</v>
      </c>
      <c r="D36" s="72" t="str">
        <f>IF(OCTUBRE!D36&lt;&gt;"", OCTUBRE!D36, "")</f>
        <v>G0807</v>
      </c>
      <c r="E36" s="37" t="str">
        <f>IF(OCTUBRE!E36&lt;&gt;"", OCTUBRE!E36, "")</f>
        <v>113022138DA3QG080700.0000003</v>
      </c>
      <c r="F36" s="31" t="str">
        <f>IF(OCTUBRE!F36&lt;&gt;"", OCTUBRE!F36, "")</f>
        <v>ALVA ALVA JACOBO</v>
      </c>
      <c r="G36" s="31" t="str">
        <f>IF(OCTUBRE!G36&lt;&gt;"", OCTUBRE!G36, "")</f>
        <v>DIRECCIÓN DE ADMINISTRACIÓN Y FINANZAS</v>
      </c>
      <c r="H36" s="31" t="str">
        <f>IF(OCTUBRE!H36&lt;&gt;"", OCTUBRE!H36, "")</f>
        <v>Analista Especializado Consultivo B</v>
      </c>
      <c r="I36" s="72" t="str">
        <f>IF(OCTUBRE!I36&lt;&gt;"", OCTUBRE!I36, "")</f>
        <v>AAAJ930510HPLLLC06</v>
      </c>
      <c r="J36" s="72" t="str">
        <f>IF(OCTUBRE!J36&lt;&gt;"", OCTUBRE!J36, "")</f>
        <v>AAAJ930510F96</v>
      </c>
      <c r="K36" s="72" t="str">
        <f>IF(OCTUBRE!K36&lt;&gt;"", OCTUBRE!K36, "")</f>
        <v>ACTIVO</v>
      </c>
      <c r="L36" s="72" t="str">
        <f>IF(OCTUBRE!L36&lt;&gt;"", OCTUBRE!L36, "")</f>
        <v/>
      </c>
      <c r="M36" s="30" t="str">
        <f>IF(OCTUBRE!N36&lt;&gt;"", OCTUBRE!N36, "")</f>
        <v>X</v>
      </c>
      <c r="N36" s="30" t="str">
        <f>IF(OCTUBRE!O36&lt;&gt;"", OCTUBRE!O36, "")</f>
        <v>H</v>
      </c>
      <c r="O36" s="73" t="str">
        <f>IF(OCTUBRE!P36&lt;&gt;"", OCTUBRE!P36, "")</f>
        <v>32</v>
      </c>
      <c r="P36" s="83">
        <f>Tabla1[[#This Row],[SALARIO DIARIO]]</f>
        <v>280.76</v>
      </c>
      <c r="Q36" s="83">
        <f>Tabla15[[#This Row],[SUELDO MENSUAL]]/2</f>
        <v>4211.3999999999996</v>
      </c>
      <c r="R36" s="84">
        <f>Tabla1[[#This Row],[SUELDO MENSUAL]]</f>
        <v>8422.7999999999993</v>
      </c>
      <c r="S36" s="84">
        <f>Tabla15[[#This Row],[DESPENSA MENSUAL]]/2</f>
        <v>142</v>
      </c>
      <c r="T36" s="84">
        <f>Tabla1[[#This Row],[DESPENSA MENSUAL]]</f>
        <v>284</v>
      </c>
      <c r="U36" s="84">
        <f>Tabla15[[#This Row],[COMPENSACIÓN (J5)  MENSUAL]]/2</f>
        <v>7500</v>
      </c>
      <c r="V36" s="84">
        <f>Tabla1[[#This Row],[COMPENSACIÓN (J5)  MENSUAL]]</f>
        <v>15000</v>
      </c>
      <c r="W36" s="84">
        <f>Tabla1[[#This Row],[QUINQUENIO]]/2</f>
        <v>0</v>
      </c>
      <c r="X36" s="84">
        <f>Tabla1[[#This Row],[COMPENSACIÓN (J6) MENSUAL]]/2</f>
        <v>0</v>
      </c>
      <c r="Y36" s="85">
        <f t="shared" si="8"/>
        <v>11853.4</v>
      </c>
      <c r="Z36" s="83">
        <f>Tabla1[[#This Row],[ISR MENSUAL]]/2</f>
        <v>1587.7124199999998</v>
      </c>
      <c r="AA36" s="40">
        <v>1101.82</v>
      </c>
      <c r="AB36" s="43">
        <f t="shared" si="9"/>
        <v>2689.5324199999995</v>
      </c>
      <c r="AC36" s="44">
        <f t="shared" si="4"/>
        <v>9163.8675800000001</v>
      </c>
      <c r="AD36" s="45">
        <v>0.26</v>
      </c>
      <c r="AE36" s="45">
        <v>2203.64</v>
      </c>
      <c r="AF36" s="46">
        <f t="shared" si="2"/>
        <v>168.45599999999999</v>
      </c>
      <c r="AG36" s="45">
        <f t="shared" si="3"/>
        <v>355.60199999999998</v>
      </c>
      <c r="AH36" s="44">
        <f t="shared" si="5"/>
        <v>2727.6979999999999</v>
      </c>
      <c r="AI36" s="47">
        <f t="shared" si="6"/>
        <v>14581.098</v>
      </c>
    </row>
    <row r="37" spans="1:35" s="1" customFormat="1" ht="30" customHeight="1" x14ac:dyDescent="0.25">
      <c r="A37" s="71" t="str">
        <f>IF(OCTUBRE!A37&lt;&gt;"", OCTUBRE!A37, "")</f>
        <v/>
      </c>
      <c r="B37" s="72" t="str">
        <f>IF(OCTUBRE!B37&lt;&gt;"", OCTUBRE!B37, "")</f>
        <v/>
      </c>
      <c r="C37" s="72" t="str">
        <f>IF(OCTUBRE!C37&lt;&gt;"", OCTUBRE!C37, "")</f>
        <v/>
      </c>
      <c r="D37" s="72" t="str">
        <f>IF(OCTUBRE!D37&lt;&gt;"", OCTUBRE!D37, "")</f>
        <v/>
      </c>
      <c r="E37" s="37" t="str">
        <f>IF(OCTUBRE!E37&lt;&gt;"", OCTUBRE!E37, "")</f>
        <v>113022138DA3QG080500.0000016</v>
      </c>
      <c r="F37" s="31" t="str">
        <f>IF(OCTUBRE!F37&lt;&gt;"", OCTUBRE!F37, "")</f>
        <v>VACANTE</v>
      </c>
      <c r="G37" s="31" t="str">
        <f>IF(OCTUBRE!G37&lt;&gt;"", OCTUBRE!G37, "")</f>
        <v/>
      </c>
      <c r="H37" s="31" t="str">
        <f>IF(OCTUBRE!H37&lt;&gt;"", OCTUBRE!H37, "")</f>
        <v/>
      </c>
      <c r="I37" s="72" t="str">
        <f>IF(OCTUBRE!I37&lt;&gt;"", OCTUBRE!I37, "")</f>
        <v/>
      </c>
      <c r="J37" s="72" t="str">
        <f>IF(OCTUBRE!J37&lt;&gt;"", OCTUBRE!J37, "")</f>
        <v/>
      </c>
      <c r="K37" s="72" t="str">
        <f>IF(OCTUBRE!K37&lt;&gt;"", OCTUBRE!K37, "")</f>
        <v/>
      </c>
      <c r="L37" s="72" t="str">
        <f>IF(OCTUBRE!L37&lt;&gt;"", OCTUBRE!L37, "")</f>
        <v/>
      </c>
      <c r="M37" s="30" t="str">
        <f>IF(OCTUBRE!N37&lt;&gt;"", OCTUBRE!N37, "")</f>
        <v>X</v>
      </c>
      <c r="N37" s="30" t="str">
        <f>IF(OCTUBRE!O37&lt;&gt;"", OCTUBRE!O37, "")</f>
        <v/>
      </c>
      <c r="O37" s="73" t="str">
        <f>IF(OCTUBRE!P37&lt;&gt;"", OCTUBRE!P37, "")</f>
        <v/>
      </c>
      <c r="P37" s="83">
        <f>Tabla1[[#This Row],[SALARIO DIARIO]]</f>
        <v>278.8</v>
      </c>
      <c r="Q37" s="83">
        <f>Tabla15[[#This Row],[SUELDO MENSUAL]]/2</f>
        <v>4182</v>
      </c>
      <c r="R37" s="84">
        <f>Tabla1[[#This Row],[SUELDO MENSUAL]]</f>
        <v>8364</v>
      </c>
      <c r="S37" s="84">
        <f>Tabla15[[#This Row],[DESPENSA MENSUAL]]/2</f>
        <v>142</v>
      </c>
      <c r="T37" s="84">
        <f>Tabla1[[#This Row],[DESPENSA MENSUAL]]</f>
        <v>284</v>
      </c>
      <c r="U37" s="84">
        <f>Tabla15[[#This Row],[COMPENSACIÓN (J5)  MENSUAL]]/2</f>
        <v>5641.57</v>
      </c>
      <c r="V37" s="84">
        <f>Tabla1[[#This Row],[COMPENSACIÓN (J5)  MENSUAL]]</f>
        <v>11283.14</v>
      </c>
      <c r="W37" s="84">
        <f>Tabla1[[#This Row],[QUINQUENIO]]/2</f>
        <v>0</v>
      </c>
      <c r="X37" s="84">
        <f>Tabla1[[#This Row],[COMPENSACIÓN (J6) MENSUAL]]/2</f>
        <v>0</v>
      </c>
      <c r="Y37" s="85">
        <f t="shared" si="8"/>
        <v>9965.57</v>
      </c>
      <c r="Z37" s="83">
        <f>Tabla1[[#This Row],[ISR MENSUAL]]/2</f>
        <v>1184.4719319999997</v>
      </c>
      <c r="AA37" s="40">
        <f t="shared" ref="AA37:AA45" si="10">(P37*30.4)*13%</f>
        <v>1101.8176000000001</v>
      </c>
      <c r="AB37" s="43">
        <f t="shared" si="9"/>
        <v>2286.2895319999998</v>
      </c>
      <c r="AC37" s="44">
        <f t="shared" si="4"/>
        <v>7679.2804679999999</v>
      </c>
      <c r="AD37" s="45">
        <v>0.26</v>
      </c>
      <c r="AE37" s="45">
        <f t="shared" ref="AE37:AE45" si="11">(P37*30.4)*AD37</f>
        <v>2203.6352000000002</v>
      </c>
      <c r="AF37" s="46">
        <f t="shared" si="2"/>
        <v>167.28</v>
      </c>
      <c r="AG37" s="45">
        <f t="shared" si="3"/>
        <v>298.96709999999996</v>
      </c>
      <c r="AH37" s="44">
        <f t="shared" si="5"/>
        <v>2669.8823000000002</v>
      </c>
      <c r="AI37" s="47">
        <f t="shared" si="6"/>
        <v>12635.452300000001</v>
      </c>
    </row>
    <row r="38" spans="1:35" s="1" customFormat="1" ht="30" customHeight="1" x14ac:dyDescent="0.25">
      <c r="A38" s="71">
        <f>IF(OCTUBRE!A38&lt;&gt;"", OCTUBRE!A38, "")</f>
        <v>92700212</v>
      </c>
      <c r="B38" s="72" t="str">
        <f>IF(OCTUBRE!B38&lt;&gt;"", OCTUBRE!B38, "")</f>
        <v>192</v>
      </c>
      <c r="C38" s="72" t="str">
        <f>IF(OCTUBRE!C38&lt;&gt;"", OCTUBRE!C38, "")</f>
        <v>61</v>
      </c>
      <c r="D38" s="72" t="str">
        <f>IF(OCTUBRE!D38&lt;&gt;"", OCTUBRE!D38, "")</f>
        <v>G0808</v>
      </c>
      <c r="E38" s="37" t="str">
        <f>IF(OCTUBRE!E38&lt;&gt;"", OCTUBRE!E38, "")</f>
        <v>113222138DA3QG080800.0000022</v>
      </c>
      <c r="F38" s="31" t="str">
        <f>IF(OCTUBRE!F38&lt;&gt;"", OCTUBRE!F38, "")</f>
        <v>PEREZ MORALES ARENDY</v>
      </c>
      <c r="G38" s="31" t="str">
        <f>IF(OCTUBRE!G38&lt;&gt;"", OCTUBRE!G38, "")</f>
        <v>DIRECCIÓN DE ADMINISTRACIÓN Y FINANZAS</v>
      </c>
      <c r="H38" s="31" t="str">
        <f>IF(OCTUBRE!H38&lt;&gt;"", OCTUBRE!H38, "")</f>
        <v>Analista Especializado Consultivo C</v>
      </c>
      <c r="I38" s="72" t="str">
        <f>IF(OCTUBRE!I38&lt;&gt;"", OCTUBRE!I38, "")</f>
        <v>PEMA970822MPLRRR09</v>
      </c>
      <c r="J38" s="72" t="str">
        <f>IF(OCTUBRE!J38&lt;&gt;"", OCTUBRE!J38, "")</f>
        <v>PEMA970822RC7</v>
      </c>
      <c r="K38" s="72" t="str">
        <f>IF(OCTUBRE!K38&lt;&gt;"", OCTUBRE!K38, "")</f>
        <v>ACTIVO</v>
      </c>
      <c r="L38" s="72" t="str">
        <f>IF(OCTUBRE!L38&lt;&gt;"", OCTUBRE!L38, "")</f>
        <v/>
      </c>
      <c r="M38" s="30" t="str">
        <f>IF(OCTUBRE!N38&lt;&gt;"", OCTUBRE!N38, "")</f>
        <v>X</v>
      </c>
      <c r="N38" s="30" t="str">
        <f>IF(OCTUBRE!O38&lt;&gt;"", OCTUBRE!O38, "")</f>
        <v>M</v>
      </c>
      <c r="O38" s="73" t="str">
        <f>IF(OCTUBRE!P38&lt;&gt;"", OCTUBRE!P38, "")</f>
        <v>28</v>
      </c>
      <c r="P38" s="83">
        <f>Tabla1[[#This Row],[SALARIO DIARIO]]</f>
        <v>278.8</v>
      </c>
      <c r="Q38" s="83">
        <f>Tabla15[[#This Row],[SUELDO MENSUAL]]/2</f>
        <v>4182</v>
      </c>
      <c r="R38" s="84">
        <f>Tabla1[[#This Row],[SUELDO MENSUAL]]</f>
        <v>8364</v>
      </c>
      <c r="S38" s="84">
        <f>Tabla15[[#This Row],[DESPENSA MENSUAL]]/2</f>
        <v>142</v>
      </c>
      <c r="T38" s="84">
        <f>Tabla1[[#This Row],[DESPENSA MENSUAL]]</f>
        <v>284</v>
      </c>
      <c r="U38" s="84">
        <f>Tabla15[[#This Row],[COMPENSACIÓN (J5)  MENSUAL]]/2</f>
        <v>5000</v>
      </c>
      <c r="V38" s="84">
        <f>Tabla1[[#This Row],[COMPENSACIÓN (J5)  MENSUAL]]</f>
        <v>10000</v>
      </c>
      <c r="W38" s="84">
        <f>Tabla1[[#This Row],[QUINQUENIO]]/2</f>
        <v>0</v>
      </c>
      <c r="X38" s="84">
        <f>Tabla1[[#This Row],[COMPENSACIÓN (J6) MENSUAL]]/2</f>
        <v>0</v>
      </c>
      <c r="Y38" s="85">
        <f t="shared" si="8"/>
        <v>9324</v>
      </c>
      <c r="Z38" s="83">
        <f>Tabla1[[#This Row],[ISR MENSUAL]]/2</f>
        <v>1047.4325799999997</v>
      </c>
      <c r="AA38" s="40">
        <f t="shared" si="10"/>
        <v>1101.8176000000001</v>
      </c>
      <c r="AB38" s="43">
        <f t="shared" si="9"/>
        <v>2149.25018</v>
      </c>
      <c r="AC38" s="44">
        <f t="shared" si="4"/>
        <v>7174.74982</v>
      </c>
      <c r="AD38" s="45">
        <v>0.26</v>
      </c>
      <c r="AE38" s="45">
        <f t="shared" si="11"/>
        <v>2203.6352000000002</v>
      </c>
      <c r="AF38" s="46">
        <f t="shared" si="2"/>
        <v>167.28</v>
      </c>
      <c r="AG38" s="45">
        <f t="shared" si="3"/>
        <v>279.71999999999997</v>
      </c>
      <c r="AH38" s="44">
        <f t="shared" si="5"/>
        <v>2650.6352000000002</v>
      </c>
      <c r="AI38" s="47">
        <f t="shared" si="6"/>
        <v>11974.635200000001</v>
      </c>
    </row>
    <row r="39" spans="1:35" s="1" customFormat="1" ht="30" customHeight="1" x14ac:dyDescent="0.25">
      <c r="A39" s="71">
        <f>IF(OCTUBRE!A39&lt;&gt;"", OCTUBRE!A39, "")</f>
        <v>92700246</v>
      </c>
      <c r="B39" s="72" t="str">
        <f>IF(OCTUBRE!B39&lt;&gt;"", OCTUBRE!B39, "")</f>
        <v>192</v>
      </c>
      <c r="C39" s="72" t="str">
        <f>IF(OCTUBRE!C39&lt;&gt;"", OCTUBRE!C39, "")</f>
        <v>5</v>
      </c>
      <c r="D39" s="72" t="str">
        <f>IF(OCTUBRE!D39&lt;&gt;"", OCTUBRE!D39, "")</f>
        <v>G0805</v>
      </c>
      <c r="E39" s="37" t="str">
        <f>IF(OCTUBRE!E39&lt;&gt;"", OCTUBRE!E39, "")</f>
        <v>113222138DA3QG080800.0000023</v>
      </c>
      <c r="F39" s="31" t="str">
        <f>IF(OCTUBRE!F39&lt;&gt;"", OCTUBRE!F39, "")</f>
        <v>HERRERIAS GARZON MARIO ARTURO</v>
      </c>
      <c r="G39" s="31" t="str">
        <f>IF(OCTUBRE!G39&lt;&gt;"", OCTUBRE!G39, "")</f>
        <v>DIRECCIÓN DE ADMINISTRACIÓN Y FINANZAS</v>
      </c>
      <c r="H39" s="31" t="str">
        <f>IF(OCTUBRE!H39&lt;&gt;"", OCTUBRE!H39, "")</f>
        <v>Jefe de Departamento de Recursos Financieros</v>
      </c>
      <c r="I39" s="72" t="str">
        <f>IF(OCTUBRE!I39&lt;&gt;"", OCTUBRE!I39, "")</f>
        <v>HEGM000103HPLRRRA2</v>
      </c>
      <c r="J39" s="72" t="str">
        <f>IF(OCTUBRE!J39&lt;&gt;"", OCTUBRE!J39, "")</f>
        <v>HEGM000103E88</v>
      </c>
      <c r="K39" s="72" t="str">
        <f>IF(OCTUBRE!K39&lt;&gt;"", OCTUBRE!K39, "")</f>
        <v>ACTIVO</v>
      </c>
      <c r="L39" s="72" t="str">
        <f>IF(OCTUBRE!L39&lt;&gt;"", OCTUBRE!L39, "")</f>
        <v/>
      </c>
      <c r="M39" s="30" t="str">
        <f>IF(OCTUBRE!N39&lt;&gt;"", OCTUBRE!N39, "")</f>
        <v>X</v>
      </c>
      <c r="N39" s="30" t="str">
        <f>IF(OCTUBRE!O39&lt;&gt;"", OCTUBRE!O39, "")</f>
        <v>H</v>
      </c>
      <c r="O39" s="73" t="str">
        <f>IF(OCTUBRE!P39&lt;&gt;"", OCTUBRE!P39, "")</f>
        <v>26</v>
      </c>
      <c r="P39" s="83">
        <f>Tabla1[[#This Row],[SALARIO DIARIO]]</f>
        <v>278.8</v>
      </c>
      <c r="Q39" s="83">
        <f>Tabla15[[#This Row],[SUELDO MENSUAL]]/2</f>
        <v>4182</v>
      </c>
      <c r="R39" s="84">
        <f>Tabla1[[#This Row],[SUELDO MENSUAL]]</f>
        <v>8364</v>
      </c>
      <c r="S39" s="84">
        <f>Tabla15[[#This Row],[DESPENSA MENSUAL]]/2</f>
        <v>142</v>
      </c>
      <c r="T39" s="84">
        <f>Tabla1[[#This Row],[DESPENSA MENSUAL]]</f>
        <v>284</v>
      </c>
      <c r="U39" s="84">
        <f>Tabla15[[#This Row],[COMPENSACIÓN (J5)  MENSUAL]]/2</f>
        <v>3008</v>
      </c>
      <c r="V39" s="84">
        <f>Tabla1[[#This Row],[COMPENSACIÓN (J5)  MENSUAL]]</f>
        <v>6016</v>
      </c>
      <c r="W39" s="84">
        <f>Tabla1[[#This Row],[QUINQUENIO]]/2</f>
        <v>0</v>
      </c>
      <c r="X39" s="84">
        <f>Tabla1[[#This Row],[COMPENSACIÓN (J6) MENSUAL]]/2</f>
        <v>0</v>
      </c>
      <c r="Y39" s="85">
        <f t="shared" si="8"/>
        <v>7332</v>
      </c>
      <c r="Z39" s="83">
        <f>Tabla1[[#This Row],[ISR MENSUAL]]/2</f>
        <v>671.30376000000012</v>
      </c>
      <c r="AA39" s="40">
        <f t="shared" si="10"/>
        <v>1101.8176000000001</v>
      </c>
      <c r="AB39" s="43">
        <f t="shared" si="9"/>
        <v>1773.1213600000001</v>
      </c>
      <c r="AC39" s="44">
        <f t="shared" si="4"/>
        <v>5558.8786399999999</v>
      </c>
      <c r="AD39" s="45">
        <v>0.26</v>
      </c>
      <c r="AE39" s="45">
        <f t="shared" si="11"/>
        <v>2203.6352000000002</v>
      </c>
      <c r="AF39" s="46">
        <f t="shared" si="2"/>
        <v>167.28</v>
      </c>
      <c r="AG39" s="45">
        <f t="shared" si="3"/>
        <v>219.95999999999998</v>
      </c>
      <c r="AH39" s="44">
        <f t="shared" si="5"/>
        <v>2590.8752000000004</v>
      </c>
      <c r="AI39" s="47">
        <f t="shared" si="6"/>
        <v>9922.8752000000004</v>
      </c>
    </row>
    <row r="40" spans="1:35" s="1" customFormat="1" ht="30" customHeight="1" x14ac:dyDescent="0.25">
      <c r="A40" s="71">
        <f>IF(OCTUBRE!A40&lt;&gt;"", OCTUBRE!A40, "")</f>
        <v>92700230</v>
      </c>
      <c r="B40" s="72" t="str">
        <f>IF(OCTUBRE!B40&lt;&gt;"", OCTUBRE!B40, "")</f>
        <v>193</v>
      </c>
      <c r="C40" s="72" t="str">
        <f>IF(OCTUBRE!C40&lt;&gt;"", OCTUBRE!C40, "")</f>
        <v>52</v>
      </c>
      <c r="D40" s="72" t="str">
        <f>IF(OCTUBRE!D40&lt;&gt;"", OCTUBRE!D40, "")</f>
        <v>G0805</v>
      </c>
      <c r="E40" s="37" t="str">
        <f>IF(OCTUBRE!E40&lt;&gt;"", OCTUBRE!E40, "")</f>
        <v>113022138DA3QG080500.0000017</v>
      </c>
      <c r="F40" s="31" t="str">
        <f>IF(OCTUBRE!F40&lt;&gt;"", OCTUBRE!F40, "")</f>
        <v>GARCIA BERISTAIN CARLOS</v>
      </c>
      <c r="G40" s="31" t="str">
        <f>IF(OCTUBRE!G40&lt;&gt;"", OCTUBRE!G40, "")</f>
        <v>DIRECCIÓN DE ADMINISTRACIÓN Y FINANZAS</v>
      </c>
      <c r="H40" s="31" t="str">
        <f>IF(OCTUBRE!H40&lt;&gt;"", OCTUBRE!H40, "")</f>
        <v>Jefe de Departamento de Factor Humano</v>
      </c>
      <c r="I40" s="72" t="str">
        <f>IF(OCTUBRE!I40&lt;&gt;"", OCTUBRE!I40, "")</f>
        <v>GABC840731HPLRRR06</v>
      </c>
      <c r="J40" s="72" t="str">
        <f>IF(OCTUBRE!J40&lt;&gt;"", OCTUBRE!J40, "")</f>
        <v>GABC840731PQ3</v>
      </c>
      <c r="K40" s="72" t="str">
        <f>IF(OCTUBRE!K40&lt;&gt;"", OCTUBRE!K40, "")</f>
        <v>ACTIVO</v>
      </c>
      <c r="L40" s="72" t="str">
        <f>IF(OCTUBRE!L40&lt;&gt;"", OCTUBRE!L40, "")</f>
        <v>01/02/2025</v>
      </c>
      <c r="M40" s="30" t="str">
        <f>IF(OCTUBRE!N40&lt;&gt;"", OCTUBRE!N40, "")</f>
        <v>X</v>
      </c>
      <c r="N40" s="30" t="str">
        <f>IF(OCTUBRE!O40&lt;&gt;"", OCTUBRE!O40, "")</f>
        <v>H</v>
      </c>
      <c r="O40" s="73" t="str">
        <f>IF(OCTUBRE!P40&lt;&gt;"", OCTUBRE!P40, "")</f>
        <v>41</v>
      </c>
      <c r="P40" s="83">
        <f>Tabla1[[#This Row],[SALARIO DIARIO]]</f>
        <v>278.8</v>
      </c>
      <c r="Q40" s="83">
        <f>Tabla15[[#This Row],[SUELDO MENSUAL]]/2</f>
        <v>4182</v>
      </c>
      <c r="R40" s="84">
        <f>Tabla1[[#This Row],[SUELDO MENSUAL]]</f>
        <v>8364</v>
      </c>
      <c r="S40" s="84">
        <f>Tabla15[[#This Row],[DESPENSA MENSUAL]]/2</f>
        <v>142</v>
      </c>
      <c r="T40" s="84">
        <f>Tabla1[[#This Row],[DESPENSA MENSUAL]]</f>
        <v>284</v>
      </c>
      <c r="U40" s="84">
        <f>Tabla15[[#This Row],[COMPENSACIÓN (J5)  MENSUAL]]/2</f>
        <v>5641.57</v>
      </c>
      <c r="V40" s="84">
        <f>Tabla1[[#This Row],[COMPENSACIÓN (J5)  MENSUAL]]</f>
        <v>11283.14</v>
      </c>
      <c r="W40" s="84">
        <f>Tabla1[[#This Row],[QUINQUENIO]]/2</f>
        <v>0</v>
      </c>
      <c r="X40" s="84">
        <f>Tabla1[[#This Row],[COMPENSACIÓN (J6) MENSUAL]]/2</f>
        <v>0</v>
      </c>
      <c r="Y40" s="85">
        <f t="shared" si="8"/>
        <v>9965.57</v>
      </c>
      <c r="Z40" s="83">
        <f>Tabla1[[#This Row],[ISR MENSUAL]]/2</f>
        <v>1184.4719319999997</v>
      </c>
      <c r="AA40" s="40">
        <f t="shared" si="10"/>
        <v>1101.8176000000001</v>
      </c>
      <c r="AB40" s="43">
        <f t="shared" si="9"/>
        <v>2286.2895319999998</v>
      </c>
      <c r="AC40" s="44">
        <f t="shared" si="4"/>
        <v>7679.2804679999999</v>
      </c>
      <c r="AD40" s="45">
        <v>0.26</v>
      </c>
      <c r="AE40" s="45">
        <f t="shared" si="11"/>
        <v>2203.6352000000002</v>
      </c>
      <c r="AF40" s="46">
        <f t="shared" si="2"/>
        <v>167.28</v>
      </c>
      <c r="AG40" s="45">
        <f t="shared" si="3"/>
        <v>298.96709999999996</v>
      </c>
      <c r="AH40" s="44">
        <f t="shared" si="5"/>
        <v>2669.8823000000002</v>
      </c>
      <c r="AI40" s="47">
        <f t="shared" si="6"/>
        <v>12635.452300000001</v>
      </c>
    </row>
    <row r="41" spans="1:35" s="1" customFormat="1" ht="30" customHeight="1" x14ac:dyDescent="0.25">
      <c r="A41" s="71">
        <f>IF(OCTUBRE!A41&lt;&gt;"", OCTUBRE!A41, "")</f>
        <v>92700229</v>
      </c>
      <c r="B41" s="72" t="str">
        <f>IF(OCTUBRE!B41&lt;&gt;"", OCTUBRE!B41, "")</f>
        <v>193</v>
      </c>
      <c r="C41" s="72" t="str">
        <f>IF(OCTUBRE!C41&lt;&gt;"", OCTUBRE!C41, "")</f>
        <v>53</v>
      </c>
      <c r="D41" s="72" t="str">
        <f>IF(OCTUBRE!D41&lt;&gt;"", OCTUBRE!D41, "")</f>
        <v>G0808</v>
      </c>
      <c r="E41" s="37" t="str">
        <f>IF(OCTUBRE!E41&lt;&gt;"", OCTUBRE!E41, "")</f>
        <v>113222138DA3QG080800.0000024</v>
      </c>
      <c r="F41" s="31" t="str">
        <f>IF(OCTUBRE!F41&lt;&gt;"", OCTUBRE!F41, "")</f>
        <v xml:space="preserve">ARROYO SOLANO VICTOR HUGO </v>
      </c>
      <c r="G41" s="31" t="str">
        <f>IF(OCTUBRE!G41&lt;&gt;"", OCTUBRE!G41, "")</f>
        <v>DIRECCIÓN DE ADMINISTRACIÓN Y FINANZAS</v>
      </c>
      <c r="H41" s="31" t="str">
        <f>IF(OCTUBRE!H41&lt;&gt;"", OCTUBRE!H41, "")</f>
        <v>Analista Especializado Consultivo C</v>
      </c>
      <c r="I41" s="72" t="str">
        <f>IF(OCTUBRE!I41&lt;&gt;"", OCTUBRE!I41, "")</f>
        <v>AOSV960401HPLRLC00</v>
      </c>
      <c r="J41" s="72" t="str">
        <f>IF(OCTUBRE!J41&lt;&gt;"", OCTUBRE!J41, "")</f>
        <v>AOSV960401561</v>
      </c>
      <c r="K41" s="72" t="str">
        <f>IF(OCTUBRE!K41&lt;&gt;"", OCTUBRE!K41, "")</f>
        <v>ACTIVO</v>
      </c>
      <c r="L41" s="72" t="str">
        <f>IF(OCTUBRE!L41&lt;&gt;"", OCTUBRE!L41, "")</f>
        <v/>
      </c>
      <c r="M41" s="30" t="str">
        <f>IF(OCTUBRE!N41&lt;&gt;"", OCTUBRE!N41, "")</f>
        <v>X</v>
      </c>
      <c r="N41" s="30" t="str">
        <f>IF(OCTUBRE!O41&lt;&gt;"", OCTUBRE!O41, "")</f>
        <v>H</v>
      </c>
      <c r="O41" s="73" t="str">
        <f>IF(OCTUBRE!P41&lt;&gt;"", OCTUBRE!P41, "")</f>
        <v>29</v>
      </c>
      <c r="P41" s="83">
        <f>Tabla1[[#This Row],[SALARIO DIARIO]]</f>
        <v>278.8</v>
      </c>
      <c r="Q41" s="83">
        <f>Tabla15[[#This Row],[SUELDO MENSUAL]]/2</f>
        <v>4182</v>
      </c>
      <c r="R41" s="84">
        <f>Tabla1[[#This Row],[SUELDO MENSUAL]]</f>
        <v>8364</v>
      </c>
      <c r="S41" s="84">
        <f>Tabla15[[#This Row],[DESPENSA MENSUAL]]/2</f>
        <v>142</v>
      </c>
      <c r="T41" s="84">
        <f>Tabla1[[#This Row],[DESPENSA MENSUAL]]</f>
        <v>284</v>
      </c>
      <c r="U41" s="84">
        <f>Tabla15[[#This Row],[COMPENSACIÓN (J5)  MENSUAL]]/2</f>
        <v>5000</v>
      </c>
      <c r="V41" s="84">
        <f>Tabla1[[#This Row],[COMPENSACIÓN (J5)  MENSUAL]]</f>
        <v>10000</v>
      </c>
      <c r="W41" s="84">
        <f>Tabla1[[#This Row],[QUINQUENIO]]/2</f>
        <v>0</v>
      </c>
      <c r="X41" s="84">
        <f>Tabla1[[#This Row],[COMPENSACIÓN (J6) MENSUAL]]/2</f>
        <v>0</v>
      </c>
      <c r="Y41" s="85">
        <f t="shared" si="8"/>
        <v>9324</v>
      </c>
      <c r="Z41" s="83">
        <f>Tabla1[[#This Row],[ISR MENSUAL]]/2</f>
        <v>1047.4325799999997</v>
      </c>
      <c r="AA41" s="40">
        <f t="shared" si="10"/>
        <v>1101.8176000000001</v>
      </c>
      <c r="AB41" s="43">
        <f t="shared" si="9"/>
        <v>2149.25018</v>
      </c>
      <c r="AC41" s="44">
        <f t="shared" si="4"/>
        <v>7174.74982</v>
      </c>
      <c r="AD41" s="45">
        <v>0.26</v>
      </c>
      <c r="AE41" s="45">
        <f t="shared" si="11"/>
        <v>2203.6352000000002</v>
      </c>
      <c r="AF41" s="46">
        <f t="shared" si="2"/>
        <v>167.28</v>
      </c>
      <c r="AG41" s="45">
        <f t="shared" si="3"/>
        <v>279.71999999999997</v>
      </c>
      <c r="AH41" s="44">
        <f t="shared" si="5"/>
        <v>2650.6352000000002</v>
      </c>
      <c r="AI41" s="47">
        <f t="shared" si="6"/>
        <v>11974.635200000001</v>
      </c>
    </row>
    <row r="42" spans="1:35" s="1" customFormat="1" ht="30" customHeight="1" x14ac:dyDescent="0.25">
      <c r="A42" s="71">
        <f>IF(OCTUBRE!A42&lt;&gt;"", OCTUBRE!A42, "")</f>
        <v>92700256</v>
      </c>
      <c r="B42" s="72" t="str">
        <f>IF(OCTUBRE!B42&lt;&gt;"", OCTUBRE!B42, "")</f>
        <v>193</v>
      </c>
      <c r="C42" s="72" t="str">
        <f>IF(OCTUBRE!C42&lt;&gt;"", OCTUBRE!C42, "")</f>
        <v>54</v>
      </c>
      <c r="D42" s="72" t="str">
        <f>IF(OCTUBRE!D42&lt;&gt;"", OCTUBRE!D42, "")</f>
        <v>G0808</v>
      </c>
      <c r="E42" s="37" t="str">
        <f>IF(OCTUBRE!E42&lt;&gt;"", OCTUBRE!E42, "")</f>
        <v>113222138DA3QG080800.0000025</v>
      </c>
      <c r="F42" s="31" t="str">
        <f>IF(OCTUBRE!F42&lt;&gt;"", OCTUBRE!F42, "")</f>
        <v>ROJAS ZARATE PEDRO YEHOSHUA</v>
      </c>
      <c r="G42" s="31" t="str">
        <f>IF(OCTUBRE!G42&lt;&gt;"", OCTUBRE!G42, "")</f>
        <v>DIRECCIÓN DE ADMINISTRACIÓN Y FINANZAS</v>
      </c>
      <c r="H42" s="31" t="str">
        <f>IF(OCTUBRE!H42&lt;&gt;"", OCTUBRE!H42, "")</f>
        <v>Analista Especializado Consultivo C</v>
      </c>
      <c r="I42" s="72" t="str">
        <f>IF(OCTUBRE!I42&lt;&gt;"", OCTUBRE!I42, "")</f>
        <v>ROZP961030HTLJRD01</v>
      </c>
      <c r="J42" s="72" t="str">
        <f>IF(OCTUBRE!J42&lt;&gt;"", OCTUBRE!J42, "")</f>
        <v>ROZP961030TL3</v>
      </c>
      <c r="K42" s="72" t="str">
        <f>IF(OCTUBRE!K42&lt;&gt;"", OCTUBRE!K42, "")</f>
        <v>ACTIVO</v>
      </c>
      <c r="L42" s="72" t="str">
        <f>IF(OCTUBRE!L42&lt;&gt;"", OCTUBRE!L42, "")</f>
        <v>16/09/2025</v>
      </c>
      <c r="M42" s="30" t="str">
        <f>IF(OCTUBRE!N42&lt;&gt;"", OCTUBRE!N42, "")</f>
        <v>X</v>
      </c>
      <c r="N42" s="30" t="str">
        <f>IF(OCTUBRE!O42&lt;&gt;"", OCTUBRE!O42, "")</f>
        <v>H</v>
      </c>
      <c r="O42" s="73" t="str">
        <f>IF(OCTUBRE!P42&lt;&gt;"", OCTUBRE!P42, "")</f>
        <v>29</v>
      </c>
      <c r="P42" s="83">
        <f>Tabla1[[#This Row],[SALARIO DIARIO]]</f>
        <v>278.8</v>
      </c>
      <c r="Q42" s="83">
        <f>Tabla15[[#This Row],[SUELDO MENSUAL]]/2</f>
        <v>4182</v>
      </c>
      <c r="R42" s="84">
        <f>Tabla1[[#This Row],[SUELDO MENSUAL]]</f>
        <v>8364</v>
      </c>
      <c r="S42" s="84">
        <f>Tabla15[[#This Row],[DESPENSA MENSUAL]]/2</f>
        <v>142</v>
      </c>
      <c r="T42" s="84">
        <f>Tabla1[[#This Row],[DESPENSA MENSUAL]]</f>
        <v>284</v>
      </c>
      <c r="U42" s="84">
        <f>Tabla15[[#This Row],[COMPENSACIÓN (J5)  MENSUAL]]/2</f>
        <v>3008</v>
      </c>
      <c r="V42" s="84">
        <f>Tabla1[[#This Row],[COMPENSACIÓN (J5)  MENSUAL]]</f>
        <v>6016</v>
      </c>
      <c r="W42" s="84">
        <f>Tabla1[[#This Row],[QUINQUENIO]]/2</f>
        <v>0</v>
      </c>
      <c r="X42" s="84">
        <f>Tabla1[[#This Row],[COMPENSACIÓN (J6) MENSUAL]]/2</f>
        <v>0</v>
      </c>
      <c r="Y42" s="85">
        <f t="shared" si="8"/>
        <v>7332</v>
      </c>
      <c r="Z42" s="83">
        <f>Tabla1[[#This Row],[ISR MENSUAL]]/2</f>
        <v>671.30376000000012</v>
      </c>
      <c r="AA42" s="40">
        <f t="shared" si="10"/>
        <v>1101.8176000000001</v>
      </c>
      <c r="AB42" s="43">
        <f t="shared" si="9"/>
        <v>1773.1213600000001</v>
      </c>
      <c r="AC42" s="44">
        <f t="shared" si="4"/>
        <v>5558.8786399999999</v>
      </c>
      <c r="AD42" s="45">
        <v>0.26</v>
      </c>
      <c r="AE42" s="45">
        <f t="shared" si="11"/>
        <v>2203.6352000000002</v>
      </c>
      <c r="AF42" s="46">
        <f t="shared" si="2"/>
        <v>167.28</v>
      </c>
      <c r="AG42" s="45">
        <f t="shared" si="3"/>
        <v>219.95999999999998</v>
      </c>
      <c r="AH42" s="44">
        <f t="shared" si="5"/>
        <v>2590.8752000000004</v>
      </c>
      <c r="AI42" s="47">
        <f t="shared" si="6"/>
        <v>9922.8752000000004</v>
      </c>
    </row>
    <row r="43" spans="1:35" s="1" customFormat="1" ht="30" customHeight="1" x14ac:dyDescent="0.25">
      <c r="A43" s="71">
        <f>IF(OCTUBRE!A43&lt;&gt;"", OCTUBRE!A43, "")</f>
        <v>92700180</v>
      </c>
      <c r="B43" s="72" t="str">
        <f>IF(OCTUBRE!B43&lt;&gt;"", OCTUBRE!B43, "")</f>
        <v>194</v>
      </c>
      <c r="C43" s="72" t="str">
        <f>IF(OCTUBRE!C43&lt;&gt;"", OCTUBRE!C43, "")</f>
        <v>77</v>
      </c>
      <c r="D43" s="72" t="str">
        <f>IF(OCTUBRE!D43&lt;&gt;"", OCTUBRE!D43, "")</f>
        <v>G0805</v>
      </c>
      <c r="E43" s="37" t="str">
        <f>IF(OCTUBRE!E43&lt;&gt;"", OCTUBRE!E43, "")</f>
        <v>113022138DA3QG080500.0000018</v>
      </c>
      <c r="F43" s="31" t="str">
        <f>IF(OCTUBRE!F43&lt;&gt;"", OCTUBRE!F43, "")</f>
        <v>OROPEZA RAMOS YAIR</v>
      </c>
      <c r="G43" s="31" t="str">
        <f>IF(OCTUBRE!G43&lt;&gt;"", OCTUBRE!G43, "")</f>
        <v>DIRECCIÓN DE ADMINISTRACIÓN Y FINANZAS</v>
      </c>
      <c r="H43" s="31" t="str">
        <f>IF(OCTUBRE!H43&lt;&gt;"", OCTUBRE!H43, "")</f>
        <v>JEFE DE DEPARTAMENTO DE RECURSOS MATERIALES Y SERVICIOS GENERALES</v>
      </c>
      <c r="I43" s="72" t="str">
        <f>IF(OCTUBRE!I43&lt;&gt;"", OCTUBRE!I43, "")</f>
        <v>OORY910829HPLRMR08</v>
      </c>
      <c r="J43" s="72" t="str">
        <f>IF(OCTUBRE!J43&lt;&gt;"", OCTUBRE!J43, "")</f>
        <v>OORY910829UH2</v>
      </c>
      <c r="K43" s="72" t="str">
        <f>IF(OCTUBRE!K43&lt;&gt;"", OCTUBRE!K43, "")</f>
        <v>ACTIVO</v>
      </c>
      <c r="L43" s="72" t="str">
        <f>IF(OCTUBRE!L43&lt;&gt;"", OCTUBRE!L43, "")</f>
        <v>01/05/2022</v>
      </c>
      <c r="M43" s="30" t="str">
        <f>IF(OCTUBRE!N43&lt;&gt;"", OCTUBRE!N43, "")</f>
        <v>X</v>
      </c>
      <c r="N43" s="30" t="str">
        <f>IF(OCTUBRE!O43&lt;&gt;"", OCTUBRE!O43, "")</f>
        <v>H</v>
      </c>
      <c r="O43" s="73" t="str">
        <f>IF(OCTUBRE!P43&lt;&gt;"", OCTUBRE!P43, "")</f>
        <v>34</v>
      </c>
      <c r="P43" s="83">
        <f>Tabla1[[#This Row],[SALARIO DIARIO]]</f>
        <v>278.8</v>
      </c>
      <c r="Q43" s="83">
        <f>Tabla15[[#This Row],[SUELDO MENSUAL]]/2</f>
        <v>4182</v>
      </c>
      <c r="R43" s="84">
        <f>Tabla1[[#This Row],[SUELDO MENSUAL]]</f>
        <v>8364</v>
      </c>
      <c r="S43" s="84">
        <f>Tabla15[[#This Row],[DESPENSA MENSUAL]]/2</f>
        <v>142</v>
      </c>
      <c r="T43" s="84">
        <f>Tabla1[[#This Row],[DESPENSA MENSUAL]]</f>
        <v>284</v>
      </c>
      <c r="U43" s="84">
        <f>Tabla15[[#This Row],[COMPENSACIÓN (J5)  MENSUAL]]/2</f>
        <v>5641.57</v>
      </c>
      <c r="V43" s="84">
        <f>Tabla1[[#This Row],[COMPENSACIÓN (J5)  MENSUAL]]</f>
        <v>11283.14</v>
      </c>
      <c r="W43" s="84">
        <f>Tabla1[[#This Row],[QUINQUENIO]]/2</f>
        <v>0</v>
      </c>
      <c r="X43" s="84">
        <f>Tabla1[[#This Row],[COMPENSACIÓN (J6) MENSUAL]]/2</f>
        <v>0</v>
      </c>
      <c r="Y43" s="85">
        <f t="shared" si="8"/>
        <v>9965.57</v>
      </c>
      <c r="Z43" s="83">
        <f>Tabla1[[#This Row],[ISR MENSUAL]]/2</f>
        <v>1184.4719319999997</v>
      </c>
      <c r="AA43" s="40">
        <f t="shared" si="10"/>
        <v>1101.8176000000001</v>
      </c>
      <c r="AB43" s="43">
        <f t="shared" si="9"/>
        <v>2286.2895319999998</v>
      </c>
      <c r="AC43" s="44">
        <f t="shared" si="4"/>
        <v>7679.2804679999999</v>
      </c>
      <c r="AD43" s="45">
        <v>0.26</v>
      </c>
      <c r="AE43" s="45">
        <f t="shared" si="11"/>
        <v>2203.6352000000002</v>
      </c>
      <c r="AF43" s="46">
        <f t="shared" si="2"/>
        <v>167.28</v>
      </c>
      <c r="AG43" s="45">
        <f t="shared" si="3"/>
        <v>298.96709999999996</v>
      </c>
      <c r="AH43" s="44">
        <f t="shared" si="5"/>
        <v>2669.8823000000002</v>
      </c>
      <c r="AI43" s="47">
        <f t="shared" si="6"/>
        <v>12635.452300000001</v>
      </c>
    </row>
    <row r="44" spans="1:35" s="1" customFormat="1" ht="30" customHeight="1" x14ac:dyDescent="0.25">
      <c r="A44" s="71" t="str">
        <f>IF(OCTUBRE!A44&lt;&gt;"", OCTUBRE!A44, "")</f>
        <v/>
      </c>
      <c r="B44" s="72" t="str">
        <f>IF(OCTUBRE!B44&lt;&gt;"", OCTUBRE!B44, "")</f>
        <v/>
      </c>
      <c r="C44" s="72" t="str">
        <f>IF(OCTUBRE!C44&lt;&gt;"", OCTUBRE!C44, "")</f>
        <v/>
      </c>
      <c r="D44" s="72" t="str">
        <f>IF(OCTUBRE!D44&lt;&gt;"", OCTUBRE!D44, "")</f>
        <v/>
      </c>
      <c r="E44" s="37" t="str">
        <f>IF(OCTUBRE!E44&lt;&gt;"", OCTUBRE!E44, "")</f>
        <v>113222138DA3QG080800.0000026</v>
      </c>
      <c r="F44" s="31" t="str">
        <f>IF(OCTUBRE!F44&lt;&gt;"", OCTUBRE!F44, "")</f>
        <v>VACANTE</v>
      </c>
      <c r="G44" s="31" t="str">
        <f>IF(OCTUBRE!G44&lt;&gt;"", OCTUBRE!G44, "")</f>
        <v/>
      </c>
      <c r="H44" s="31" t="str">
        <f>IF(OCTUBRE!H44&lt;&gt;"", OCTUBRE!H44, "")</f>
        <v/>
      </c>
      <c r="I44" s="72" t="str">
        <f>IF(OCTUBRE!I44&lt;&gt;"", OCTUBRE!I44, "")</f>
        <v/>
      </c>
      <c r="J44" s="72" t="str">
        <f>IF(OCTUBRE!J44&lt;&gt;"", OCTUBRE!J44, "")</f>
        <v/>
      </c>
      <c r="K44" s="72" t="str">
        <f>IF(OCTUBRE!K44&lt;&gt;"", OCTUBRE!K44, "")</f>
        <v/>
      </c>
      <c r="L44" s="72" t="str">
        <f>IF(OCTUBRE!L44&lt;&gt;"", OCTUBRE!L44, "")</f>
        <v/>
      </c>
      <c r="M44" s="30" t="str">
        <f>IF(OCTUBRE!N44&lt;&gt;"", OCTUBRE!N44, "")</f>
        <v>X</v>
      </c>
      <c r="N44" s="30" t="str">
        <f>IF(OCTUBRE!O44&lt;&gt;"", OCTUBRE!O44, "")</f>
        <v/>
      </c>
      <c r="O44" s="73" t="str">
        <f>IF(OCTUBRE!P44&lt;&gt;"", OCTUBRE!P44, "")</f>
        <v/>
      </c>
      <c r="P44" s="83">
        <f>Tabla1[[#This Row],[SALARIO DIARIO]]</f>
        <v>278.8</v>
      </c>
      <c r="Q44" s="83">
        <f>Tabla15[[#This Row],[SUELDO MENSUAL]]/2</f>
        <v>4182</v>
      </c>
      <c r="R44" s="84">
        <f>Tabla1[[#This Row],[SUELDO MENSUAL]]</f>
        <v>8364</v>
      </c>
      <c r="S44" s="84">
        <f>Tabla15[[#This Row],[DESPENSA MENSUAL]]/2</f>
        <v>142</v>
      </c>
      <c r="T44" s="84">
        <f>Tabla1[[#This Row],[DESPENSA MENSUAL]]</f>
        <v>284</v>
      </c>
      <c r="U44" s="84">
        <f>Tabla15[[#This Row],[COMPENSACIÓN (J5)  MENSUAL]]/2</f>
        <v>5000</v>
      </c>
      <c r="V44" s="84">
        <f>Tabla1[[#This Row],[COMPENSACIÓN (J5)  MENSUAL]]</f>
        <v>10000</v>
      </c>
      <c r="W44" s="84">
        <f>Tabla1[[#This Row],[QUINQUENIO]]/2</f>
        <v>0</v>
      </c>
      <c r="X44" s="84">
        <f>Tabla1[[#This Row],[COMPENSACIÓN (J6) MENSUAL]]/2</f>
        <v>0</v>
      </c>
      <c r="Y44" s="85">
        <f t="shared" si="8"/>
        <v>9324</v>
      </c>
      <c r="Z44" s="83">
        <f>Tabla1[[#This Row],[ISR MENSUAL]]/2</f>
        <v>1047.4325799999997</v>
      </c>
      <c r="AA44" s="40">
        <f t="shared" si="10"/>
        <v>1101.8176000000001</v>
      </c>
      <c r="AB44" s="43">
        <f t="shared" si="9"/>
        <v>2149.25018</v>
      </c>
      <c r="AC44" s="44">
        <f t="shared" si="4"/>
        <v>7174.74982</v>
      </c>
      <c r="AD44" s="45">
        <v>0.26</v>
      </c>
      <c r="AE44" s="45">
        <f t="shared" si="11"/>
        <v>2203.6352000000002</v>
      </c>
      <c r="AF44" s="46">
        <f t="shared" si="2"/>
        <v>167.28</v>
      </c>
      <c r="AG44" s="45">
        <f t="shared" si="3"/>
        <v>279.71999999999997</v>
      </c>
      <c r="AH44" s="44">
        <f t="shared" si="5"/>
        <v>2650.6352000000002</v>
      </c>
      <c r="AI44" s="47">
        <f t="shared" si="6"/>
        <v>11974.635200000001</v>
      </c>
    </row>
    <row r="45" spans="1:35" s="1" customFormat="1" ht="30" customHeight="1" x14ac:dyDescent="0.25">
      <c r="A45" s="71">
        <f>IF(OCTUBRE!A45&lt;&gt;"", OCTUBRE!A45, "")</f>
        <v>92700253</v>
      </c>
      <c r="B45" s="72" t="str">
        <f>IF(OCTUBRE!B45&lt;&gt;"", OCTUBRE!B45, "")</f>
        <v>194</v>
      </c>
      <c r="C45" s="72" t="str">
        <f>IF(OCTUBRE!C45&lt;&gt;"", OCTUBRE!C45, "")</f>
        <v>56</v>
      </c>
      <c r="D45" s="72" t="str">
        <f>IF(OCTUBRE!D45&lt;&gt;"", OCTUBRE!D45, "")</f>
        <v>G0808</v>
      </c>
      <c r="E45" s="37" t="str">
        <f>IF(OCTUBRE!E45&lt;&gt;"", OCTUBRE!E45, "")</f>
        <v>113222138DA3QG080800.0000027</v>
      </c>
      <c r="F45" s="31" t="str">
        <f>IF(OCTUBRE!F45&lt;&gt;"", OCTUBRE!F45, "")</f>
        <v>TEOYOTL MORALES REYNA LAURA</v>
      </c>
      <c r="G45" s="31" t="str">
        <f>IF(OCTUBRE!G45&lt;&gt;"", OCTUBRE!G45, "")</f>
        <v>DEPARTAMENTO DE RECURSOS MATERIALES Y SERVICIOS GENERALES</v>
      </c>
      <c r="H45" s="31" t="str">
        <f>IF(OCTUBRE!H45&lt;&gt;"", OCTUBRE!H45, "")</f>
        <v>Analista Especializado Consultivo C</v>
      </c>
      <c r="I45" s="72" t="str">
        <f>IF(OCTUBRE!I45&lt;&gt;"", OCTUBRE!I45, "")</f>
        <v>TEMR721229MPLYRY05</v>
      </c>
      <c r="J45" s="72" t="str">
        <f>IF(OCTUBRE!J45&lt;&gt;"", OCTUBRE!J45, "")</f>
        <v>TEMR721229TM6</v>
      </c>
      <c r="K45" s="72" t="str">
        <f>IF(OCTUBRE!K45&lt;&gt;"", OCTUBRE!K45, "")</f>
        <v>ACTIVO</v>
      </c>
      <c r="L45" s="72" t="str">
        <f>IF(OCTUBRE!L45&lt;&gt;"", OCTUBRE!L45, "")</f>
        <v>16/07/2025</v>
      </c>
      <c r="M45" s="30" t="str">
        <f>IF(OCTUBRE!N45&lt;&gt;"", OCTUBRE!N45, "")</f>
        <v>X</v>
      </c>
      <c r="N45" s="30" t="str">
        <f>IF(OCTUBRE!O45&lt;&gt;"", OCTUBRE!O45, "")</f>
        <v>M</v>
      </c>
      <c r="O45" s="73" t="str">
        <f>IF(OCTUBRE!P45&lt;&gt;"", OCTUBRE!P45, "")</f>
        <v>53</v>
      </c>
      <c r="P45" s="83">
        <f>Tabla1[[#This Row],[SALARIO DIARIO]]</f>
        <v>278.8</v>
      </c>
      <c r="Q45" s="83">
        <f>Tabla15[[#This Row],[SUELDO MENSUAL]]/2</f>
        <v>4182</v>
      </c>
      <c r="R45" s="84">
        <f>Tabla1[[#This Row],[SUELDO MENSUAL]]</f>
        <v>8364</v>
      </c>
      <c r="S45" s="84">
        <f>Tabla15[[#This Row],[DESPENSA MENSUAL]]/2</f>
        <v>142</v>
      </c>
      <c r="T45" s="84">
        <f>Tabla1[[#This Row],[DESPENSA MENSUAL]]</f>
        <v>284</v>
      </c>
      <c r="U45" s="84">
        <f>Tabla15[[#This Row],[COMPENSACIÓN (J5)  MENSUAL]]/2</f>
        <v>3008</v>
      </c>
      <c r="V45" s="84">
        <f>Tabla1[[#This Row],[COMPENSACIÓN (J5)  MENSUAL]]</f>
        <v>6016</v>
      </c>
      <c r="W45" s="84">
        <f>Tabla1[[#This Row],[QUINQUENIO]]/2</f>
        <v>0</v>
      </c>
      <c r="X45" s="84">
        <f>Tabla1[[#This Row],[COMPENSACIÓN (J6) MENSUAL]]/2</f>
        <v>0</v>
      </c>
      <c r="Y45" s="85">
        <f t="shared" si="8"/>
        <v>7332</v>
      </c>
      <c r="Z45" s="83">
        <f>Tabla1[[#This Row],[ISR MENSUAL]]/2</f>
        <v>671.30376000000012</v>
      </c>
      <c r="AA45" s="40">
        <f t="shared" si="10"/>
        <v>1101.8176000000001</v>
      </c>
      <c r="AB45" s="43">
        <f t="shared" si="9"/>
        <v>1773.1213600000001</v>
      </c>
      <c r="AC45" s="44">
        <f t="shared" si="4"/>
        <v>5558.8786399999999</v>
      </c>
      <c r="AD45" s="45">
        <v>0.19</v>
      </c>
      <c r="AE45" s="45">
        <f t="shared" si="11"/>
        <v>1610.3488000000002</v>
      </c>
      <c r="AF45" s="46">
        <f t="shared" si="2"/>
        <v>167.28</v>
      </c>
      <c r="AG45" s="45">
        <f t="shared" si="3"/>
        <v>219.95999999999998</v>
      </c>
      <c r="AH45" s="44">
        <f t="shared" si="5"/>
        <v>1997.5888000000002</v>
      </c>
      <c r="AI45" s="47">
        <f t="shared" si="6"/>
        <v>9329.5887999999995</v>
      </c>
    </row>
    <row r="46" spans="1:35" s="1" customFormat="1" ht="30" customHeight="1" x14ac:dyDescent="0.25">
      <c r="A46" s="100">
        <f>IF(OCTUBRE!A46&lt;&gt;"", OCTUBRE!A46, "")</f>
        <v>92700217</v>
      </c>
      <c r="B46" s="72" t="str">
        <f>IF(OCTUBRE!B46&lt;&gt;"", OCTUBRE!B46, "")</f>
        <v>190</v>
      </c>
      <c r="C46" s="72" t="str">
        <f>IF(OCTUBRE!C46&lt;&gt;"", OCTUBRE!C46, "")</f>
        <v>7</v>
      </c>
      <c r="D46" s="72" t="str">
        <f>IF(OCTUBRE!D46&lt;&gt;"", OCTUBRE!D46, "")</f>
        <v>G0501</v>
      </c>
      <c r="E46" s="37" t="str">
        <f>IF(OCTUBRE!E46&lt;&gt;"", OCTUBRE!E46, "")</f>
        <v>113022138DA3QG050100.0000006</v>
      </c>
      <c r="F46" s="31" t="str">
        <f>IF(OCTUBRE!F46&lt;&gt;"", OCTUBRE!F46, "")</f>
        <v>GAMA MATEOS REYES</v>
      </c>
      <c r="G46" s="31" t="str">
        <f>IF(OCTUBRE!G46&lt;&gt;"", OCTUBRE!G46, "")</f>
        <v>DIRECCIÓN DE OFICINAS DE REPRESENTACION</v>
      </c>
      <c r="H46" s="31" t="str">
        <f>IF(OCTUBRE!H46&lt;&gt;"", OCTUBRE!H46, "")</f>
        <v xml:space="preserve">DIRECTOR DE OFICINAS DE REPRESENTACIÓN </v>
      </c>
      <c r="I46" s="72" t="str">
        <f>IF(OCTUBRE!I46&lt;&gt;"", OCTUBRE!I46, "")</f>
        <v>GAMR930313HPLMTY06</v>
      </c>
      <c r="J46" s="72" t="str">
        <f>IF(OCTUBRE!J46&lt;&gt;"", OCTUBRE!J46, "")</f>
        <v>GAMR930313HD0</v>
      </c>
      <c r="K46" s="72" t="str">
        <f>IF(OCTUBRE!K46&lt;&gt;"", OCTUBRE!K46, "")</f>
        <v>ACTIVO</v>
      </c>
      <c r="L46" s="72" t="str">
        <f>IF(OCTUBRE!L46&lt;&gt;"", OCTUBRE!L46, "")</f>
        <v/>
      </c>
      <c r="M46" s="30" t="str">
        <f>IF(OCTUBRE!N46&lt;&gt;"", OCTUBRE!N46, "")</f>
        <v>X</v>
      </c>
      <c r="N46" s="30" t="str">
        <f>IF(OCTUBRE!O46&lt;&gt;"", OCTUBRE!O46, "")</f>
        <v>H</v>
      </c>
      <c r="O46" s="73" t="str">
        <f>IF(OCTUBRE!P46&lt;&gt;"", OCTUBRE!P46, "")</f>
        <v>32</v>
      </c>
      <c r="P46" s="83">
        <f>Tabla1[[#This Row],[SALARIO DIARIO]]</f>
        <v>492.46</v>
      </c>
      <c r="Q46" s="83">
        <f>Tabla15[[#This Row],[SUELDO MENSUAL]]/2</f>
        <v>7386.9</v>
      </c>
      <c r="R46" s="84">
        <f>Tabla1[[#This Row],[SUELDO MENSUAL]]</f>
        <v>14773.8</v>
      </c>
      <c r="S46" s="84">
        <f>Tabla15[[#This Row],[DESPENSA MENSUAL]]/2</f>
        <v>142</v>
      </c>
      <c r="T46" s="84">
        <f>Tabla1[[#This Row],[DESPENSA MENSUAL]]</f>
        <v>284</v>
      </c>
      <c r="U46" s="84">
        <f>Tabla15[[#This Row],[COMPENSACIÓN (J5)  MENSUAL]]/2</f>
        <v>13200</v>
      </c>
      <c r="V46" s="84">
        <f>Tabla1[[#This Row],[COMPENSACIÓN (J5)  MENSUAL]]</f>
        <v>26400</v>
      </c>
      <c r="W46" s="84">
        <f>Tabla1[[#This Row],[QUINQUENIO]]/2</f>
        <v>0</v>
      </c>
      <c r="X46" s="84">
        <f>Tabla1[[#This Row],[COMPENSACIÓN (J6) MENSUAL]]/2</f>
        <v>0</v>
      </c>
      <c r="Y46" s="85">
        <f t="shared" si="8"/>
        <v>20728.900000000001</v>
      </c>
      <c r="Z46" s="83">
        <f>Tabla1[[#This Row],[ISR MENSUAL]]/2</f>
        <v>3549.3472960000008</v>
      </c>
      <c r="AA46" s="40">
        <f>Q46*13%</f>
        <v>960.29700000000003</v>
      </c>
      <c r="AB46" s="43">
        <f t="shared" si="9"/>
        <v>4509.6442960000004</v>
      </c>
      <c r="AC46" s="44">
        <f t="shared" si="4"/>
        <v>16219.255704000001</v>
      </c>
      <c r="AD46" s="45">
        <v>0.26</v>
      </c>
      <c r="AE46" s="45">
        <f>R46*AD46</f>
        <v>3841.1880000000001</v>
      </c>
      <c r="AF46" s="46">
        <f t="shared" si="2"/>
        <v>295.476</v>
      </c>
      <c r="AG46" s="45">
        <f t="shared" si="3"/>
        <v>621.86700000000008</v>
      </c>
      <c r="AH46" s="44">
        <f t="shared" si="5"/>
        <v>4758.5309999999999</v>
      </c>
      <c r="AI46" s="47">
        <f t="shared" si="6"/>
        <v>25487.431</v>
      </c>
    </row>
    <row r="47" spans="1:35" s="1" customFormat="1" ht="30" customHeight="1" x14ac:dyDescent="0.25">
      <c r="A47" s="71">
        <f>IF(OCTUBRE!A47&lt;&gt;"", OCTUBRE!A47, "")</f>
        <v>92700248</v>
      </c>
      <c r="B47" s="72" t="str">
        <f>IF(OCTUBRE!B47&lt;&gt;"", OCTUBRE!B47, "")</f>
        <v>1902</v>
      </c>
      <c r="C47" s="72" t="str">
        <f>IF(OCTUBRE!C47&lt;&gt;"", OCTUBRE!C47, "")</f>
        <v>8</v>
      </c>
      <c r="D47" s="72" t="str">
        <f>IF(OCTUBRE!D47&lt;&gt;"", OCTUBRE!D47, "")</f>
        <v>G0808</v>
      </c>
      <c r="E47" s="37" t="str">
        <f>IF(OCTUBRE!E47&lt;&gt;"", OCTUBRE!E47, "")</f>
        <v>113222138DA3QG080800.0000015</v>
      </c>
      <c r="F47" s="31" t="str">
        <f>IF(OCTUBRE!F47&lt;&gt;"", OCTUBRE!F47, "")</f>
        <v>SANCHEZ HERNANDEZ HECTOR MARTIN</v>
      </c>
      <c r="G47" s="31" t="str">
        <f>IF(OCTUBRE!G47&lt;&gt;"", OCTUBRE!G47, "")</f>
        <v>DIRECCIÓN DE OFICINAS DE REPRESENTACION</v>
      </c>
      <c r="H47" s="31" t="str">
        <f>IF(OCTUBRE!H47&lt;&gt;"", OCTUBRE!H47, "")</f>
        <v>Analista Especializado Consultivo C</v>
      </c>
      <c r="I47" s="72" t="str">
        <f>IF(OCTUBRE!I47&lt;&gt;"", OCTUBRE!I47, "")</f>
        <v>SAHH881117HPLNRC025</v>
      </c>
      <c r="J47" s="72" t="str">
        <f>IF(OCTUBRE!J47&lt;&gt;"", OCTUBRE!J47, "")</f>
        <v>SAHH881117JD3</v>
      </c>
      <c r="K47" s="72" t="str">
        <f>IF(OCTUBRE!K47&lt;&gt;"", OCTUBRE!K47, "")</f>
        <v>ACTIVO</v>
      </c>
      <c r="L47" s="72" t="str">
        <f>IF(OCTUBRE!L47&lt;&gt;"", OCTUBRE!L47, "")</f>
        <v>01/09/2025</v>
      </c>
      <c r="M47" s="30" t="str">
        <f>IF(OCTUBRE!N47&lt;&gt;"", OCTUBRE!N47, "")</f>
        <v>X</v>
      </c>
      <c r="N47" s="30" t="str">
        <f>IF(OCTUBRE!O47&lt;&gt;"", OCTUBRE!O47, "")</f>
        <v>H</v>
      </c>
      <c r="O47" s="73" t="str">
        <f>IF(OCTUBRE!P47&lt;&gt;"", OCTUBRE!P47, "")</f>
        <v>37</v>
      </c>
      <c r="P47" s="83">
        <f>Tabla1[[#This Row],[SALARIO DIARIO]]</f>
        <v>278.8</v>
      </c>
      <c r="Q47" s="83">
        <f>Tabla15[[#This Row],[SUELDO MENSUAL]]/2</f>
        <v>4182</v>
      </c>
      <c r="R47" s="84">
        <f>Tabla1[[#This Row],[SUELDO MENSUAL]]</f>
        <v>8364</v>
      </c>
      <c r="S47" s="84">
        <f>Tabla15[[#This Row],[DESPENSA MENSUAL]]/2</f>
        <v>142</v>
      </c>
      <c r="T47" s="84">
        <f>Tabla1[[#This Row],[DESPENSA MENSUAL]]</f>
        <v>284</v>
      </c>
      <c r="U47" s="84">
        <f>Tabla15[[#This Row],[COMPENSACIÓN (J5)  MENSUAL]]/2</f>
        <v>5000</v>
      </c>
      <c r="V47" s="84">
        <f>Tabla1[[#This Row],[COMPENSACIÓN (J5)  MENSUAL]]</f>
        <v>10000</v>
      </c>
      <c r="W47" s="84">
        <f>Tabla1[[#This Row],[QUINQUENIO]]/2</f>
        <v>0</v>
      </c>
      <c r="X47" s="84">
        <f>Tabla1[[#This Row],[COMPENSACIÓN (J6) MENSUAL]]/2</f>
        <v>0</v>
      </c>
      <c r="Y47" s="85">
        <f t="shared" si="8"/>
        <v>9324</v>
      </c>
      <c r="Z47" s="83">
        <f>Tabla1[[#This Row],[ISR MENSUAL]]/2</f>
        <v>1047.4325799999997</v>
      </c>
      <c r="AA47" s="40">
        <f t="shared" ref="AA47:AA54" si="12">(P47*30.4)*13%</f>
        <v>1101.8176000000001</v>
      </c>
      <c r="AB47" s="43">
        <f t="shared" si="9"/>
        <v>2149.25018</v>
      </c>
      <c r="AC47" s="44">
        <f t="shared" si="4"/>
        <v>7174.74982</v>
      </c>
      <c r="AD47" s="45">
        <v>0.26</v>
      </c>
      <c r="AE47" s="45">
        <f t="shared" ref="AE47:AE54" si="13">(P47*30.4)*AD47</f>
        <v>2203.6352000000002</v>
      </c>
      <c r="AF47" s="46">
        <f t="shared" si="2"/>
        <v>167.28</v>
      </c>
      <c r="AG47" s="45">
        <f t="shared" si="3"/>
        <v>279.71999999999997</v>
      </c>
      <c r="AH47" s="44">
        <f t="shared" si="5"/>
        <v>2650.6352000000002</v>
      </c>
      <c r="AI47" s="47">
        <f t="shared" si="6"/>
        <v>11974.635200000001</v>
      </c>
    </row>
    <row r="48" spans="1:35" s="1" customFormat="1" ht="30" customHeight="1" x14ac:dyDescent="0.25">
      <c r="A48" s="71">
        <f>IF(OCTUBRE!A48&lt;&gt;"", OCTUBRE!A48, "")</f>
        <v>92700233</v>
      </c>
      <c r="B48" s="72" t="str">
        <f>IF(OCTUBRE!B48&lt;&gt;"", OCTUBRE!B48, "")</f>
        <v>1903</v>
      </c>
      <c r="C48" s="72" t="str">
        <f>IF(OCTUBRE!C48&lt;&gt;"", OCTUBRE!C48, "")</f>
        <v>60</v>
      </c>
      <c r="D48" s="72" t="str">
        <f>IF(OCTUBRE!D48&lt;&gt;"", OCTUBRE!D48, "")</f>
        <v>G0808</v>
      </c>
      <c r="E48" s="37" t="str">
        <f>IF(OCTUBRE!E48&lt;&gt;"", OCTUBRE!E48, "")</f>
        <v>113222138DA3QG080800.0000016</v>
      </c>
      <c r="F48" s="31" t="str">
        <f>IF(OCTUBRE!F48&lt;&gt;"", OCTUBRE!F48, "")</f>
        <v>MARTINEZ HERNANDEZ NAYELI</v>
      </c>
      <c r="G48" s="31" t="str">
        <f>IF(OCTUBRE!G48&lt;&gt;"", OCTUBRE!G48, "")</f>
        <v>DIRECCIÓN DE OFICINAS DE REPRESENTACION</v>
      </c>
      <c r="H48" s="31" t="str">
        <f>IF(OCTUBRE!H48&lt;&gt;"", OCTUBRE!H48, "")</f>
        <v>Analista Especializado Consultivo C</v>
      </c>
      <c r="I48" s="72" t="str">
        <f>IF(OCTUBRE!I48&lt;&gt;"", OCTUBRE!I48, "")</f>
        <v>MAHN960119MPLRRY00</v>
      </c>
      <c r="J48" s="72" t="str">
        <f>IF(OCTUBRE!J48&lt;&gt;"", OCTUBRE!J48, "")</f>
        <v>MAHN960119TU4</v>
      </c>
      <c r="K48" s="72" t="str">
        <f>IF(OCTUBRE!K48&lt;&gt;"", OCTUBRE!K48, "")</f>
        <v>ACTIVO</v>
      </c>
      <c r="L48" s="72" t="str">
        <f>IF(OCTUBRE!L48&lt;&gt;"", OCTUBRE!L48, "")</f>
        <v>01/02/2025</v>
      </c>
      <c r="M48" s="30" t="str">
        <f>IF(OCTUBRE!N48&lt;&gt;"", OCTUBRE!N48, "")</f>
        <v>X</v>
      </c>
      <c r="N48" s="30" t="str">
        <f>IF(OCTUBRE!O48&lt;&gt;"", OCTUBRE!O48, "")</f>
        <v>M</v>
      </c>
      <c r="O48" s="73" t="str">
        <f>IF(OCTUBRE!P48&lt;&gt;"", OCTUBRE!P48, "")</f>
        <v>29</v>
      </c>
      <c r="P48" s="83">
        <f>Tabla1[[#This Row],[SALARIO DIARIO]]</f>
        <v>278.8</v>
      </c>
      <c r="Q48" s="83">
        <f>Tabla15[[#This Row],[SUELDO MENSUAL]]/2</f>
        <v>4182</v>
      </c>
      <c r="R48" s="84">
        <f>Tabla1[[#This Row],[SUELDO MENSUAL]]</f>
        <v>8364</v>
      </c>
      <c r="S48" s="84">
        <f>Tabla15[[#This Row],[DESPENSA MENSUAL]]/2</f>
        <v>142</v>
      </c>
      <c r="T48" s="84">
        <f>Tabla1[[#This Row],[DESPENSA MENSUAL]]</f>
        <v>284</v>
      </c>
      <c r="U48" s="84">
        <f>Tabla15[[#This Row],[COMPENSACIÓN (J5)  MENSUAL]]/2</f>
        <v>5000</v>
      </c>
      <c r="V48" s="84">
        <f>Tabla1[[#This Row],[COMPENSACIÓN (J5)  MENSUAL]]</f>
        <v>10000</v>
      </c>
      <c r="W48" s="84">
        <f>Tabla1[[#This Row],[QUINQUENIO]]/2</f>
        <v>0</v>
      </c>
      <c r="X48" s="84">
        <f>Tabla1[[#This Row],[COMPENSACIÓN (J6) MENSUAL]]/2</f>
        <v>0</v>
      </c>
      <c r="Y48" s="85">
        <f t="shared" si="8"/>
        <v>9324</v>
      </c>
      <c r="Z48" s="83">
        <f>Tabla1[[#This Row],[ISR MENSUAL]]/2</f>
        <v>1047.4325799999997</v>
      </c>
      <c r="AA48" s="40">
        <f t="shared" si="12"/>
        <v>1101.8176000000001</v>
      </c>
      <c r="AB48" s="43">
        <f t="shared" si="9"/>
        <v>2149.25018</v>
      </c>
      <c r="AC48" s="44">
        <f t="shared" si="4"/>
        <v>7174.74982</v>
      </c>
      <c r="AD48" s="45">
        <v>0.26</v>
      </c>
      <c r="AE48" s="45">
        <f t="shared" si="13"/>
        <v>2203.6352000000002</v>
      </c>
      <c r="AF48" s="46">
        <f t="shared" si="2"/>
        <v>167.28</v>
      </c>
      <c r="AG48" s="45">
        <f t="shared" si="3"/>
        <v>279.71999999999997</v>
      </c>
      <c r="AH48" s="44">
        <f t="shared" si="5"/>
        <v>2650.6352000000002</v>
      </c>
      <c r="AI48" s="47">
        <f t="shared" si="6"/>
        <v>11974.635200000001</v>
      </c>
    </row>
    <row r="49" spans="1:35" s="1" customFormat="1" ht="30" customHeight="1" x14ac:dyDescent="0.25">
      <c r="A49" s="71">
        <f>IF(OCTUBRE!A49&lt;&gt;"", OCTUBRE!A49, "")</f>
        <v>92700242</v>
      </c>
      <c r="B49" s="72" t="str">
        <f>IF(OCTUBRE!B49&lt;&gt;"", OCTUBRE!B49, "")</f>
        <v>1904</v>
      </c>
      <c r="C49" s="72" t="str">
        <f>IF(OCTUBRE!C49&lt;&gt;"", OCTUBRE!C49, "")</f>
        <v>79</v>
      </c>
      <c r="D49" s="72" t="str">
        <f>IF(OCTUBRE!D49&lt;&gt;"", OCTUBRE!D49, "")</f>
        <v>G0808</v>
      </c>
      <c r="E49" s="37" t="str">
        <f>IF(OCTUBRE!E49&lt;&gt;"", OCTUBRE!E49, "")</f>
        <v>113222138DA3QG080800.0000017</v>
      </c>
      <c r="F49" s="31" t="str">
        <f>IF(OCTUBRE!F49&lt;&gt;"", OCTUBRE!F49, "")</f>
        <v>MELENDEZ PEREZ SUSANA</v>
      </c>
      <c r="G49" s="31" t="str">
        <f>IF(OCTUBRE!G49&lt;&gt;"", OCTUBRE!G49, "")</f>
        <v>DIRECCIÓN DE OFICINAS DE REPRESENTACION</v>
      </c>
      <c r="H49" s="31" t="str">
        <f>IF(OCTUBRE!H49&lt;&gt;"", OCTUBRE!H49, "")</f>
        <v>Analista Especializado Consultivo C</v>
      </c>
      <c r="I49" s="72" t="str">
        <f>IF(OCTUBRE!I49&lt;&gt;"", OCTUBRE!I49, "")</f>
        <v>MEPS840408MPLLRS07</v>
      </c>
      <c r="J49" s="72" t="str">
        <f>IF(OCTUBRE!J49&lt;&gt;"", OCTUBRE!J49, "")</f>
        <v>MEPS840408H88</v>
      </c>
      <c r="K49" s="72" t="str">
        <f>IF(OCTUBRE!K49&lt;&gt;"", OCTUBRE!K49, "")</f>
        <v>ACTIVO</v>
      </c>
      <c r="L49" s="72" t="str">
        <f>IF(OCTUBRE!L49&lt;&gt;"", OCTUBRE!L49, "")</f>
        <v>16/04/2025</v>
      </c>
      <c r="M49" s="30" t="str">
        <f>IF(OCTUBRE!N49&lt;&gt;"", OCTUBRE!N49, "")</f>
        <v>X</v>
      </c>
      <c r="N49" s="30" t="str">
        <f>IF(OCTUBRE!O49&lt;&gt;"", OCTUBRE!O49, "")</f>
        <v>M</v>
      </c>
      <c r="O49" s="73" t="str">
        <f>IF(OCTUBRE!P49&lt;&gt;"", OCTUBRE!P49, "")</f>
        <v>41</v>
      </c>
      <c r="P49" s="83">
        <f>Tabla1[[#This Row],[SALARIO DIARIO]]</f>
        <v>278.8</v>
      </c>
      <c r="Q49" s="83">
        <f>Tabla15[[#This Row],[SUELDO MENSUAL]]/2</f>
        <v>4182</v>
      </c>
      <c r="R49" s="84">
        <f>Tabla1[[#This Row],[SUELDO MENSUAL]]</f>
        <v>8364</v>
      </c>
      <c r="S49" s="84">
        <f>Tabla15[[#This Row],[DESPENSA MENSUAL]]/2</f>
        <v>142</v>
      </c>
      <c r="T49" s="84">
        <f>Tabla1[[#This Row],[DESPENSA MENSUAL]]</f>
        <v>284</v>
      </c>
      <c r="U49" s="84">
        <f>Tabla15[[#This Row],[COMPENSACIÓN (J5)  MENSUAL]]/2</f>
        <v>5000</v>
      </c>
      <c r="V49" s="84">
        <f>Tabla1[[#This Row],[COMPENSACIÓN (J5)  MENSUAL]]</f>
        <v>10000</v>
      </c>
      <c r="W49" s="84">
        <f>Tabla1[[#This Row],[QUINQUENIO]]/2</f>
        <v>0</v>
      </c>
      <c r="X49" s="84">
        <f>Tabla1[[#This Row],[COMPENSACIÓN (J6) MENSUAL]]/2</f>
        <v>0</v>
      </c>
      <c r="Y49" s="85">
        <f t="shared" si="8"/>
        <v>9324</v>
      </c>
      <c r="Z49" s="83">
        <f>Tabla1[[#This Row],[ISR MENSUAL]]/2</f>
        <v>1047.4325799999997</v>
      </c>
      <c r="AA49" s="40">
        <f t="shared" si="12"/>
        <v>1101.8176000000001</v>
      </c>
      <c r="AB49" s="43">
        <f t="shared" si="9"/>
        <v>2149.25018</v>
      </c>
      <c r="AC49" s="44">
        <f t="shared" si="4"/>
        <v>7174.74982</v>
      </c>
      <c r="AD49" s="45">
        <v>0.26</v>
      </c>
      <c r="AE49" s="45">
        <f t="shared" si="13"/>
        <v>2203.6352000000002</v>
      </c>
      <c r="AF49" s="46">
        <f t="shared" si="2"/>
        <v>167.28</v>
      </c>
      <c r="AG49" s="45">
        <f t="shared" si="3"/>
        <v>279.71999999999997</v>
      </c>
      <c r="AH49" s="44">
        <f t="shared" si="5"/>
        <v>2650.6352000000002</v>
      </c>
      <c r="AI49" s="47">
        <f t="shared" si="6"/>
        <v>11974.635200000001</v>
      </c>
    </row>
    <row r="50" spans="1:35" s="1" customFormat="1" ht="30" customHeight="1" x14ac:dyDescent="0.25">
      <c r="A50" s="71" t="str">
        <f>IF(OCTUBRE!A50&lt;&gt;"", OCTUBRE!A50, "")</f>
        <v/>
      </c>
      <c r="B50" s="72" t="str">
        <f>IF(OCTUBRE!B50&lt;&gt;"", OCTUBRE!B50, "")</f>
        <v/>
      </c>
      <c r="C50" s="72" t="str">
        <f>IF(OCTUBRE!C50&lt;&gt;"", OCTUBRE!C50, "")</f>
        <v/>
      </c>
      <c r="D50" s="72" t="str">
        <f>IF(OCTUBRE!D50&lt;&gt;"", OCTUBRE!D50, "")</f>
        <v/>
      </c>
      <c r="E50" s="37" t="str">
        <f>IF(OCTUBRE!E50&lt;&gt;"", OCTUBRE!E50, "")</f>
        <v>113222138DA3QG080800.0000020</v>
      </c>
      <c r="F50" s="31" t="str">
        <f>IF(OCTUBRE!F50&lt;&gt;"", OCTUBRE!F50, "")</f>
        <v>VACANTE</v>
      </c>
      <c r="G50" s="31" t="str">
        <f>IF(OCTUBRE!G50&lt;&gt;"", OCTUBRE!G50, "")</f>
        <v/>
      </c>
      <c r="H50" s="31" t="str">
        <f>IF(OCTUBRE!H50&lt;&gt;"", OCTUBRE!H50, "")</f>
        <v/>
      </c>
      <c r="I50" s="72" t="str">
        <f>IF(OCTUBRE!I50&lt;&gt;"", OCTUBRE!I50, "")</f>
        <v/>
      </c>
      <c r="J50" s="72" t="str">
        <f>IF(OCTUBRE!J50&lt;&gt;"", OCTUBRE!J50, "")</f>
        <v/>
      </c>
      <c r="K50" s="72" t="str">
        <f>IF(OCTUBRE!K50&lt;&gt;"", OCTUBRE!K50, "")</f>
        <v/>
      </c>
      <c r="L50" s="72" t="str">
        <f>IF(OCTUBRE!L50&lt;&gt;"", OCTUBRE!L50, "")</f>
        <v/>
      </c>
      <c r="M50" s="30" t="str">
        <f>IF(OCTUBRE!N50&lt;&gt;"", OCTUBRE!N50, "")</f>
        <v>X</v>
      </c>
      <c r="N50" s="30" t="str">
        <f>IF(OCTUBRE!O50&lt;&gt;"", OCTUBRE!O50, "")</f>
        <v/>
      </c>
      <c r="O50" s="73" t="str">
        <f>IF(OCTUBRE!P50&lt;&gt;"", OCTUBRE!P50, "")</f>
        <v/>
      </c>
      <c r="P50" s="83">
        <f>Tabla1[[#This Row],[SALARIO DIARIO]]</f>
        <v>278.8</v>
      </c>
      <c r="Q50" s="83">
        <f>Tabla15[[#This Row],[SUELDO MENSUAL]]/2</f>
        <v>4182</v>
      </c>
      <c r="R50" s="84">
        <f>Tabla1[[#This Row],[SUELDO MENSUAL]]</f>
        <v>8364</v>
      </c>
      <c r="S50" s="84">
        <f>Tabla15[[#This Row],[DESPENSA MENSUAL]]/2</f>
        <v>142</v>
      </c>
      <c r="T50" s="84">
        <f>Tabla1[[#This Row],[DESPENSA MENSUAL]]</f>
        <v>284</v>
      </c>
      <c r="U50" s="84">
        <f>Tabla15[[#This Row],[COMPENSACIÓN (J5)  MENSUAL]]/2</f>
        <v>5000</v>
      </c>
      <c r="V50" s="84">
        <f>Tabla1[[#This Row],[COMPENSACIÓN (J5)  MENSUAL]]</f>
        <v>10000</v>
      </c>
      <c r="W50" s="84">
        <f>Tabla1[[#This Row],[QUINQUENIO]]/2</f>
        <v>0</v>
      </c>
      <c r="X50" s="84">
        <f>Tabla1[[#This Row],[COMPENSACIÓN (J6) MENSUAL]]/2</f>
        <v>0</v>
      </c>
      <c r="Y50" s="85">
        <f t="shared" si="8"/>
        <v>9324</v>
      </c>
      <c r="Z50" s="83">
        <f>Tabla1[[#This Row],[ISR MENSUAL]]/2</f>
        <v>1047.4325799999997</v>
      </c>
      <c r="AA50" s="40">
        <f t="shared" si="12"/>
        <v>1101.8176000000001</v>
      </c>
      <c r="AB50" s="43">
        <f t="shared" si="9"/>
        <v>2149.25018</v>
      </c>
      <c r="AC50" s="44">
        <f t="shared" si="4"/>
        <v>7174.74982</v>
      </c>
      <c r="AD50" s="45">
        <v>0.19</v>
      </c>
      <c r="AE50" s="45">
        <f t="shared" si="13"/>
        <v>1610.3488000000002</v>
      </c>
      <c r="AF50" s="46">
        <f t="shared" si="2"/>
        <v>167.28</v>
      </c>
      <c r="AG50" s="45">
        <f t="shared" si="3"/>
        <v>279.71999999999997</v>
      </c>
      <c r="AH50" s="44">
        <f t="shared" si="5"/>
        <v>2057.3488000000002</v>
      </c>
      <c r="AI50" s="47">
        <f t="shared" si="6"/>
        <v>11381.3488</v>
      </c>
    </row>
    <row r="51" spans="1:35" s="1" customFormat="1" ht="30" customHeight="1" x14ac:dyDescent="0.25">
      <c r="A51" s="71">
        <f>IF(OCTUBRE!A51&lt;&gt;"", OCTUBRE!A51, "")</f>
        <v>92700225</v>
      </c>
      <c r="B51" s="72" t="str">
        <f>IF(OCTUBRE!B51&lt;&gt;"", OCTUBRE!B51, "")</f>
        <v>1906</v>
      </c>
      <c r="C51" s="72" t="str">
        <f>IF(OCTUBRE!C51&lt;&gt;"", OCTUBRE!C51, "")</f>
        <v>1</v>
      </c>
      <c r="D51" s="72" t="str">
        <f>IF(OCTUBRE!D51&lt;&gt;"", OCTUBRE!D51, "")</f>
        <v>G0808</v>
      </c>
      <c r="E51" s="37" t="str">
        <f>IF(OCTUBRE!E51&lt;&gt;"", OCTUBRE!E51, "")</f>
        <v>113222138DA3QG080800.0000001</v>
      </c>
      <c r="F51" s="31" t="str">
        <f>IF(OCTUBRE!F51&lt;&gt;"", OCTUBRE!F51, "")</f>
        <v>MORALES EVANGELISTA JUDITH</v>
      </c>
      <c r="G51" s="31" t="str">
        <f>IF(OCTUBRE!G51&lt;&gt;"", OCTUBRE!G51, "")</f>
        <v>DIRECCIÓN DE OFICINAS DE REPRESENTACION</v>
      </c>
      <c r="H51" s="31" t="str">
        <f>IF(OCTUBRE!H51&lt;&gt;"", OCTUBRE!H51, "")</f>
        <v>Analista Especializado Consultivo C</v>
      </c>
      <c r="I51" s="72" t="str">
        <f>IF(OCTUBRE!I51&lt;&gt;"", OCTUBRE!I51, "")</f>
        <v>MOEJ830614MPLRVD06</v>
      </c>
      <c r="J51" s="72" t="str">
        <f>IF(OCTUBRE!J51&lt;&gt;"", OCTUBRE!J51, "")</f>
        <v>MOEJ830614677</v>
      </c>
      <c r="K51" s="72" t="str">
        <f>IF(OCTUBRE!K51&lt;&gt;"", OCTUBRE!K51, "")</f>
        <v>ACTIVO</v>
      </c>
      <c r="L51" s="72" t="str">
        <f>IF(OCTUBRE!L51&lt;&gt;"", OCTUBRE!L51, "")</f>
        <v>01/01/2025</v>
      </c>
      <c r="M51" s="30" t="str">
        <f>IF(OCTUBRE!N51&lt;&gt;"", OCTUBRE!N51, "")</f>
        <v>X</v>
      </c>
      <c r="N51" s="30" t="str">
        <f>IF(OCTUBRE!O51&lt;&gt;"", OCTUBRE!O51, "")</f>
        <v>M</v>
      </c>
      <c r="O51" s="73" t="str">
        <f>IF(OCTUBRE!P51&lt;&gt;"", OCTUBRE!P51, "")</f>
        <v>42</v>
      </c>
      <c r="P51" s="83">
        <f>Tabla1[[#This Row],[SALARIO DIARIO]]</f>
        <v>278.8</v>
      </c>
      <c r="Q51" s="83">
        <f>Tabla15[[#This Row],[SUELDO MENSUAL]]/2</f>
        <v>4182</v>
      </c>
      <c r="R51" s="84">
        <f>Tabla1[[#This Row],[SUELDO MENSUAL]]</f>
        <v>8364</v>
      </c>
      <c r="S51" s="84">
        <f>Tabla15[[#This Row],[DESPENSA MENSUAL]]/2</f>
        <v>142</v>
      </c>
      <c r="T51" s="84">
        <f>Tabla1[[#This Row],[DESPENSA MENSUAL]]</f>
        <v>284</v>
      </c>
      <c r="U51" s="84">
        <f>Tabla15[[#This Row],[COMPENSACIÓN (J5)  MENSUAL]]/2</f>
        <v>5000</v>
      </c>
      <c r="V51" s="84">
        <f>Tabla1[[#This Row],[COMPENSACIÓN (J5)  MENSUAL]]</f>
        <v>10000</v>
      </c>
      <c r="W51" s="84">
        <f>Tabla1[[#This Row],[QUINQUENIO]]/2</f>
        <v>0</v>
      </c>
      <c r="X51" s="84">
        <f>Tabla1[[#This Row],[COMPENSACIÓN (J6) MENSUAL]]/2</f>
        <v>0</v>
      </c>
      <c r="Y51" s="85">
        <f t="shared" si="8"/>
        <v>9324</v>
      </c>
      <c r="Z51" s="83">
        <f>Tabla1[[#This Row],[ISR MENSUAL]]/2</f>
        <v>1047.4325799999997</v>
      </c>
      <c r="AA51" s="40">
        <f t="shared" si="12"/>
        <v>1101.8176000000001</v>
      </c>
      <c r="AB51" s="43">
        <f t="shared" si="9"/>
        <v>2149.25018</v>
      </c>
      <c r="AC51" s="44">
        <f t="shared" si="4"/>
        <v>7174.74982</v>
      </c>
      <c r="AD51" s="45">
        <v>0.26</v>
      </c>
      <c r="AE51" s="45">
        <f t="shared" si="13"/>
        <v>2203.6352000000002</v>
      </c>
      <c r="AF51" s="46">
        <f t="shared" si="2"/>
        <v>167.28</v>
      </c>
      <c r="AG51" s="45">
        <f t="shared" si="3"/>
        <v>279.71999999999997</v>
      </c>
      <c r="AH51" s="44">
        <f t="shared" si="5"/>
        <v>2650.6352000000002</v>
      </c>
      <c r="AI51" s="47">
        <f t="shared" si="6"/>
        <v>11974.635200000001</v>
      </c>
    </row>
    <row r="52" spans="1:35" s="1" customFormat="1" ht="30" customHeight="1" x14ac:dyDescent="0.25">
      <c r="A52" s="71">
        <f>IF(OCTUBRE!A52&lt;&gt;"", OCTUBRE!A52, "")</f>
        <v>84662</v>
      </c>
      <c r="B52" s="72" t="str">
        <f>IF(OCTUBRE!B52&lt;&gt;"", OCTUBRE!B52, "")</f>
        <v>1907</v>
      </c>
      <c r="C52" s="72" t="str">
        <f>IF(OCTUBRE!C52&lt;&gt;"", OCTUBRE!C52, "")</f>
        <v>9</v>
      </c>
      <c r="D52" s="72" t="str">
        <f>IF(OCTUBRE!D52&lt;&gt;"", OCTUBRE!D52, "")</f>
        <v>G0808</v>
      </c>
      <c r="E52" s="37" t="str">
        <f>IF(OCTUBRE!E52&lt;&gt;"", OCTUBRE!E52, "")</f>
        <v>113222138DA3QG080800.0000019</v>
      </c>
      <c r="F52" s="31" t="str">
        <f>IF(OCTUBRE!F52&lt;&gt;"", OCTUBRE!F52, "")</f>
        <v>MARTINEZ DIAZ GABRIEL</v>
      </c>
      <c r="G52" s="31" t="str">
        <f>IF(OCTUBRE!G52&lt;&gt;"", OCTUBRE!G52, "")</f>
        <v>DIRECCIÓN DE OFICINAS DE REPRESENTACION</v>
      </c>
      <c r="H52" s="31" t="str">
        <f>IF(OCTUBRE!H52&lt;&gt;"", OCTUBRE!H52, "")</f>
        <v>Analista Especializado Consultivo C</v>
      </c>
      <c r="I52" s="72" t="str">
        <f>IF(OCTUBRE!I52&lt;&gt;"", OCTUBRE!I52, "")</f>
        <v>MADG821227HPLRZB00</v>
      </c>
      <c r="J52" s="72" t="str">
        <f>IF(OCTUBRE!J52&lt;&gt;"", OCTUBRE!J52, "")</f>
        <v>MADG821227RH7</v>
      </c>
      <c r="K52" s="72" t="str">
        <f>IF(OCTUBRE!K52&lt;&gt;"", OCTUBRE!K52, "")</f>
        <v>ACTIVO</v>
      </c>
      <c r="L52" s="72" t="str">
        <f>IF(OCTUBRE!L52&lt;&gt;"", OCTUBRE!L52, "")</f>
        <v>01/05/2025</v>
      </c>
      <c r="M52" s="30" t="str">
        <f>IF(OCTUBRE!N52&lt;&gt;"", OCTUBRE!N52, "")</f>
        <v>X</v>
      </c>
      <c r="N52" s="30" t="str">
        <f>IF(OCTUBRE!O52&lt;&gt;"", OCTUBRE!O52, "")</f>
        <v>H</v>
      </c>
      <c r="O52" s="73" t="str">
        <f>IF(OCTUBRE!P52&lt;&gt;"", OCTUBRE!P52, "")</f>
        <v>43</v>
      </c>
      <c r="P52" s="83">
        <f>Tabla1[[#This Row],[SALARIO DIARIO]]</f>
        <v>278.8</v>
      </c>
      <c r="Q52" s="83">
        <f>Tabla15[[#This Row],[SUELDO MENSUAL]]/2</f>
        <v>4182</v>
      </c>
      <c r="R52" s="84">
        <f>Tabla1[[#This Row],[SUELDO MENSUAL]]</f>
        <v>8364</v>
      </c>
      <c r="S52" s="84">
        <f>Tabla15[[#This Row],[DESPENSA MENSUAL]]/2</f>
        <v>142</v>
      </c>
      <c r="T52" s="84">
        <f>Tabla1[[#This Row],[DESPENSA MENSUAL]]</f>
        <v>284</v>
      </c>
      <c r="U52" s="84">
        <f>Tabla15[[#This Row],[COMPENSACIÓN (J5)  MENSUAL]]/2</f>
        <v>5000</v>
      </c>
      <c r="V52" s="84">
        <f>Tabla1[[#This Row],[COMPENSACIÓN (J5)  MENSUAL]]</f>
        <v>10000</v>
      </c>
      <c r="W52" s="84">
        <f>Tabla1[[#This Row],[QUINQUENIO]]/2</f>
        <v>0</v>
      </c>
      <c r="X52" s="84">
        <f>Tabla1[[#This Row],[COMPENSACIÓN (J6) MENSUAL]]/2</f>
        <v>0</v>
      </c>
      <c r="Y52" s="85">
        <f t="shared" si="8"/>
        <v>9324</v>
      </c>
      <c r="Z52" s="83">
        <f>Tabla1[[#This Row],[ISR MENSUAL]]/2</f>
        <v>1047.4325799999997</v>
      </c>
      <c r="AA52" s="40">
        <f t="shared" si="12"/>
        <v>1101.8176000000001</v>
      </c>
      <c r="AB52" s="43">
        <f t="shared" si="9"/>
        <v>2149.25018</v>
      </c>
      <c r="AC52" s="44">
        <f t="shared" si="4"/>
        <v>7174.74982</v>
      </c>
      <c r="AD52" s="45">
        <v>0.26</v>
      </c>
      <c r="AE52" s="45">
        <f t="shared" si="13"/>
        <v>2203.6352000000002</v>
      </c>
      <c r="AF52" s="46">
        <f t="shared" si="2"/>
        <v>167.28</v>
      </c>
      <c r="AG52" s="45">
        <f t="shared" si="3"/>
        <v>279.71999999999997</v>
      </c>
      <c r="AH52" s="44">
        <f t="shared" si="5"/>
        <v>2650.6352000000002</v>
      </c>
      <c r="AI52" s="47">
        <f t="shared" si="6"/>
        <v>11974.635200000001</v>
      </c>
    </row>
    <row r="53" spans="1:35" s="1" customFormat="1" ht="30" customHeight="1" x14ac:dyDescent="0.25">
      <c r="A53" s="71">
        <f>IF(OCTUBRE!A53&lt;&gt;"", OCTUBRE!A53, "")</f>
        <v>92700247</v>
      </c>
      <c r="B53" s="72" t="str">
        <f>IF(OCTUBRE!B53&lt;&gt;"", OCTUBRE!B53, "")</f>
        <v>1908</v>
      </c>
      <c r="C53" s="72" t="str">
        <f>IF(OCTUBRE!C53&lt;&gt;"", OCTUBRE!C53, "")</f>
        <v>62</v>
      </c>
      <c r="D53" s="72" t="str">
        <f>IF(OCTUBRE!D53&lt;&gt;"", OCTUBRE!D53, "")</f>
        <v>G0808</v>
      </c>
      <c r="E53" s="37" t="str">
        <f>IF(OCTUBRE!E53&lt;&gt;"", OCTUBRE!E53, "")</f>
        <v>113222138DA3QG080800.0000018</v>
      </c>
      <c r="F53" s="31" t="str">
        <f>IF(OCTUBRE!F53&lt;&gt;"", OCTUBRE!F53, "")</f>
        <v>SANCHEZ CESARIO EFREN</v>
      </c>
      <c r="G53" s="31" t="str">
        <f>IF(OCTUBRE!G53&lt;&gt;"", OCTUBRE!G53, "")</f>
        <v>DIRECCIÓN DE OFICINAS DE REPRESENTACION</v>
      </c>
      <c r="H53" s="31" t="str">
        <f>IF(OCTUBRE!H53&lt;&gt;"", OCTUBRE!H53, "")</f>
        <v>Analista Especializado Consultivo C</v>
      </c>
      <c r="I53" s="72" t="str">
        <f>IF(OCTUBRE!I53&lt;&gt;"", OCTUBRE!I53, "")</f>
        <v>SACE000108HPLNSFA3</v>
      </c>
      <c r="J53" s="72" t="str">
        <f>IF(OCTUBRE!J53&lt;&gt;"", OCTUBRE!J53, "")</f>
        <v>SACE000108F14</v>
      </c>
      <c r="K53" s="72" t="str">
        <f>IF(OCTUBRE!K53&lt;&gt;"", OCTUBRE!K53, "")</f>
        <v>ACTIVO</v>
      </c>
      <c r="L53" s="72" t="str">
        <f>IF(OCTUBRE!L53&lt;&gt;"", OCTUBRE!L53, "")</f>
        <v>16/05/2025</v>
      </c>
      <c r="M53" s="30" t="str">
        <f>IF(OCTUBRE!N53&lt;&gt;"", OCTUBRE!N53, "")</f>
        <v>x</v>
      </c>
      <c r="N53" s="30" t="str">
        <f>IF(OCTUBRE!O53&lt;&gt;"", OCTUBRE!O53, "")</f>
        <v>H</v>
      </c>
      <c r="O53" s="73" t="str">
        <f>IF(OCTUBRE!P53&lt;&gt;"", OCTUBRE!P53, "")</f>
        <v>26</v>
      </c>
      <c r="P53" s="83">
        <f>Tabla1[[#This Row],[SALARIO DIARIO]]</f>
        <v>278.8</v>
      </c>
      <c r="Q53" s="83">
        <f>Tabla15[[#This Row],[SUELDO MENSUAL]]/2</f>
        <v>4182</v>
      </c>
      <c r="R53" s="84">
        <f>Tabla1[[#This Row],[SUELDO MENSUAL]]</f>
        <v>8364</v>
      </c>
      <c r="S53" s="84">
        <f>Tabla15[[#This Row],[DESPENSA MENSUAL]]/2</f>
        <v>142</v>
      </c>
      <c r="T53" s="84">
        <f>Tabla1[[#This Row],[DESPENSA MENSUAL]]</f>
        <v>284</v>
      </c>
      <c r="U53" s="84">
        <f>Tabla15[[#This Row],[COMPENSACIÓN (J5)  MENSUAL]]/2</f>
        <v>5000</v>
      </c>
      <c r="V53" s="84">
        <f>Tabla1[[#This Row],[COMPENSACIÓN (J5)  MENSUAL]]</f>
        <v>10000</v>
      </c>
      <c r="W53" s="84">
        <f>Tabla1[[#This Row],[QUINQUENIO]]/2</f>
        <v>0</v>
      </c>
      <c r="X53" s="84">
        <f>Tabla1[[#This Row],[COMPENSACIÓN (J6) MENSUAL]]/2</f>
        <v>0</v>
      </c>
      <c r="Y53" s="85">
        <f t="shared" si="8"/>
        <v>9324</v>
      </c>
      <c r="Z53" s="83">
        <f>Tabla1[[#This Row],[ISR MENSUAL]]/2</f>
        <v>1047.4325799999997</v>
      </c>
      <c r="AA53" s="40">
        <f t="shared" si="12"/>
        <v>1101.8176000000001</v>
      </c>
      <c r="AB53" s="43">
        <f t="shared" si="9"/>
        <v>2149.25018</v>
      </c>
      <c r="AC53" s="44">
        <f t="shared" si="4"/>
        <v>7174.74982</v>
      </c>
      <c r="AD53" s="45">
        <v>0.26</v>
      </c>
      <c r="AE53" s="45">
        <f t="shared" si="13"/>
        <v>2203.6352000000002</v>
      </c>
      <c r="AF53" s="46">
        <f t="shared" si="2"/>
        <v>167.28</v>
      </c>
      <c r="AG53" s="45">
        <f t="shared" si="3"/>
        <v>279.71999999999997</v>
      </c>
      <c r="AH53" s="44">
        <f t="shared" si="5"/>
        <v>2650.6352000000002</v>
      </c>
      <c r="AI53" s="47">
        <f t="shared" si="6"/>
        <v>11974.635200000001</v>
      </c>
    </row>
    <row r="54" spans="1:35" ht="30" customHeight="1" thickBot="1" x14ac:dyDescent="0.3">
      <c r="A54" s="74" t="str">
        <f>IF(OCTUBRE!A54&lt;&gt;"", OCTUBRE!A54, "")</f>
        <v/>
      </c>
      <c r="B54" s="75" t="str">
        <f>IF(OCTUBRE!B54&lt;&gt;"", OCTUBRE!B54, "")</f>
        <v/>
      </c>
      <c r="C54" s="75" t="str">
        <f>IF(OCTUBRE!C54&lt;&gt;"", OCTUBRE!C54, "")</f>
        <v/>
      </c>
      <c r="D54" s="75" t="str">
        <f>IF(OCTUBRE!D54&lt;&gt;"", OCTUBRE!D54, "")</f>
        <v/>
      </c>
      <c r="E54" s="76" t="str">
        <f>IF(OCTUBRE!E54&lt;&gt;"", OCTUBRE!E54, "")</f>
        <v>113222138DA3QG080800.0000021</v>
      </c>
      <c r="F54" s="52" t="str">
        <f>IF(OCTUBRE!F54&lt;&gt;"", OCTUBRE!F54, "")</f>
        <v>VACANTE</v>
      </c>
      <c r="G54" s="52" t="str">
        <f>IF(OCTUBRE!G54&lt;&gt;"", OCTUBRE!G54, "")</f>
        <v/>
      </c>
      <c r="H54" s="52" t="str">
        <f>IF(OCTUBRE!H54&lt;&gt;"", OCTUBRE!H54, "")</f>
        <v/>
      </c>
      <c r="I54" s="75" t="str">
        <f>IF(OCTUBRE!I54&lt;&gt;"", OCTUBRE!I54, "")</f>
        <v/>
      </c>
      <c r="J54" s="75" t="str">
        <f>IF(OCTUBRE!J54&lt;&gt;"", OCTUBRE!J54, "")</f>
        <v/>
      </c>
      <c r="K54" s="75" t="str">
        <f>IF(OCTUBRE!K54&lt;&gt;"", OCTUBRE!K54, "")</f>
        <v/>
      </c>
      <c r="L54" s="75" t="str">
        <f>IF(OCTUBRE!L54&lt;&gt;"", OCTUBRE!L54, "")</f>
        <v/>
      </c>
      <c r="M54" s="54" t="str">
        <f>IF(OCTUBRE!N54&lt;&gt;"", OCTUBRE!N54, "")</f>
        <v>X</v>
      </c>
      <c r="N54" s="54" t="str">
        <f>IF(OCTUBRE!O54&lt;&gt;"", OCTUBRE!O54, "")</f>
        <v/>
      </c>
      <c r="O54" s="77" t="str">
        <f>IF(OCTUBRE!P54&lt;&gt;"", OCTUBRE!P54, "")</f>
        <v/>
      </c>
      <c r="P54" s="83">
        <f>Tabla1[[#This Row],[SALARIO DIARIO]]</f>
        <v>278.8</v>
      </c>
      <c r="Q54" s="83">
        <f>Tabla15[[#This Row],[SUELDO MENSUAL]]/2</f>
        <v>4182</v>
      </c>
      <c r="R54" s="84">
        <f>Tabla1[[#This Row],[SUELDO MENSUAL]]</f>
        <v>8364</v>
      </c>
      <c r="S54" s="84">
        <f>Tabla15[[#This Row],[DESPENSA MENSUAL]]/2</f>
        <v>142</v>
      </c>
      <c r="T54" s="84">
        <f>Tabla1[[#This Row],[DESPENSA MENSUAL]]</f>
        <v>284</v>
      </c>
      <c r="U54" s="84">
        <f>Tabla15[[#This Row],[COMPENSACIÓN (J5)  MENSUAL]]/2</f>
        <v>5000</v>
      </c>
      <c r="V54" s="84">
        <f>Tabla1[[#This Row],[COMPENSACIÓN (J5)  MENSUAL]]</f>
        <v>10000</v>
      </c>
      <c r="W54" s="84">
        <f>Tabla1[[#This Row],[QUINQUENIO]]/2</f>
        <v>0</v>
      </c>
      <c r="X54" s="84">
        <f>Tabla1[[#This Row],[COMPENSACIÓN (J6) MENSUAL]]/2</f>
        <v>0</v>
      </c>
      <c r="Y54" s="85">
        <f t="shared" si="8"/>
        <v>9324</v>
      </c>
      <c r="Z54" s="83">
        <f>Tabla1[[#This Row],[ISR MENSUAL]]/2</f>
        <v>1047.4325799999997</v>
      </c>
      <c r="AA54" s="56">
        <f t="shared" si="12"/>
        <v>1101.8176000000001</v>
      </c>
      <c r="AB54" s="58">
        <f t="shared" si="9"/>
        <v>2149.25018</v>
      </c>
      <c r="AC54" s="59">
        <f t="shared" si="4"/>
        <v>7174.74982</v>
      </c>
      <c r="AD54" s="60">
        <v>0.26</v>
      </c>
      <c r="AE54" s="60">
        <f t="shared" si="13"/>
        <v>2203.6352000000002</v>
      </c>
      <c r="AF54" s="61">
        <f t="shared" si="2"/>
        <v>167.28</v>
      </c>
      <c r="AG54" s="60">
        <f t="shared" si="3"/>
        <v>279.71999999999997</v>
      </c>
      <c r="AH54" s="59">
        <f t="shared" si="5"/>
        <v>2650.6352000000002</v>
      </c>
      <c r="AI54" s="62">
        <f t="shared" si="6"/>
        <v>11974.635200000001</v>
      </c>
    </row>
  </sheetData>
  <pageMargins left="0.70866141732283472" right="0.70866141732283472" top="0.74803149606299213" bottom="0.74803149606299213" header="0.31496062992125984" footer="0.31496062992125984"/>
  <pageSetup scale="34" fitToHeight="0" orientation="landscape" r:id="rId1"/>
  <headerFooter>
    <oddFooter>&amp;C&amp;P/&amp;N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Hoja1</vt:lpstr>
      <vt:lpstr>OCTUBRE</vt:lpstr>
      <vt:lpstr>1RA</vt:lpstr>
      <vt:lpstr>'1RA'!Títulos_a_imprimir</vt:lpstr>
      <vt:lpstr>OCTUBRE!Títulos_a_imprimir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pc-252</dc:creator>
  <cp:lastModifiedBy>Miguel Trinidad Gómez Hernandez</cp:lastModifiedBy>
  <cp:lastPrinted>2026-01-16T19:47:45Z</cp:lastPrinted>
  <dcterms:created xsi:type="dcterms:W3CDTF">2016-06-08T16:46:01Z</dcterms:created>
  <dcterms:modified xsi:type="dcterms:W3CDTF">2026-01-16T23:50:34Z</dcterms:modified>
</cp:coreProperties>
</file>