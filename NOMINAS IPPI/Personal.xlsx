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PI 11\Documents\GitHub\templates\NOMINAS IPPI\"/>
    </mc:Choice>
  </mc:AlternateContent>
  <xr:revisionPtr revIDLastSave="0" documentId="13_ncr:1_{9E495DFD-F726-41BE-A04B-E5BE89552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1" r:id="rId1"/>
    <sheet name="TEMP" sheetId="3" r:id="rId2"/>
    <sheet name="PLAZA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" l="1"/>
  <c r="V325" i="1" l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AJ275" i="1"/>
  <c r="V275" i="1"/>
  <c r="AJ274" i="1"/>
  <c r="V274" i="1"/>
  <c r="AJ273" i="1"/>
  <c r="V273" i="1"/>
  <c r="AJ272" i="1"/>
  <c r="V272" i="1"/>
  <c r="AJ271" i="1"/>
  <c r="V271" i="1"/>
  <c r="AJ270" i="1"/>
  <c r="V270" i="1"/>
  <c r="AJ269" i="1"/>
  <c r="V269" i="1"/>
  <c r="AJ268" i="1"/>
  <c r="V268" i="1"/>
  <c r="AJ267" i="1"/>
  <c r="V267" i="1"/>
  <c r="AJ266" i="1"/>
  <c r="V266" i="1"/>
  <c r="AJ265" i="1"/>
  <c r="V265" i="1"/>
  <c r="AJ264" i="1"/>
  <c r="V264" i="1"/>
  <c r="AJ263" i="1"/>
  <c r="V263" i="1"/>
  <c r="AJ262" i="1"/>
  <c r="V262" i="1"/>
  <c r="AJ261" i="1"/>
  <c r="V261" i="1"/>
  <c r="AJ260" i="1"/>
  <c r="BF260" i="1" s="1"/>
  <c r="V260" i="1"/>
  <c r="AJ259" i="1"/>
  <c r="BF259" i="1" s="1"/>
  <c r="V259" i="1"/>
  <c r="BA258" i="1"/>
  <c r="AJ258" i="1"/>
  <c r="V258" i="1"/>
  <c r="BC257" i="1"/>
  <c r="BA257" i="1"/>
  <c r="AJ257" i="1"/>
  <c r="V257" i="1"/>
  <c r="BC256" i="1"/>
  <c r="BA256" i="1"/>
  <c r="AJ256" i="1"/>
  <c r="BF256" i="1" s="1"/>
  <c r="V256" i="1"/>
  <c r="BD255" i="1"/>
  <c r="BC255" i="1"/>
  <c r="BA255" i="1"/>
  <c r="AJ255" i="1"/>
  <c r="BE255" i="1" s="1"/>
  <c r="V255" i="1"/>
  <c r="BD254" i="1"/>
  <c r="BC254" i="1"/>
  <c r="BA254" i="1"/>
  <c r="AJ254" i="1"/>
  <c r="BF254" i="1" s="1"/>
  <c r="V254" i="1"/>
  <c r="BD253" i="1"/>
  <c r="BC253" i="1"/>
  <c r="BA253" i="1"/>
  <c r="AR253" i="1"/>
  <c r="AJ253" i="1"/>
  <c r="V253" i="1"/>
  <c r="BD252" i="1"/>
  <c r="BC252" i="1"/>
  <c r="BA252" i="1"/>
  <c r="AR252" i="1"/>
  <c r="AJ252" i="1"/>
  <c r="V252" i="1"/>
  <c r="BD251" i="1"/>
  <c r="BC251" i="1"/>
  <c r="BB251" i="1"/>
  <c r="BA251" i="1"/>
  <c r="AR251" i="1"/>
  <c r="AJ251" i="1"/>
  <c r="V251" i="1"/>
  <c r="BD250" i="1"/>
  <c r="BC250" i="1"/>
  <c r="BB250" i="1"/>
  <c r="BA250" i="1"/>
  <c r="AR250" i="1"/>
  <c r="AJ250" i="1"/>
  <c r="V250" i="1"/>
  <c r="BD249" i="1"/>
  <c r="BC249" i="1"/>
  <c r="BB249" i="1"/>
  <c r="BA249" i="1"/>
  <c r="AR249" i="1"/>
  <c r="AJ249" i="1"/>
  <c r="V249" i="1"/>
  <c r="BD248" i="1"/>
  <c r="BC248" i="1"/>
  <c r="BB248" i="1"/>
  <c r="BA248" i="1"/>
  <c r="AR248" i="1"/>
  <c r="AJ248" i="1"/>
  <c r="V248" i="1"/>
  <c r="BD247" i="1"/>
  <c r="BC247" i="1"/>
  <c r="BB247" i="1"/>
  <c r="BA247" i="1"/>
  <c r="AR247" i="1"/>
  <c r="AJ247" i="1"/>
  <c r="V247" i="1"/>
  <c r="BD246" i="1"/>
  <c r="BC246" i="1"/>
  <c r="BB246" i="1"/>
  <c r="BA246" i="1"/>
  <c r="AR246" i="1"/>
  <c r="AJ246" i="1"/>
  <c r="V246" i="1"/>
  <c r="BF245" i="1"/>
  <c r="BD245" i="1"/>
  <c r="BC245" i="1"/>
  <c r="BB245" i="1"/>
  <c r="BA245" i="1"/>
  <c r="AR245" i="1"/>
  <c r="AJ245" i="1"/>
  <c r="BE245" i="1" s="1"/>
  <c r="V245" i="1"/>
  <c r="BD244" i="1"/>
  <c r="BC244" i="1"/>
  <c r="BB244" i="1"/>
  <c r="BA244" i="1"/>
  <c r="AR244" i="1"/>
  <c r="AJ244" i="1"/>
  <c r="V244" i="1"/>
  <c r="BD243" i="1"/>
  <c r="BC243" i="1"/>
  <c r="BB243" i="1"/>
  <c r="BA243" i="1"/>
  <c r="AR243" i="1"/>
  <c r="AJ243" i="1"/>
  <c r="V243" i="1"/>
  <c r="BD242" i="1"/>
  <c r="BC242" i="1"/>
  <c r="BB242" i="1"/>
  <c r="BA242" i="1"/>
  <c r="AR242" i="1"/>
  <c r="AJ242" i="1"/>
  <c r="V242" i="1"/>
  <c r="BD241" i="1"/>
  <c r="BC241" i="1"/>
  <c r="BB241" i="1"/>
  <c r="BA241" i="1"/>
  <c r="AR241" i="1"/>
  <c r="AJ241" i="1"/>
  <c r="BE241" i="1" s="1"/>
  <c r="V241" i="1"/>
  <c r="BD240" i="1"/>
  <c r="BC240" i="1"/>
  <c r="BB240" i="1"/>
  <c r="BA240" i="1"/>
  <c r="AR240" i="1"/>
  <c r="AJ240" i="1"/>
  <c r="V240" i="1"/>
  <c r="BD239" i="1"/>
  <c r="BB239" i="1"/>
  <c r="AR239" i="1"/>
  <c r="AJ239" i="1"/>
  <c r="BE239" i="1" s="1"/>
  <c r="Z239" i="1"/>
  <c r="BC239" i="1" s="1"/>
  <c r="Y239" i="1"/>
  <c r="V239" i="1"/>
  <c r="BD238" i="1"/>
  <c r="BB238" i="1"/>
  <c r="AR238" i="1"/>
  <c r="AJ238" i="1"/>
  <c r="Z238" i="1"/>
  <c r="Y238" i="1"/>
  <c r="V238" i="1"/>
  <c r="BD237" i="1"/>
  <c r="BB237" i="1"/>
  <c r="AR237" i="1"/>
  <c r="AJ237" i="1"/>
  <c r="BF237" i="1" s="1"/>
  <c r="Z237" i="1"/>
  <c r="Y237" i="1"/>
  <c r="V237" i="1"/>
  <c r="BD236" i="1"/>
  <c r="BB236" i="1"/>
  <c r="AR236" i="1"/>
  <c r="AJ236" i="1"/>
  <c r="BF236" i="1" s="1"/>
  <c r="Z236" i="1"/>
  <c r="BC236" i="1" s="1"/>
  <c r="Y236" i="1"/>
  <c r="V236" i="1"/>
  <c r="BD235" i="1"/>
  <c r="BB235" i="1"/>
  <c r="AR235" i="1"/>
  <c r="AJ235" i="1"/>
  <c r="BE235" i="1" s="1"/>
  <c r="Z235" i="1"/>
  <c r="BC235" i="1" s="1"/>
  <c r="Y235" i="1"/>
  <c r="V235" i="1"/>
  <c r="BD234" i="1"/>
  <c r="BB234" i="1"/>
  <c r="AR234" i="1"/>
  <c r="AQ234" i="1"/>
  <c r="AP234" i="1"/>
  <c r="AM234" i="1"/>
  <c r="AJ234" i="1"/>
  <c r="Z234" i="1"/>
  <c r="Y234" i="1"/>
  <c r="V234" i="1"/>
  <c r="BD233" i="1"/>
  <c r="BB233" i="1"/>
  <c r="AR233" i="1"/>
  <c r="AQ233" i="1"/>
  <c r="AP233" i="1"/>
  <c r="AM233" i="1"/>
  <c r="AJ233" i="1"/>
  <c r="BE233" i="1" s="1"/>
  <c r="Z233" i="1"/>
  <c r="AL233" i="1" s="1"/>
  <c r="Y233" i="1"/>
  <c r="V233" i="1"/>
  <c r="BD232" i="1"/>
  <c r="BB232" i="1"/>
  <c r="AR232" i="1"/>
  <c r="AQ232" i="1"/>
  <c r="AP232" i="1"/>
  <c r="AM232" i="1"/>
  <c r="AJ232" i="1"/>
  <c r="Z232" i="1"/>
  <c r="AL232" i="1" s="1"/>
  <c r="Y232" i="1"/>
  <c r="V232" i="1"/>
  <c r="BD231" i="1"/>
  <c r="BB231" i="1"/>
  <c r="AR231" i="1"/>
  <c r="AQ231" i="1"/>
  <c r="AP231" i="1"/>
  <c r="AM231" i="1"/>
  <c r="AN231" i="1" s="1"/>
  <c r="AJ231" i="1"/>
  <c r="BE231" i="1" s="1"/>
  <c r="Z231" i="1"/>
  <c r="BC231" i="1" s="1"/>
  <c r="Y231" i="1"/>
  <c r="V231" i="1"/>
  <c r="BD230" i="1"/>
  <c r="BB230" i="1"/>
  <c r="AR230" i="1"/>
  <c r="AQ230" i="1"/>
  <c r="AP230" i="1"/>
  <c r="AM230" i="1"/>
  <c r="AJ230" i="1"/>
  <c r="Z230" i="1"/>
  <c r="BC230" i="1" s="1"/>
  <c r="Y230" i="1"/>
  <c r="V230" i="1"/>
  <c r="BD229" i="1"/>
  <c r="BB229" i="1"/>
  <c r="AR229" i="1"/>
  <c r="AQ229" i="1"/>
  <c r="AP229" i="1"/>
  <c r="AM229" i="1"/>
  <c r="AJ229" i="1"/>
  <c r="BE229" i="1" s="1"/>
  <c r="Z229" i="1"/>
  <c r="BC229" i="1" s="1"/>
  <c r="Y229" i="1"/>
  <c r="V229" i="1"/>
  <c r="BD228" i="1"/>
  <c r="BB228" i="1"/>
  <c r="AR228" i="1"/>
  <c r="AQ228" i="1"/>
  <c r="AP228" i="1"/>
  <c r="AM228" i="1"/>
  <c r="AN228" i="1" s="1"/>
  <c r="AJ228" i="1"/>
  <c r="Z228" i="1"/>
  <c r="BC228" i="1" s="1"/>
  <c r="Y228" i="1"/>
  <c r="V228" i="1"/>
  <c r="BD227" i="1"/>
  <c r="BB227" i="1"/>
  <c r="AR227" i="1"/>
  <c r="AQ227" i="1"/>
  <c r="AP227" i="1"/>
  <c r="AM227" i="1"/>
  <c r="AJ227" i="1"/>
  <c r="BE227" i="1" s="1"/>
  <c r="Z227" i="1"/>
  <c r="BC227" i="1" s="1"/>
  <c r="Y227" i="1"/>
  <c r="V227" i="1"/>
  <c r="BD226" i="1"/>
  <c r="BB226" i="1"/>
  <c r="AR226" i="1"/>
  <c r="AQ226" i="1"/>
  <c r="AP226" i="1"/>
  <c r="AM226" i="1"/>
  <c r="AJ226" i="1"/>
  <c r="Z226" i="1"/>
  <c r="BC226" i="1" s="1"/>
  <c r="Y226" i="1"/>
  <c r="V226" i="1"/>
  <c r="BD225" i="1"/>
  <c r="BB225" i="1"/>
  <c r="AR225" i="1"/>
  <c r="AQ225" i="1"/>
  <c r="AP225" i="1"/>
  <c r="AM225" i="1"/>
  <c r="AN225" i="1" s="1"/>
  <c r="AJ225" i="1"/>
  <c r="BE225" i="1" s="1"/>
  <c r="Z225" i="1"/>
  <c r="Y225" i="1"/>
  <c r="V225" i="1"/>
  <c r="BD224" i="1"/>
  <c r="BB224" i="1"/>
  <c r="AY224" i="1"/>
  <c r="AR224" i="1"/>
  <c r="AQ224" i="1"/>
  <c r="AP224" i="1"/>
  <c r="AM224" i="1"/>
  <c r="AN224" i="1" s="1"/>
  <c r="AJ224" i="1"/>
  <c r="Z224" i="1"/>
  <c r="Y224" i="1"/>
  <c r="V224" i="1"/>
  <c r="BD223" i="1"/>
  <c r="BB223" i="1"/>
  <c r="AY223" i="1"/>
  <c r="AR223" i="1"/>
  <c r="AQ223" i="1"/>
  <c r="AP223" i="1"/>
  <c r="AM223" i="1"/>
  <c r="AN223" i="1" s="1"/>
  <c r="AJ223" i="1"/>
  <c r="BE223" i="1" s="1"/>
  <c r="Z223" i="1"/>
  <c r="Y223" i="1"/>
  <c r="V223" i="1"/>
  <c r="BD222" i="1"/>
  <c r="BB222" i="1"/>
  <c r="AY222" i="1"/>
  <c r="AR222" i="1"/>
  <c r="AQ222" i="1"/>
  <c r="AP222" i="1"/>
  <c r="AM222" i="1"/>
  <c r="AJ222" i="1"/>
  <c r="Z222" i="1"/>
  <c r="Y222" i="1"/>
  <c r="V222" i="1"/>
  <c r="BD221" i="1"/>
  <c r="BB221" i="1"/>
  <c r="AY221" i="1"/>
  <c r="AR221" i="1"/>
  <c r="AQ221" i="1"/>
  <c r="AP221" i="1"/>
  <c r="AM221" i="1"/>
  <c r="AN221" i="1" s="1"/>
  <c r="AJ221" i="1"/>
  <c r="BE221" i="1" s="1"/>
  <c r="Z221" i="1"/>
  <c r="BC221" i="1" s="1"/>
  <c r="Y221" i="1"/>
  <c r="V221" i="1"/>
  <c r="BD220" i="1"/>
  <c r="BB220" i="1"/>
  <c r="AY220" i="1"/>
  <c r="AR220" i="1"/>
  <c r="AQ220" i="1"/>
  <c r="AP220" i="1"/>
  <c r="AM220" i="1"/>
  <c r="AN220" i="1" s="1"/>
  <c r="AJ220" i="1"/>
  <c r="BE220" i="1" s="1"/>
  <c r="Z220" i="1"/>
  <c r="BC220" i="1" s="1"/>
  <c r="Y220" i="1"/>
  <c r="V220" i="1"/>
  <c r="BD219" i="1"/>
  <c r="BB219" i="1"/>
  <c r="AY219" i="1"/>
  <c r="AR219" i="1"/>
  <c r="AQ219" i="1"/>
  <c r="AP219" i="1"/>
  <c r="AM219" i="1"/>
  <c r="AN219" i="1" s="1"/>
  <c r="AJ219" i="1"/>
  <c r="BE219" i="1" s="1"/>
  <c r="Z219" i="1"/>
  <c r="BA219" i="1" s="1"/>
  <c r="Y219" i="1"/>
  <c r="V219" i="1"/>
  <c r="BD218" i="1"/>
  <c r="BB218" i="1"/>
  <c r="AR218" i="1"/>
  <c r="AQ218" i="1"/>
  <c r="AP218" i="1"/>
  <c r="AM218" i="1"/>
  <c r="AJ218" i="1"/>
  <c r="Z218" i="1"/>
  <c r="BC218" i="1" s="1"/>
  <c r="Y218" i="1"/>
  <c r="V218" i="1"/>
  <c r="BD217" i="1"/>
  <c r="BB217" i="1"/>
  <c r="AR217" i="1"/>
  <c r="AQ217" i="1"/>
  <c r="AP217" i="1"/>
  <c r="AM217" i="1"/>
  <c r="AN217" i="1" s="1"/>
  <c r="AJ217" i="1"/>
  <c r="BE217" i="1" s="1"/>
  <c r="Z217" i="1"/>
  <c r="BA217" i="1" s="1"/>
  <c r="Y217" i="1"/>
  <c r="V217" i="1"/>
  <c r="BD216" i="1"/>
  <c r="BB216" i="1"/>
  <c r="AR216" i="1"/>
  <c r="AQ216" i="1"/>
  <c r="AP216" i="1"/>
  <c r="AM216" i="1"/>
  <c r="AN216" i="1" s="1"/>
  <c r="AJ216" i="1"/>
  <c r="Z216" i="1"/>
  <c r="Y216" i="1"/>
  <c r="V216" i="1"/>
  <c r="BD215" i="1"/>
  <c r="BB215" i="1"/>
  <c r="AR215" i="1"/>
  <c r="AQ215" i="1"/>
  <c r="AP215" i="1"/>
  <c r="AM215" i="1"/>
  <c r="AJ215" i="1"/>
  <c r="BE215" i="1" s="1"/>
  <c r="Z215" i="1"/>
  <c r="Y215" i="1"/>
  <c r="V215" i="1"/>
  <c r="BD214" i="1"/>
  <c r="BB214" i="1"/>
  <c r="AR214" i="1"/>
  <c r="AQ214" i="1"/>
  <c r="AJ214" i="1"/>
  <c r="Z214" i="1"/>
  <c r="Y214" i="1"/>
  <c r="V214" i="1"/>
  <c r="BD213" i="1"/>
  <c r="BB213" i="1"/>
  <c r="AY213" i="1"/>
  <c r="AR213" i="1"/>
  <c r="AQ213" i="1"/>
  <c r="AP213" i="1"/>
  <c r="AM213" i="1"/>
  <c r="AJ213" i="1"/>
  <c r="Z213" i="1"/>
  <c r="BA213" i="1" s="1"/>
  <c r="Y213" i="1"/>
  <c r="V213" i="1"/>
  <c r="BD212" i="1"/>
  <c r="BB212" i="1"/>
  <c r="AY212" i="1"/>
  <c r="AR212" i="1"/>
  <c r="AQ212" i="1"/>
  <c r="AP212" i="1"/>
  <c r="AM212" i="1"/>
  <c r="AJ212" i="1"/>
  <c r="BE212" i="1" s="1"/>
  <c r="Z212" i="1"/>
  <c r="Y212" i="1"/>
  <c r="V212" i="1"/>
  <c r="BD211" i="1"/>
  <c r="BB211" i="1"/>
  <c r="AY211" i="1"/>
  <c r="AR211" i="1"/>
  <c r="AQ211" i="1"/>
  <c r="AP211" i="1"/>
  <c r="AM211" i="1"/>
  <c r="AJ211" i="1"/>
  <c r="BE211" i="1" s="1"/>
  <c r="Z211" i="1"/>
  <c r="BA211" i="1" s="1"/>
  <c r="Y211" i="1"/>
  <c r="V211" i="1"/>
  <c r="BD210" i="1"/>
  <c r="BB210" i="1"/>
  <c r="AY210" i="1"/>
  <c r="AR210" i="1"/>
  <c r="AQ210" i="1"/>
  <c r="AP210" i="1"/>
  <c r="AM210" i="1"/>
  <c r="AN210" i="1" s="1"/>
  <c r="AJ210" i="1"/>
  <c r="BE210" i="1" s="1"/>
  <c r="Z210" i="1"/>
  <c r="BA210" i="1" s="1"/>
  <c r="Y210" i="1"/>
  <c r="V210" i="1"/>
  <c r="BD209" i="1"/>
  <c r="BB209" i="1"/>
  <c r="AY209" i="1"/>
  <c r="AR209" i="1"/>
  <c r="AQ209" i="1"/>
  <c r="AP209" i="1"/>
  <c r="AM209" i="1"/>
  <c r="AJ209" i="1"/>
  <c r="BE209" i="1" s="1"/>
  <c r="Z209" i="1"/>
  <c r="BA209" i="1" s="1"/>
  <c r="Y209" i="1"/>
  <c r="V209" i="1"/>
  <c r="BD208" i="1"/>
  <c r="BB208" i="1"/>
  <c r="AY208" i="1"/>
  <c r="AR208" i="1"/>
  <c r="AQ208" i="1"/>
  <c r="AP208" i="1"/>
  <c r="AM208" i="1"/>
  <c r="AN208" i="1" s="1"/>
  <c r="AJ208" i="1"/>
  <c r="BE208" i="1" s="1"/>
  <c r="Z208" i="1"/>
  <c r="Y208" i="1"/>
  <c r="V208" i="1"/>
  <c r="BD207" i="1"/>
  <c r="BB207" i="1"/>
  <c r="AY207" i="1"/>
  <c r="AR207" i="1"/>
  <c r="AQ207" i="1"/>
  <c r="AP207" i="1"/>
  <c r="AM207" i="1"/>
  <c r="AJ207" i="1"/>
  <c r="Z207" i="1"/>
  <c r="BA207" i="1" s="1"/>
  <c r="Y207" i="1"/>
  <c r="V207" i="1"/>
  <c r="BD206" i="1"/>
  <c r="BB206" i="1"/>
  <c r="AY206" i="1"/>
  <c r="AR206" i="1"/>
  <c r="AQ206" i="1"/>
  <c r="AP206" i="1"/>
  <c r="AM206" i="1"/>
  <c r="AN206" i="1" s="1"/>
  <c r="AJ206" i="1"/>
  <c r="BE206" i="1" s="1"/>
  <c r="Z206" i="1"/>
  <c r="BA206" i="1" s="1"/>
  <c r="Y206" i="1"/>
  <c r="V206" i="1"/>
  <c r="BD205" i="1"/>
  <c r="BB205" i="1"/>
  <c r="AY205" i="1"/>
  <c r="AR205" i="1"/>
  <c r="AQ205" i="1"/>
  <c r="AP205" i="1"/>
  <c r="AM205" i="1"/>
  <c r="AJ205" i="1"/>
  <c r="BE205" i="1" s="1"/>
  <c r="Z205" i="1"/>
  <c r="BA205" i="1" s="1"/>
  <c r="Y205" i="1"/>
  <c r="V205" i="1"/>
  <c r="BD204" i="1"/>
  <c r="BB204" i="1"/>
  <c r="AY204" i="1"/>
  <c r="AR204" i="1"/>
  <c r="AQ204" i="1"/>
  <c r="AP204" i="1"/>
  <c r="AM204" i="1"/>
  <c r="AN204" i="1" s="1"/>
  <c r="AJ204" i="1"/>
  <c r="BE204" i="1" s="1"/>
  <c r="Z204" i="1"/>
  <c r="Y204" i="1"/>
  <c r="V204" i="1"/>
  <c r="BD203" i="1"/>
  <c r="BB203" i="1"/>
  <c r="AY203" i="1"/>
  <c r="AR203" i="1"/>
  <c r="AQ203" i="1"/>
  <c r="AP203" i="1"/>
  <c r="AM203" i="1"/>
  <c r="AJ203" i="1"/>
  <c r="Z203" i="1"/>
  <c r="BA203" i="1" s="1"/>
  <c r="Y203" i="1"/>
  <c r="V203" i="1"/>
  <c r="BD202" i="1"/>
  <c r="BB202" i="1"/>
  <c r="AY202" i="1"/>
  <c r="AR202" i="1"/>
  <c r="AQ202" i="1"/>
  <c r="AP202" i="1"/>
  <c r="AM202" i="1"/>
  <c r="AN202" i="1" s="1"/>
  <c r="AJ202" i="1"/>
  <c r="BE202" i="1" s="1"/>
  <c r="Z202" i="1"/>
  <c r="BA202" i="1" s="1"/>
  <c r="Y202" i="1"/>
  <c r="V202" i="1"/>
  <c r="BD201" i="1"/>
  <c r="BB201" i="1"/>
  <c r="AY201" i="1"/>
  <c r="AR201" i="1"/>
  <c r="AQ201" i="1"/>
  <c r="AP201" i="1"/>
  <c r="AM201" i="1"/>
  <c r="AJ201" i="1"/>
  <c r="BE201" i="1" s="1"/>
  <c r="Z201" i="1"/>
  <c r="BA201" i="1" s="1"/>
  <c r="Y201" i="1"/>
  <c r="V201" i="1"/>
  <c r="BD200" i="1"/>
  <c r="BB200" i="1"/>
  <c r="AY200" i="1"/>
  <c r="AR200" i="1"/>
  <c r="AQ200" i="1"/>
  <c r="AP200" i="1"/>
  <c r="AM200" i="1"/>
  <c r="AJ200" i="1"/>
  <c r="Z200" i="1"/>
  <c r="Y200" i="1"/>
  <c r="V200" i="1"/>
  <c r="BD199" i="1"/>
  <c r="BB199" i="1"/>
  <c r="AY199" i="1"/>
  <c r="AR199" i="1"/>
  <c r="AQ199" i="1"/>
  <c r="AP199" i="1"/>
  <c r="AM199" i="1"/>
  <c r="AJ199" i="1"/>
  <c r="Z199" i="1"/>
  <c r="BA199" i="1" s="1"/>
  <c r="Y199" i="1"/>
  <c r="V199" i="1"/>
  <c r="BD198" i="1"/>
  <c r="BB198" i="1"/>
  <c r="AY198" i="1"/>
  <c r="AR198" i="1"/>
  <c r="AQ198" i="1"/>
  <c r="AP198" i="1"/>
  <c r="AM198" i="1"/>
  <c r="AJ198" i="1"/>
  <c r="Z198" i="1"/>
  <c r="BA198" i="1" s="1"/>
  <c r="Y198" i="1"/>
  <c r="V198" i="1"/>
  <c r="BD197" i="1"/>
  <c r="BB197" i="1"/>
  <c r="AY197" i="1"/>
  <c r="AR197" i="1"/>
  <c r="AQ197" i="1"/>
  <c r="AP197" i="1"/>
  <c r="AM197" i="1"/>
  <c r="AJ197" i="1"/>
  <c r="Z197" i="1"/>
  <c r="BA197" i="1" s="1"/>
  <c r="Y197" i="1"/>
  <c r="V197" i="1"/>
  <c r="BD196" i="1"/>
  <c r="BB196" i="1"/>
  <c r="AY196" i="1"/>
  <c r="AR196" i="1"/>
  <c r="AQ196" i="1"/>
  <c r="AP196" i="1"/>
  <c r="AM196" i="1"/>
  <c r="AJ196" i="1"/>
  <c r="Z196" i="1"/>
  <c r="BA196" i="1" s="1"/>
  <c r="Y196" i="1"/>
  <c r="V196" i="1"/>
  <c r="BD195" i="1"/>
  <c r="BB195" i="1"/>
  <c r="AY195" i="1"/>
  <c r="AR195" i="1"/>
  <c r="AQ195" i="1"/>
  <c r="AP195" i="1"/>
  <c r="AM195" i="1"/>
  <c r="AJ195" i="1"/>
  <c r="Z195" i="1"/>
  <c r="BA195" i="1" s="1"/>
  <c r="Y195" i="1"/>
  <c r="V195" i="1"/>
  <c r="BD194" i="1"/>
  <c r="BB194" i="1"/>
  <c r="AY194" i="1"/>
  <c r="AR194" i="1"/>
  <c r="AQ194" i="1"/>
  <c r="AP194" i="1"/>
  <c r="AM194" i="1"/>
  <c r="AJ194" i="1"/>
  <c r="Z194" i="1"/>
  <c r="Y194" i="1"/>
  <c r="V194" i="1"/>
  <c r="BD193" i="1"/>
  <c r="BB193" i="1"/>
  <c r="AY193" i="1"/>
  <c r="AR193" i="1"/>
  <c r="AQ193" i="1"/>
  <c r="AP193" i="1"/>
  <c r="AM193" i="1"/>
  <c r="AJ193" i="1"/>
  <c r="Z193" i="1"/>
  <c r="BA193" i="1" s="1"/>
  <c r="Y193" i="1"/>
  <c r="V193" i="1"/>
  <c r="BD192" i="1"/>
  <c r="BB192" i="1"/>
  <c r="AY192" i="1"/>
  <c r="AR192" i="1"/>
  <c r="AQ192" i="1"/>
  <c r="AP192" i="1"/>
  <c r="AM192" i="1"/>
  <c r="AJ192" i="1"/>
  <c r="Z192" i="1"/>
  <c r="BA192" i="1" s="1"/>
  <c r="Y192" i="1"/>
  <c r="V192" i="1"/>
  <c r="BD191" i="1"/>
  <c r="BB191" i="1"/>
  <c r="AY191" i="1"/>
  <c r="AR191" i="1"/>
  <c r="AQ191" i="1"/>
  <c r="AP191" i="1"/>
  <c r="AM191" i="1"/>
  <c r="AJ191" i="1"/>
  <c r="Z191" i="1"/>
  <c r="Y191" i="1"/>
  <c r="V191" i="1"/>
  <c r="BD190" i="1"/>
  <c r="BB190" i="1"/>
  <c r="AY190" i="1"/>
  <c r="AR190" i="1"/>
  <c r="AQ190" i="1"/>
  <c r="AP190" i="1"/>
  <c r="AM190" i="1"/>
  <c r="AN190" i="1" s="1"/>
  <c r="AJ190" i="1"/>
  <c r="Z190" i="1"/>
  <c r="BA190" i="1" s="1"/>
  <c r="Y190" i="1"/>
  <c r="V190" i="1"/>
  <c r="BD189" i="1"/>
  <c r="BB189" i="1"/>
  <c r="AY189" i="1"/>
  <c r="AR189" i="1"/>
  <c r="AQ189" i="1"/>
  <c r="AP189" i="1"/>
  <c r="AM189" i="1"/>
  <c r="AJ189" i="1"/>
  <c r="Z189" i="1"/>
  <c r="Y189" i="1"/>
  <c r="V189" i="1"/>
  <c r="BD188" i="1"/>
  <c r="BB188" i="1"/>
  <c r="AY188" i="1"/>
  <c r="AR188" i="1"/>
  <c r="AQ188" i="1"/>
  <c r="AP188" i="1"/>
  <c r="AM188" i="1"/>
  <c r="AJ188" i="1"/>
  <c r="Z188" i="1"/>
  <c r="BA188" i="1" s="1"/>
  <c r="Y188" i="1"/>
  <c r="V188" i="1"/>
  <c r="BD187" i="1"/>
  <c r="BB187" i="1"/>
  <c r="AY187" i="1"/>
  <c r="AR187" i="1"/>
  <c r="AQ187" i="1"/>
  <c r="AP187" i="1"/>
  <c r="AM187" i="1"/>
  <c r="AJ187" i="1"/>
  <c r="Z187" i="1"/>
  <c r="BA187" i="1" s="1"/>
  <c r="Y187" i="1"/>
  <c r="V187" i="1"/>
  <c r="BD186" i="1"/>
  <c r="BB186" i="1"/>
  <c r="AY186" i="1"/>
  <c r="AR186" i="1"/>
  <c r="AQ186" i="1"/>
  <c r="AP186" i="1"/>
  <c r="AM186" i="1"/>
  <c r="AJ186" i="1"/>
  <c r="Z186" i="1"/>
  <c r="BA186" i="1" s="1"/>
  <c r="Y186" i="1"/>
  <c r="V186" i="1"/>
  <c r="BD185" i="1"/>
  <c r="BB185" i="1"/>
  <c r="AY185" i="1"/>
  <c r="AR185" i="1"/>
  <c r="AQ185" i="1"/>
  <c r="AP185" i="1"/>
  <c r="AM185" i="1"/>
  <c r="AN185" i="1" s="1"/>
  <c r="AJ185" i="1"/>
  <c r="Z185" i="1"/>
  <c r="Y185" i="1"/>
  <c r="V185" i="1"/>
  <c r="BD184" i="1"/>
  <c r="BB184" i="1"/>
  <c r="AY184" i="1"/>
  <c r="AR184" i="1"/>
  <c r="AQ184" i="1"/>
  <c r="AP184" i="1"/>
  <c r="AM184" i="1"/>
  <c r="AN184" i="1" s="1"/>
  <c r="AJ184" i="1"/>
  <c r="Z184" i="1"/>
  <c r="BA184" i="1" s="1"/>
  <c r="Y184" i="1"/>
  <c r="V184" i="1"/>
  <c r="BD183" i="1"/>
  <c r="BB183" i="1"/>
  <c r="AY183" i="1"/>
  <c r="AR183" i="1"/>
  <c r="AQ183" i="1"/>
  <c r="AP183" i="1"/>
  <c r="AM183" i="1"/>
  <c r="AJ183" i="1"/>
  <c r="Z183" i="1"/>
  <c r="BA183" i="1" s="1"/>
  <c r="Y183" i="1"/>
  <c r="V183" i="1"/>
  <c r="BD182" i="1"/>
  <c r="BB182" i="1"/>
  <c r="AY182" i="1"/>
  <c r="AR182" i="1"/>
  <c r="AQ182" i="1"/>
  <c r="AP182" i="1"/>
  <c r="AM182" i="1"/>
  <c r="AN182" i="1" s="1"/>
  <c r="AJ182" i="1"/>
  <c r="Z182" i="1"/>
  <c r="Y182" i="1"/>
  <c r="V182" i="1"/>
  <c r="BD181" i="1"/>
  <c r="BB181" i="1"/>
  <c r="AY181" i="1"/>
  <c r="AR181" i="1"/>
  <c r="AQ181" i="1"/>
  <c r="AP181" i="1"/>
  <c r="AM181" i="1"/>
  <c r="AN181" i="1" s="1"/>
  <c r="AJ181" i="1"/>
  <c r="Z181" i="1"/>
  <c r="BA181" i="1" s="1"/>
  <c r="Y181" i="1"/>
  <c r="V181" i="1"/>
  <c r="BD180" i="1"/>
  <c r="BB180" i="1"/>
  <c r="AY180" i="1"/>
  <c r="AR180" i="1"/>
  <c r="AQ180" i="1"/>
  <c r="AP180" i="1"/>
  <c r="AM180" i="1"/>
  <c r="AJ180" i="1"/>
  <c r="Z180" i="1"/>
  <c r="BA180" i="1" s="1"/>
  <c r="Y180" i="1"/>
  <c r="V180" i="1"/>
  <c r="BD179" i="1"/>
  <c r="BB179" i="1"/>
  <c r="AY179" i="1"/>
  <c r="AR179" i="1"/>
  <c r="AQ179" i="1"/>
  <c r="AP179" i="1"/>
  <c r="AM179" i="1"/>
  <c r="AJ179" i="1"/>
  <c r="Z179" i="1"/>
  <c r="Y179" i="1"/>
  <c r="V179" i="1"/>
  <c r="BD178" i="1"/>
  <c r="BB178" i="1"/>
  <c r="AY178" i="1"/>
  <c r="AR178" i="1"/>
  <c r="AQ178" i="1"/>
  <c r="AP178" i="1"/>
  <c r="AM178" i="1"/>
  <c r="AJ178" i="1"/>
  <c r="Z178" i="1"/>
  <c r="BA178" i="1" s="1"/>
  <c r="Y178" i="1"/>
  <c r="V178" i="1"/>
  <c r="BD177" i="1"/>
  <c r="BB177" i="1"/>
  <c r="AY177" i="1"/>
  <c r="AR177" i="1"/>
  <c r="AQ177" i="1"/>
  <c r="AP177" i="1"/>
  <c r="AM177" i="1"/>
  <c r="AN177" i="1" s="1"/>
  <c r="AJ177" i="1"/>
  <c r="Z177" i="1"/>
  <c r="BA177" i="1" s="1"/>
  <c r="Y177" i="1"/>
  <c r="V177" i="1"/>
  <c r="BD176" i="1"/>
  <c r="BB176" i="1"/>
  <c r="AY176" i="1"/>
  <c r="AR176" i="1"/>
  <c r="AQ176" i="1"/>
  <c r="AP176" i="1"/>
  <c r="AM176" i="1"/>
  <c r="AN176" i="1" s="1"/>
  <c r="AJ176" i="1"/>
  <c r="Z176" i="1"/>
  <c r="Y176" i="1"/>
  <c r="V176" i="1"/>
  <c r="BD175" i="1"/>
  <c r="BB175" i="1"/>
  <c r="AY175" i="1"/>
  <c r="AR175" i="1"/>
  <c r="AQ175" i="1"/>
  <c r="AP175" i="1"/>
  <c r="AM175" i="1"/>
  <c r="AJ175" i="1"/>
  <c r="Z175" i="1"/>
  <c r="BA175" i="1" s="1"/>
  <c r="Y175" i="1"/>
  <c r="V175" i="1"/>
  <c r="AJ174" i="1"/>
  <c r="V174" i="1"/>
  <c r="BD173" i="1"/>
  <c r="BB173" i="1"/>
  <c r="AY173" i="1"/>
  <c r="AR173" i="1"/>
  <c r="AQ173" i="1"/>
  <c r="AP173" i="1"/>
  <c r="AM173" i="1"/>
  <c r="AN173" i="1" s="1"/>
  <c r="AJ173" i="1"/>
  <c r="BE173" i="1" s="1"/>
  <c r="Z173" i="1"/>
  <c r="Y173" i="1"/>
  <c r="V173" i="1"/>
  <c r="BD172" i="1"/>
  <c r="BB172" i="1"/>
  <c r="AY172" i="1"/>
  <c r="AR172" i="1"/>
  <c r="AQ172" i="1"/>
  <c r="AP172" i="1"/>
  <c r="AM172" i="1"/>
  <c r="AN172" i="1" s="1"/>
  <c r="AJ172" i="1"/>
  <c r="BE172" i="1" s="1"/>
  <c r="Z172" i="1"/>
  <c r="BC172" i="1" s="1"/>
  <c r="Y172" i="1"/>
  <c r="V172" i="1"/>
  <c r="BD171" i="1"/>
  <c r="BB171" i="1"/>
  <c r="AY171" i="1"/>
  <c r="AR171" i="1"/>
  <c r="AQ171" i="1"/>
  <c r="AP171" i="1"/>
  <c r="AM171" i="1"/>
  <c r="AJ171" i="1"/>
  <c r="BE171" i="1" s="1"/>
  <c r="Z171" i="1"/>
  <c r="Y171" i="1"/>
  <c r="V171" i="1"/>
  <c r="BD170" i="1"/>
  <c r="BB170" i="1"/>
  <c r="AY170" i="1"/>
  <c r="AR170" i="1"/>
  <c r="AQ170" i="1"/>
  <c r="AP170" i="1"/>
  <c r="AM170" i="1"/>
  <c r="AN170" i="1" s="1"/>
  <c r="AJ170" i="1"/>
  <c r="BE170" i="1" s="1"/>
  <c r="Z170" i="1"/>
  <c r="Y170" i="1"/>
  <c r="V170" i="1"/>
  <c r="BD169" i="1"/>
  <c r="BB169" i="1"/>
  <c r="AY169" i="1"/>
  <c r="AR169" i="1"/>
  <c r="AQ169" i="1"/>
  <c r="AP169" i="1"/>
  <c r="AM169" i="1"/>
  <c r="AJ169" i="1"/>
  <c r="Z169" i="1"/>
  <c r="AL169" i="1" s="1"/>
  <c r="Y169" i="1"/>
  <c r="V169" i="1"/>
  <c r="BD168" i="1"/>
  <c r="BB168" i="1"/>
  <c r="AY168" i="1"/>
  <c r="AR168" i="1"/>
  <c r="AQ168" i="1"/>
  <c r="AP168" i="1"/>
  <c r="AM168" i="1"/>
  <c r="AJ168" i="1"/>
  <c r="BE168" i="1" s="1"/>
  <c r="Z168" i="1"/>
  <c r="BC168" i="1" s="1"/>
  <c r="Y168" i="1"/>
  <c r="V168" i="1"/>
  <c r="BD167" i="1"/>
  <c r="BB167" i="1"/>
  <c r="AY167" i="1"/>
  <c r="AR167" i="1"/>
  <c r="AQ167" i="1"/>
  <c r="AP167" i="1"/>
  <c r="AM167" i="1"/>
  <c r="AN167" i="1" s="1"/>
  <c r="AJ167" i="1"/>
  <c r="BE167" i="1" s="1"/>
  <c r="Z167" i="1"/>
  <c r="BC167" i="1" s="1"/>
  <c r="Y167" i="1"/>
  <c r="V167" i="1"/>
  <c r="BD166" i="1"/>
  <c r="BB166" i="1"/>
  <c r="AY166" i="1"/>
  <c r="AR166" i="1"/>
  <c r="AQ166" i="1"/>
  <c r="AP166" i="1"/>
  <c r="AM166" i="1"/>
  <c r="AN166" i="1" s="1"/>
  <c r="AJ166" i="1"/>
  <c r="BE166" i="1" s="1"/>
  <c r="Z166" i="1"/>
  <c r="BC166" i="1" s="1"/>
  <c r="Y166" i="1"/>
  <c r="V166" i="1"/>
  <c r="BD165" i="1"/>
  <c r="BB165" i="1"/>
  <c r="AY165" i="1"/>
  <c r="AR165" i="1"/>
  <c r="AQ165" i="1"/>
  <c r="AP165" i="1"/>
  <c r="AM165" i="1"/>
  <c r="AJ165" i="1"/>
  <c r="Z165" i="1"/>
  <c r="Y165" i="1"/>
  <c r="V165" i="1"/>
  <c r="BD164" i="1"/>
  <c r="BB164" i="1"/>
  <c r="AY164" i="1"/>
  <c r="AR164" i="1"/>
  <c r="AQ164" i="1"/>
  <c r="AP164" i="1"/>
  <c r="AM164" i="1"/>
  <c r="AJ164" i="1"/>
  <c r="Z164" i="1"/>
  <c r="BC164" i="1" s="1"/>
  <c r="Y164" i="1"/>
  <c r="V164" i="1"/>
  <c r="BD163" i="1"/>
  <c r="BB163" i="1"/>
  <c r="AY163" i="1"/>
  <c r="AR163" i="1"/>
  <c r="AQ163" i="1"/>
  <c r="AP163" i="1"/>
  <c r="AM163" i="1"/>
  <c r="AJ163" i="1"/>
  <c r="BE163" i="1" s="1"/>
  <c r="Z163" i="1"/>
  <c r="BC163" i="1" s="1"/>
  <c r="Y163" i="1"/>
  <c r="V163" i="1"/>
  <c r="BD162" i="1"/>
  <c r="BB162" i="1"/>
  <c r="AY162" i="1"/>
  <c r="AR162" i="1"/>
  <c r="AQ162" i="1"/>
  <c r="AP162" i="1"/>
  <c r="AM162" i="1"/>
  <c r="AJ162" i="1"/>
  <c r="BE162" i="1" s="1"/>
  <c r="Z162" i="1"/>
  <c r="BC162" i="1" s="1"/>
  <c r="Y162" i="1"/>
  <c r="V162" i="1"/>
  <c r="BD161" i="1"/>
  <c r="BB161" i="1"/>
  <c r="AY161" i="1"/>
  <c r="AR161" i="1"/>
  <c r="AQ161" i="1"/>
  <c r="AP161" i="1"/>
  <c r="AM161" i="1"/>
  <c r="AN161" i="1" s="1"/>
  <c r="AJ161" i="1"/>
  <c r="BE161" i="1" s="1"/>
  <c r="Z161" i="1"/>
  <c r="Y161" i="1"/>
  <c r="V161" i="1"/>
  <c r="BD160" i="1"/>
  <c r="BB160" i="1"/>
  <c r="AY160" i="1"/>
  <c r="AR160" i="1"/>
  <c r="AQ160" i="1"/>
  <c r="AP160" i="1"/>
  <c r="AM160" i="1"/>
  <c r="AN160" i="1" s="1"/>
  <c r="AJ160" i="1"/>
  <c r="BE160" i="1" s="1"/>
  <c r="Z160" i="1"/>
  <c r="BC160" i="1" s="1"/>
  <c r="Y160" i="1"/>
  <c r="V160" i="1"/>
  <c r="BD159" i="1"/>
  <c r="BB159" i="1"/>
  <c r="AY159" i="1"/>
  <c r="AR159" i="1"/>
  <c r="AQ159" i="1"/>
  <c r="AP159" i="1"/>
  <c r="AM159" i="1"/>
  <c r="AN159" i="1" s="1"/>
  <c r="AJ159" i="1"/>
  <c r="BE159" i="1" s="1"/>
  <c r="Z159" i="1"/>
  <c r="BC159" i="1" s="1"/>
  <c r="Y159" i="1"/>
  <c r="V159" i="1"/>
  <c r="BD158" i="1"/>
  <c r="BB158" i="1"/>
  <c r="AY158" i="1"/>
  <c r="AR158" i="1"/>
  <c r="AQ158" i="1"/>
  <c r="AP158" i="1"/>
  <c r="AM158" i="1"/>
  <c r="AJ158" i="1"/>
  <c r="BE158" i="1" s="1"/>
  <c r="Z158" i="1"/>
  <c r="Y158" i="1"/>
  <c r="V158" i="1"/>
  <c r="BD157" i="1"/>
  <c r="BB157" i="1"/>
  <c r="AY157" i="1"/>
  <c r="AR157" i="1"/>
  <c r="AQ157" i="1"/>
  <c r="AP157" i="1"/>
  <c r="AM157" i="1"/>
  <c r="AJ157" i="1"/>
  <c r="Z157" i="1"/>
  <c r="Y157" i="1"/>
  <c r="V157" i="1"/>
  <c r="BD156" i="1"/>
  <c r="BB156" i="1"/>
  <c r="AY156" i="1"/>
  <c r="AR156" i="1"/>
  <c r="AQ156" i="1"/>
  <c r="AP156" i="1"/>
  <c r="AM156" i="1"/>
  <c r="AJ156" i="1"/>
  <c r="BE156" i="1" s="1"/>
  <c r="Z156" i="1"/>
  <c r="BC156" i="1" s="1"/>
  <c r="Y156" i="1"/>
  <c r="V156" i="1"/>
  <c r="BD155" i="1"/>
  <c r="BB155" i="1"/>
  <c r="AY155" i="1"/>
  <c r="AR155" i="1"/>
  <c r="AQ155" i="1"/>
  <c r="AP155" i="1"/>
  <c r="AM155" i="1"/>
  <c r="AN155" i="1" s="1"/>
  <c r="AJ155" i="1"/>
  <c r="BE155" i="1" s="1"/>
  <c r="Z155" i="1"/>
  <c r="BC155" i="1" s="1"/>
  <c r="Y155" i="1"/>
  <c r="V155" i="1"/>
  <c r="BD154" i="1"/>
  <c r="BB154" i="1"/>
  <c r="AY154" i="1"/>
  <c r="AR154" i="1"/>
  <c r="AQ154" i="1"/>
  <c r="AP154" i="1"/>
  <c r="AM154" i="1"/>
  <c r="AN154" i="1" s="1"/>
  <c r="AJ154" i="1"/>
  <c r="BE154" i="1" s="1"/>
  <c r="Z154" i="1"/>
  <c r="BC154" i="1" s="1"/>
  <c r="Y154" i="1"/>
  <c r="V154" i="1"/>
  <c r="BD153" i="1"/>
  <c r="BB153" i="1"/>
  <c r="AY153" i="1"/>
  <c r="AR153" i="1"/>
  <c r="AQ153" i="1"/>
  <c r="AP153" i="1"/>
  <c r="AM153" i="1"/>
  <c r="AN153" i="1" s="1"/>
  <c r="AJ153" i="1"/>
  <c r="BE153" i="1" s="1"/>
  <c r="Z153" i="1"/>
  <c r="BA153" i="1" s="1"/>
  <c r="Y153" i="1"/>
  <c r="V153" i="1"/>
  <c r="BD152" i="1"/>
  <c r="BB152" i="1"/>
  <c r="AY152" i="1"/>
  <c r="AR152" i="1"/>
  <c r="AQ152" i="1"/>
  <c r="AP152" i="1"/>
  <c r="AM152" i="1"/>
  <c r="AN152" i="1" s="1"/>
  <c r="AJ152" i="1"/>
  <c r="BE152" i="1" s="1"/>
  <c r="Z152" i="1"/>
  <c r="Y152" i="1"/>
  <c r="V152" i="1"/>
  <c r="BD151" i="1"/>
  <c r="BB151" i="1"/>
  <c r="AY151" i="1"/>
  <c r="AR151" i="1"/>
  <c r="AQ151" i="1"/>
  <c r="AP151" i="1"/>
  <c r="AM151" i="1"/>
  <c r="AJ151" i="1"/>
  <c r="Z151" i="1"/>
  <c r="BC151" i="1" s="1"/>
  <c r="Y151" i="1"/>
  <c r="V151" i="1"/>
  <c r="BD150" i="1"/>
  <c r="BB150" i="1"/>
  <c r="AY150" i="1"/>
  <c r="AR150" i="1"/>
  <c r="AQ150" i="1"/>
  <c r="AP150" i="1"/>
  <c r="AM150" i="1"/>
  <c r="AN150" i="1" s="1"/>
  <c r="AJ150" i="1"/>
  <c r="BE150" i="1" s="1"/>
  <c r="Z150" i="1"/>
  <c r="BC150" i="1" s="1"/>
  <c r="Y150" i="1"/>
  <c r="V150" i="1"/>
  <c r="BD149" i="1"/>
  <c r="BB149" i="1"/>
  <c r="AY149" i="1"/>
  <c r="AR149" i="1"/>
  <c r="AQ149" i="1"/>
  <c r="AP149" i="1"/>
  <c r="AM149" i="1"/>
  <c r="AN149" i="1" s="1"/>
  <c r="AJ149" i="1"/>
  <c r="BE149" i="1" s="1"/>
  <c r="Z149" i="1"/>
  <c r="Y149" i="1"/>
  <c r="V149" i="1"/>
  <c r="BD148" i="1"/>
  <c r="BB148" i="1"/>
  <c r="AY148" i="1"/>
  <c r="AR148" i="1"/>
  <c r="AQ148" i="1"/>
  <c r="AP148" i="1"/>
  <c r="AM148" i="1"/>
  <c r="AN148" i="1" s="1"/>
  <c r="AJ148" i="1"/>
  <c r="BE148" i="1" s="1"/>
  <c r="Z148" i="1"/>
  <c r="BA148" i="1" s="1"/>
  <c r="Y148" i="1"/>
  <c r="V148" i="1"/>
  <c r="BD147" i="1"/>
  <c r="BB147" i="1"/>
  <c r="AY147" i="1"/>
  <c r="AR147" i="1"/>
  <c r="AQ147" i="1"/>
  <c r="AP147" i="1"/>
  <c r="AM147" i="1"/>
  <c r="AJ147" i="1"/>
  <c r="Z147" i="1"/>
  <c r="BC147" i="1" s="1"/>
  <c r="Y147" i="1"/>
  <c r="V147" i="1"/>
  <c r="BD146" i="1"/>
  <c r="BB146" i="1"/>
  <c r="AY146" i="1"/>
  <c r="AR146" i="1"/>
  <c r="AQ146" i="1"/>
  <c r="AP146" i="1"/>
  <c r="AM146" i="1"/>
  <c r="AJ146" i="1"/>
  <c r="BE146" i="1" s="1"/>
  <c r="Z146" i="1"/>
  <c r="BC146" i="1" s="1"/>
  <c r="Y146" i="1"/>
  <c r="V146" i="1"/>
  <c r="BD145" i="1"/>
  <c r="BB145" i="1"/>
  <c r="AY145" i="1"/>
  <c r="AR145" i="1"/>
  <c r="AQ145" i="1"/>
  <c r="AP145" i="1"/>
  <c r="AM145" i="1"/>
  <c r="AJ145" i="1"/>
  <c r="BE145" i="1" s="1"/>
  <c r="Z145" i="1"/>
  <c r="BA145" i="1" s="1"/>
  <c r="Y145" i="1"/>
  <c r="V145" i="1"/>
  <c r="BD144" i="1"/>
  <c r="BB144" i="1"/>
  <c r="AY144" i="1"/>
  <c r="AR144" i="1"/>
  <c r="AQ144" i="1"/>
  <c r="AP144" i="1"/>
  <c r="AM144" i="1"/>
  <c r="AJ144" i="1"/>
  <c r="Z144" i="1"/>
  <c r="BA144" i="1" s="1"/>
  <c r="Y144" i="1"/>
  <c r="V144" i="1"/>
  <c r="BD143" i="1"/>
  <c r="BB143" i="1"/>
  <c r="AY143" i="1"/>
  <c r="AR143" i="1"/>
  <c r="AQ143" i="1"/>
  <c r="AP143" i="1"/>
  <c r="AM143" i="1"/>
  <c r="AJ143" i="1"/>
  <c r="BE143" i="1" s="1"/>
  <c r="Z143" i="1"/>
  <c r="BC143" i="1" s="1"/>
  <c r="Y143" i="1"/>
  <c r="V143" i="1"/>
  <c r="BD142" i="1"/>
  <c r="BB142" i="1"/>
  <c r="AY142" i="1"/>
  <c r="AR142" i="1"/>
  <c r="AQ142" i="1"/>
  <c r="AP142" i="1"/>
  <c r="AM142" i="1"/>
  <c r="AJ142" i="1"/>
  <c r="BE142" i="1" s="1"/>
  <c r="Z142" i="1"/>
  <c r="BC142" i="1" s="1"/>
  <c r="Y142" i="1"/>
  <c r="V142" i="1"/>
  <c r="BD141" i="1"/>
  <c r="BB141" i="1"/>
  <c r="AY141" i="1"/>
  <c r="AR141" i="1"/>
  <c r="AQ141" i="1"/>
  <c r="AP141" i="1"/>
  <c r="AM141" i="1"/>
  <c r="AJ141" i="1"/>
  <c r="BE141" i="1" s="1"/>
  <c r="Z141" i="1"/>
  <c r="BA141" i="1" s="1"/>
  <c r="Y141" i="1"/>
  <c r="V141" i="1"/>
  <c r="BD140" i="1"/>
  <c r="BB140" i="1"/>
  <c r="AY140" i="1"/>
  <c r="AR140" i="1"/>
  <c r="AQ140" i="1"/>
  <c r="AP140" i="1"/>
  <c r="AM140" i="1"/>
  <c r="AJ140" i="1"/>
  <c r="Z140" i="1"/>
  <c r="BA140" i="1" s="1"/>
  <c r="Y140" i="1"/>
  <c r="V140" i="1"/>
  <c r="BD139" i="1"/>
  <c r="BB139" i="1"/>
  <c r="AY139" i="1"/>
  <c r="AR139" i="1"/>
  <c r="AQ139" i="1"/>
  <c r="AP139" i="1"/>
  <c r="AM139" i="1"/>
  <c r="AJ139" i="1"/>
  <c r="BE139" i="1" s="1"/>
  <c r="Z139" i="1"/>
  <c r="BC139" i="1" s="1"/>
  <c r="Y139" i="1"/>
  <c r="V139" i="1"/>
  <c r="BD138" i="1"/>
  <c r="BB138" i="1"/>
  <c r="AY138" i="1"/>
  <c r="AR138" i="1"/>
  <c r="AQ138" i="1"/>
  <c r="AP138" i="1"/>
  <c r="AM138" i="1"/>
  <c r="AJ138" i="1"/>
  <c r="BE138" i="1" s="1"/>
  <c r="Z138" i="1"/>
  <c r="BC138" i="1" s="1"/>
  <c r="Y138" i="1"/>
  <c r="V138" i="1"/>
  <c r="BD137" i="1"/>
  <c r="BB137" i="1"/>
  <c r="AY137" i="1"/>
  <c r="AR137" i="1"/>
  <c r="AQ137" i="1"/>
  <c r="AP137" i="1"/>
  <c r="AM137" i="1"/>
  <c r="AJ137" i="1"/>
  <c r="BE137" i="1" s="1"/>
  <c r="Z137" i="1"/>
  <c r="BA137" i="1" s="1"/>
  <c r="Y137" i="1"/>
  <c r="V137" i="1"/>
  <c r="BD136" i="1"/>
  <c r="BB136" i="1"/>
  <c r="AY136" i="1"/>
  <c r="AR136" i="1"/>
  <c r="AQ136" i="1"/>
  <c r="AP136" i="1"/>
  <c r="AM136" i="1"/>
  <c r="AJ136" i="1"/>
  <c r="Z136" i="1"/>
  <c r="BA136" i="1" s="1"/>
  <c r="Y136" i="1"/>
  <c r="V136" i="1"/>
  <c r="BD135" i="1"/>
  <c r="BB135" i="1"/>
  <c r="AY135" i="1"/>
  <c r="AR135" i="1"/>
  <c r="AQ135" i="1"/>
  <c r="AP135" i="1"/>
  <c r="AM135" i="1"/>
  <c r="AN135" i="1" s="1"/>
  <c r="AJ135" i="1"/>
  <c r="Z135" i="1"/>
  <c r="BC135" i="1" s="1"/>
  <c r="Y135" i="1"/>
  <c r="V135" i="1"/>
  <c r="BD134" i="1"/>
  <c r="BB134" i="1"/>
  <c r="AY134" i="1"/>
  <c r="AR134" i="1"/>
  <c r="AQ134" i="1"/>
  <c r="AP134" i="1"/>
  <c r="AM134" i="1"/>
  <c r="AJ134" i="1"/>
  <c r="BE134" i="1" s="1"/>
  <c r="Z134" i="1"/>
  <c r="BC134" i="1" s="1"/>
  <c r="Y134" i="1"/>
  <c r="V134" i="1"/>
  <c r="BD133" i="1"/>
  <c r="BB133" i="1"/>
  <c r="AY133" i="1"/>
  <c r="AR133" i="1"/>
  <c r="AQ133" i="1"/>
  <c r="AP133" i="1"/>
  <c r="AM133" i="1"/>
  <c r="AJ133" i="1"/>
  <c r="BE133" i="1" s="1"/>
  <c r="Z133" i="1"/>
  <c r="BA133" i="1" s="1"/>
  <c r="Y133" i="1"/>
  <c r="V133" i="1"/>
  <c r="BD132" i="1"/>
  <c r="BB132" i="1"/>
  <c r="AY132" i="1"/>
  <c r="AR132" i="1"/>
  <c r="AQ132" i="1"/>
  <c r="AP132" i="1"/>
  <c r="AM132" i="1"/>
  <c r="AJ132" i="1"/>
  <c r="BE132" i="1" s="1"/>
  <c r="Z132" i="1"/>
  <c r="BA132" i="1" s="1"/>
  <c r="Y132" i="1"/>
  <c r="V132" i="1"/>
  <c r="BD131" i="1"/>
  <c r="BB131" i="1"/>
  <c r="AY131" i="1"/>
  <c r="AR131" i="1"/>
  <c r="AQ131" i="1"/>
  <c r="AP131" i="1"/>
  <c r="AM131" i="1"/>
  <c r="AJ131" i="1"/>
  <c r="BE131" i="1" s="1"/>
  <c r="Z131" i="1"/>
  <c r="BC131" i="1" s="1"/>
  <c r="Y131" i="1"/>
  <c r="V131" i="1"/>
  <c r="BD130" i="1"/>
  <c r="BB130" i="1"/>
  <c r="AY130" i="1"/>
  <c r="AR130" i="1"/>
  <c r="AQ130" i="1"/>
  <c r="AP130" i="1"/>
  <c r="AM130" i="1"/>
  <c r="AN130" i="1" s="1"/>
  <c r="AJ130" i="1"/>
  <c r="BE130" i="1" s="1"/>
  <c r="Z130" i="1"/>
  <c r="BC130" i="1" s="1"/>
  <c r="Y130" i="1"/>
  <c r="V130" i="1"/>
  <c r="BD129" i="1"/>
  <c r="BB129" i="1"/>
  <c r="AY129" i="1"/>
  <c r="AR129" i="1"/>
  <c r="AQ129" i="1"/>
  <c r="AP129" i="1"/>
  <c r="AM129" i="1"/>
  <c r="AJ129" i="1"/>
  <c r="BE129" i="1" s="1"/>
  <c r="Z129" i="1"/>
  <c r="Y129" i="1"/>
  <c r="V129" i="1"/>
  <c r="BD128" i="1"/>
  <c r="BB128" i="1"/>
  <c r="AY128" i="1"/>
  <c r="AR128" i="1"/>
  <c r="AQ128" i="1"/>
  <c r="AP128" i="1"/>
  <c r="AM128" i="1"/>
  <c r="AN128" i="1" s="1"/>
  <c r="AJ128" i="1"/>
  <c r="Z128" i="1"/>
  <c r="Y128" i="1"/>
  <c r="V128" i="1"/>
  <c r="BD127" i="1"/>
  <c r="BB127" i="1"/>
  <c r="AY127" i="1"/>
  <c r="AR127" i="1"/>
  <c r="AQ127" i="1"/>
  <c r="AP127" i="1"/>
  <c r="AM127" i="1"/>
  <c r="AN127" i="1" s="1"/>
  <c r="AJ127" i="1"/>
  <c r="BE127" i="1" s="1"/>
  <c r="Z127" i="1"/>
  <c r="BC127" i="1" s="1"/>
  <c r="Y127" i="1"/>
  <c r="V127" i="1"/>
  <c r="BD126" i="1"/>
  <c r="BB126" i="1"/>
  <c r="AY126" i="1"/>
  <c r="AR126" i="1"/>
  <c r="AQ126" i="1"/>
  <c r="AP126" i="1"/>
  <c r="AM126" i="1"/>
  <c r="AN126" i="1" s="1"/>
  <c r="AJ126" i="1"/>
  <c r="BE126" i="1" s="1"/>
  <c r="Z126" i="1"/>
  <c r="BC126" i="1" s="1"/>
  <c r="Y126" i="1"/>
  <c r="V126" i="1"/>
  <c r="BD125" i="1"/>
  <c r="BB125" i="1"/>
  <c r="AY125" i="1"/>
  <c r="AR125" i="1"/>
  <c r="AQ125" i="1"/>
  <c r="AP125" i="1"/>
  <c r="AM125" i="1"/>
  <c r="AJ125" i="1"/>
  <c r="BE125" i="1" s="1"/>
  <c r="Z125" i="1"/>
  <c r="Y125" i="1"/>
  <c r="V125" i="1"/>
  <c r="BD124" i="1"/>
  <c r="BB124" i="1"/>
  <c r="AY124" i="1"/>
  <c r="AR124" i="1"/>
  <c r="AQ124" i="1"/>
  <c r="AP124" i="1"/>
  <c r="AM124" i="1"/>
  <c r="AN124" i="1" s="1"/>
  <c r="AJ124" i="1"/>
  <c r="Z124" i="1"/>
  <c r="BA124" i="1" s="1"/>
  <c r="Y124" i="1"/>
  <c r="V124" i="1"/>
  <c r="BD123" i="1"/>
  <c r="BB123" i="1"/>
  <c r="AY123" i="1"/>
  <c r="AR123" i="1"/>
  <c r="AQ123" i="1"/>
  <c r="AP123" i="1"/>
  <c r="AM123" i="1"/>
  <c r="AJ123" i="1"/>
  <c r="BE123" i="1" s="1"/>
  <c r="Z123" i="1"/>
  <c r="BC123" i="1" s="1"/>
  <c r="Y123" i="1"/>
  <c r="V123" i="1"/>
  <c r="BD122" i="1"/>
  <c r="BB122" i="1"/>
  <c r="AY122" i="1"/>
  <c r="AR122" i="1"/>
  <c r="AQ122" i="1"/>
  <c r="AP122" i="1"/>
  <c r="AM122" i="1"/>
  <c r="AN122" i="1" s="1"/>
  <c r="AJ122" i="1"/>
  <c r="BE122" i="1" s="1"/>
  <c r="Z122" i="1"/>
  <c r="BC122" i="1" s="1"/>
  <c r="Y122" i="1"/>
  <c r="V122" i="1"/>
  <c r="BD121" i="1"/>
  <c r="BB121" i="1"/>
  <c r="AY121" i="1"/>
  <c r="AR121" i="1"/>
  <c r="AQ121" i="1"/>
  <c r="AP121" i="1"/>
  <c r="AM121" i="1"/>
  <c r="AJ121" i="1"/>
  <c r="BE121" i="1" s="1"/>
  <c r="Z121" i="1"/>
  <c r="Y121" i="1"/>
  <c r="V121" i="1"/>
  <c r="BD120" i="1"/>
  <c r="BB120" i="1"/>
  <c r="AY120" i="1"/>
  <c r="AR120" i="1"/>
  <c r="AQ120" i="1"/>
  <c r="AP120" i="1"/>
  <c r="AM120" i="1"/>
  <c r="AN120" i="1" s="1"/>
  <c r="AJ120" i="1"/>
  <c r="Z120" i="1"/>
  <c r="Y120" i="1"/>
  <c r="V120" i="1"/>
  <c r="BD119" i="1"/>
  <c r="BB119" i="1"/>
  <c r="AY119" i="1"/>
  <c r="AR119" i="1"/>
  <c r="AQ119" i="1"/>
  <c r="AP119" i="1"/>
  <c r="AM119" i="1"/>
  <c r="AJ119" i="1"/>
  <c r="BE119" i="1" s="1"/>
  <c r="Z119" i="1"/>
  <c r="BC119" i="1" s="1"/>
  <c r="Y119" i="1"/>
  <c r="V119" i="1"/>
  <c r="BD118" i="1"/>
  <c r="BB118" i="1"/>
  <c r="AY118" i="1"/>
  <c r="AR118" i="1"/>
  <c r="AQ118" i="1"/>
  <c r="AP118" i="1"/>
  <c r="AM118" i="1"/>
  <c r="AJ118" i="1"/>
  <c r="BE118" i="1" s="1"/>
  <c r="Z118" i="1"/>
  <c r="BC118" i="1" s="1"/>
  <c r="Y118" i="1"/>
  <c r="V118" i="1"/>
  <c r="BD117" i="1"/>
  <c r="BB117" i="1"/>
  <c r="AY117" i="1"/>
  <c r="AR117" i="1"/>
  <c r="AQ117" i="1"/>
  <c r="AP117" i="1"/>
  <c r="AM117" i="1"/>
  <c r="AN117" i="1" s="1"/>
  <c r="AJ117" i="1"/>
  <c r="BE117" i="1" s="1"/>
  <c r="Z117" i="1"/>
  <c r="BA117" i="1" s="1"/>
  <c r="Y117" i="1"/>
  <c r="V117" i="1"/>
  <c r="BD116" i="1"/>
  <c r="BB116" i="1"/>
  <c r="AY116" i="1"/>
  <c r="AR116" i="1"/>
  <c r="AQ116" i="1"/>
  <c r="AP116" i="1"/>
  <c r="AM116" i="1"/>
  <c r="AN116" i="1" s="1"/>
  <c r="AJ116" i="1"/>
  <c r="BE116" i="1" s="1"/>
  <c r="Z116" i="1"/>
  <c r="Y116" i="1"/>
  <c r="V116" i="1"/>
  <c r="BD115" i="1"/>
  <c r="BB115" i="1"/>
  <c r="AY115" i="1"/>
  <c r="AR115" i="1"/>
  <c r="AQ115" i="1"/>
  <c r="AP115" i="1"/>
  <c r="AM115" i="1"/>
  <c r="AJ115" i="1"/>
  <c r="Z115" i="1"/>
  <c r="BC115" i="1" s="1"/>
  <c r="Y115" i="1"/>
  <c r="V115" i="1"/>
  <c r="BD114" i="1"/>
  <c r="BB114" i="1"/>
  <c r="AY114" i="1"/>
  <c r="AR114" i="1"/>
  <c r="AQ114" i="1"/>
  <c r="AP114" i="1"/>
  <c r="AM114" i="1"/>
  <c r="AJ114" i="1"/>
  <c r="BE114" i="1" s="1"/>
  <c r="Z114" i="1"/>
  <c r="BC114" i="1" s="1"/>
  <c r="Y114" i="1"/>
  <c r="V114" i="1"/>
  <c r="BD113" i="1"/>
  <c r="BB113" i="1"/>
  <c r="AY113" i="1"/>
  <c r="AR113" i="1"/>
  <c r="AQ113" i="1"/>
  <c r="AP113" i="1"/>
  <c r="AM113" i="1"/>
  <c r="AJ113" i="1"/>
  <c r="BE113" i="1" s="1"/>
  <c r="Z113" i="1"/>
  <c r="BA113" i="1" s="1"/>
  <c r="Y113" i="1"/>
  <c r="V113" i="1"/>
  <c r="BD112" i="1"/>
  <c r="BB112" i="1"/>
  <c r="AY112" i="1"/>
  <c r="AR112" i="1"/>
  <c r="AQ112" i="1"/>
  <c r="AP112" i="1"/>
  <c r="AM112" i="1"/>
  <c r="AJ112" i="1"/>
  <c r="Z112" i="1"/>
  <c r="BA112" i="1" s="1"/>
  <c r="Y112" i="1"/>
  <c r="V112" i="1"/>
  <c r="BD111" i="1"/>
  <c r="BB111" i="1"/>
  <c r="AY111" i="1"/>
  <c r="AR111" i="1"/>
  <c r="AQ111" i="1"/>
  <c r="AP111" i="1"/>
  <c r="AM111" i="1"/>
  <c r="AJ111" i="1"/>
  <c r="BE111" i="1" s="1"/>
  <c r="Z111" i="1"/>
  <c r="BC111" i="1" s="1"/>
  <c r="Y111" i="1"/>
  <c r="V111" i="1"/>
  <c r="BD110" i="1"/>
  <c r="BB110" i="1"/>
  <c r="AY110" i="1"/>
  <c r="AR110" i="1"/>
  <c r="AQ110" i="1"/>
  <c r="AP110" i="1"/>
  <c r="AM110" i="1"/>
  <c r="AJ110" i="1"/>
  <c r="BE110" i="1" s="1"/>
  <c r="Z110" i="1"/>
  <c r="BC110" i="1" s="1"/>
  <c r="Y110" i="1"/>
  <c r="V110" i="1"/>
  <c r="BD109" i="1"/>
  <c r="BB109" i="1"/>
  <c r="AY109" i="1"/>
  <c r="AR109" i="1"/>
  <c r="AQ109" i="1"/>
  <c r="AP109" i="1"/>
  <c r="AM109" i="1"/>
  <c r="AJ109" i="1"/>
  <c r="BE109" i="1" s="1"/>
  <c r="Z109" i="1"/>
  <c r="BA109" i="1" s="1"/>
  <c r="Y109" i="1"/>
  <c r="V109" i="1"/>
  <c r="BD108" i="1"/>
  <c r="BB108" i="1"/>
  <c r="AY108" i="1"/>
  <c r="AR108" i="1"/>
  <c r="AQ108" i="1"/>
  <c r="AP108" i="1"/>
  <c r="AM108" i="1"/>
  <c r="AJ108" i="1"/>
  <c r="Z108" i="1"/>
  <c r="BA108" i="1" s="1"/>
  <c r="Y108" i="1"/>
  <c r="V108" i="1"/>
  <c r="BD107" i="1"/>
  <c r="BB107" i="1"/>
  <c r="AY107" i="1"/>
  <c r="AR107" i="1"/>
  <c r="AQ107" i="1"/>
  <c r="AP107" i="1"/>
  <c r="AM107" i="1"/>
  <c r="AJ107" i="1"/>
  <c r="BE107" i="1" s="1"/>
  <c r="Z107" i="1"/>
  <c r="BC107" i="1" s="1"/>
  <c r="Y107" i="1"/>
  <c r="V107" i="1"/>
  <c r="BD106" i="1"/>
  <c r="BB106" i="1"/>
  <c r="AY106" i="1"/>
  <c r="AR106" i="1"/>
  <c r="AQ106" i="1"/>
  <c r="AP106" i="1"/>
  <c r="AM106" i="1"/>
  <c r="AN106" i="1" s="1"/>
  <c r="AJ106" i="1"/>
  <c r="BE106" i="1" s="1"/>
  <c r="Z106" i="1"/>
  <c r="BC106" i="1" s="1"/>
  <c r="Y106" i="1"/>
  <c r="V106" i="1"/>
  <c r="BD105" i="1"/>
  <c r="BB105" i="1"/>
  <c r="AY105" i="1"/>
  <c r="AR105" i="1"/>
  <c r="AQ105" i="1"/>
  <c r="AP105" i="1"/>
  <c r="AM105" i="1"/>
  <c r="AJ105" i="1"/>
  <c r="BE105" i="1" s="1"/>
  <c r="Z105" i="1"/>
  <c r="BA105" i="1" s="1"/>
  <c r="Y105" i="1"/>
  <c r="V105" i="1"/>
  <c r="BD104" i="1"/>
  <c r="BB104" i="1"/>
  <c r="AY104" i="1"/>
  <c r="AR104" i="1"/>
  <c r="AQ104" i="1"/>
  <c r="AP104" i="1"/>
  <c r="AM104" i="1"/>
  <c r="AN104" i="1" s="1"/>
  <c r="AJ104" i="1"/>
  <c r="Z104" i="1"/>
  <c r="BA104" i="1" s="1"/>
  <c r="Y104" i="1"/>
  <c r="V104" i="1"/>
  <c r="BD103" i="1"/>
  <c r="BB103" i="1"/>
  <c r="AY103" i="1"/>
  <c r="AR103" i="1"/>
  <c r="AQ103" i="1"/>
  <c r="AP103" i="1"/>
  <c r="AM103" i="1"/>
  <c r="AN103" i="1" s="1"/>
  <c r="AJ103" i="1"/>
  <c r="Z103" i="1"/>
  <c r="BC103" i="1" s="1"/>
  <c r="Y103" i="1"/>
  <c r="V103" i="1"/>
  <c r="BD102" i="1"/>
  <c r="BB102" i="1"/>
  <c r="AY102" i="1"/>
  <c r="AR102" i="1"/>
  <c r="AQ102" i="1"/>
  <c r="AP102" i="1"/>
  <c r="AM102" i="1"/>
  <c r="AJ102" i="1"/>
  <c r="BE102" i="1" s="1"/>
  <c r="Z102" i="1"/>
  <c r="BC102" i="1" s="1"/>
  <c r="Y102" i="1"/>
  <c r="V102" i="1"/>
  <c r="BD101" i="1"/>
  <c r="BB101" i="1"/>
  <c r="AY101" i="1"/>
  <c r="AR101" i="1"/>
  <c r="AQ101" i="1"/>
  <c r="AP101" i="1"/>
  <c r="AM101" i="1"/>
  <c r="AN101" i="1" s="1"/>
  <c r="AJ101" i="1"/>
  <c r="BE101" i="1" s="1"/>
  <c r="Z101" i="1"/>
  <c r="Y101" i="1"/>
  <c r="V101" i="1"/>
  <c r="BD100" i="1"/>
  <c r="BB100" i="1"/>
  <c r="AY100" i="1"/>
  <c r="AR100" i="1"/>
  <c r="AQ100" i="1"/>
  <c r="AP100" i="1"/>
  <c r="AM100" i="1"/>
  <c r="AJ100" i="1"/>
  <c r="BE100" i="1" s="1"/>
  <c r="Z100" i="1"/>
  <c r="BA100" i="1" s="1"/>
  <c r="Y100" i="1"/>
  <c r="V100" i="1"/>
  <c r="BD99" i="1"/>
  <c r="BB99" i="1"/>
  <c r="AY99" i="1"/>
  <c r="AR99" i="1"/>
  <c r="AQ99" i="1"/>
  <c r="AP99" i="1"/>
  <c r="AM99" i="1"/>
  <c r="AJ99" i="1"/>
  <c r="Z99" i="1"/>
  <c r="BC99" i="1" s="1"/>
  <c r="Y99" i="1"/>
  <c r="V99" i="1"/>
  <c r="BD98" i="1"/>
  <c r="BB98" i="1"/>
  <c r="AY98" i="1"/>
  <c r="AR98" i="1"/>
  <c r="AQ98" i="1"/>
  <c r="AP98" i="1"/>
  <c r="AM98" i="1"/>
  <c r="AN98" i="1" s="1"/>
  <c r="AJ98" i="1"/>
  <c r="BE98" i="1" s="1"/>
  <c r="Z98" i="1"/>
  <c r="BC98" i="1" s="1"/>
  <c r="Y98" i="1"/>
  <c r="V98" i="1"/>
  <c r="BD97" i="1"/>
  <c r="BB97" i="1"/>
  <c r="AY97" i="1"/>
  <c r="AR97" i="1"/>
  <c r="AQ97" i="1"/>
  <c r="AP97" i="1"/>
  <c r="AM97" i="1"/>
  <c r="AJ97" i="1"/>
  <c r="BE97" i="1" s="1"/>
  <c r="Z97" i="1"/>
  <c r="Y97" i="1"/>
  <c r="V97" i="1"/>
  <c r="BD96" i="1"/>
  <c r="BB96" i="1"/>
  <c r="AY96" i="1"/>
  <c r="AR96" i="1"/>
  <c r="AQ96" i="1"/>
  <c r="AP96" i="1"/>
  <c r="AM96" i="1"/>
  <c r="AN96" i="1" s="1"/>
  <c r="AJ96" i="1"/>
  <c r="Z96" i="1"/>
  <c r="Y96" i="1"/>
  <c r="V96" i="1"/>
  <c r="BD95" i="1"/>
  <c r="BB95" i="1"/>
  <c r="AY95" i="1"/>
  <c r="AR95" i="1"/>
  <c r="AQ95" i="1"/>
  <c r="AP95" i="1"/>
  <c r="AM95" i="1"/>
  <c r="AJ95" i="1"/>
  <c r="BE95" i="1" s="1"/>
  <c r="Z95" i="1"/>
  <c r="BC95" i="1" s="1"/>
  <c r="Y95" i="1"/>
  <c r="V95" i="1"/>
  <c r="BD94" i="1"/>
  <c r="BB94" i="1"/>
  <c r="AY94" i="1"/>
  <c r="AR94" i="1"/>
  <c r="AQ94" i="1"/>
  <c r="AP94" i="1"/>
  <c r="AM94" i="1"/>
  <c r="AN94" i="1" s="1"/>
  <c r="AJ94" i="1"/>
  <c r="BE94" i="1" s="1"/>
  <c r="Z94" i="1"/>
  <c r="BC94" i="1" s="1"/>
  <c r="Y94" i="1"/>
  <c r="V94" i="1"/>
  <c r="BD93" i="1"/>
  <c r="BB93" i="1"/>
  <c r="AY93" i="1"/>
  <c r="AR93" i="1"/>
  <c r="AQ93" i="1"/>
  <c r="AP93" i="1"/>
  <c r="AM93" i="1"/>
  <c r="AJ93" i="1"/>
  <c r="BE93" i="1" s="1"/>
  <c r="Z93" i="1"/>
  <c r="Y93" i="1"/>
  <c r="V93" i="1"/>
  <c r="BD92" i="1"/>
  <c r="BB92" i="1"/>
  <c r="AY92" i="1"/>
  <c r="AR92" i="1"/>
  <c r="AQ92" i="1"/>
  <c r="AP92" i="1"/>
  <c r="AM92" i="1"/>
  <c r="AN92" i="1" s="1"/>
  <c r="AJ92" i="1"/>
  <c r="Z92" i="1"/>
  <c r="BA92" i="1" s="1"/>
  <c r="Y92" i="1"/>
  <c r="V92" i="1"/>
  <c r="BD91" i="1"/>
  <c r="BB91" i="1"/>
  <c r="AY91" i="1"/>
  <c r="AR91" i="1"/>
  <c r="AQ91" i="1"/>
  <c r="AP91" i="1"/>
  <c r="AM91" i="1"/>
  <c r="AJ91" i="1"/>
  <c r="BE91" i="1" s="1"/>
  <c r="Z91" i="1"/>
  <c r="BC91" i="1" s="1"/>
  <c r="Y91" i="1"/>
  <c r="V91" i="1"/>
  <c r="BD90" i="1"/>
  <c r="BB90" i="1"/>
  <c r="AY90" i="1"/>
  <c r="AR90" i="1"/>
  <c r="AQ90" i="1"/>
  <c r="AP90" i="1"/>
  <c r="AM90" i="1"/>
  <c r="AN90" i="1" s="1"/>
  <c r="AJ90" i="1"/>
  <c r="BE90" i="1" s="1"/>
  <c r="Z90" i="1"/>
  <c r="BC90" i="1" s="1"/>
  <c r="Y90" i="1"/>
  <c r="V90" i="1"/>
  <c r="BD89" i="1"/>
  <c r="BB89" i="1"/>
  <c r="AY89" i="1"/>
  <c r="AR89" i="1"/>
  <c r="AQ89" i="1"/>
  <c r="AP89" i="1"/>
  <c r="AM89" i="1"/>
  <c r="AJ89" i="1"/>
  <c r="BE89" i="1" s="1"/>
  <c r="Z89" i="1"/>
  <c r="Y89" i="1"/>
  <c r="V89" i="1"/>
  <c r="BD88" i="1"/>
  <c r="BB88" i="1"/>
  <c r="AY88" i="1"/>
  <c r="AR88" i="1"/>
  <c r="AQ88" i="1"/>
  <c r="AP88" i="1"/>
  <c r="AM88" i="1"/>
  <c r="AN88" i="1" s="1"/>
  <c r="AJ88" i="1"/>
  <c r="BE88" i="1" s="1"/>
  <c r="Z88" i="1"/>
  <c r="BA88" i="1" s="1"/>
  <c r="Y88" i="1"/>
  <c r="V88" i="1"/>
  <c r="BD87" i="1"/>
  <c r="BB87" i="1"/>
  <c r="AY87" i="1"/>
  <c r="AR87" i="1"/>
  <c r="AQ87" i="1"/>
  <c r="AP87" i="1"/>
  <c r="AM87" i="1"/>
  <c r="AJ87" i="1"/>
  <c r="Z87" i="1"/>
  <c r="BC87" i="1" s="1"/>
  <c r="Y87" i="1"/>
  <c r="V87" i="1"/>
  <c r="BD86" i="1"/>
  <c r="BB86" i="1"/>
  <c r="AY86" i="1"/>
  <c r="AR86" i="1"/>
  <c r="AQ86" i="1"/>
  <c r="AP86" i="1"/>
  <c r="AM86" i="1"/>
  <c r="AJ86" i="1"/>
  <c r="BE86" i="1" s="1"/>
  <c r="Z86" i="1"/>
  <c r="BC86" i="1" s="1"/>
  <c r="Y86" i="1"/>
  <c r="V86" i="1"/>
  <c r="BD85" i="1"/>
  <c r="BB85" i="1"/>
  <c r="AY85" i="1"/>
  <c r="AR85" i="1"/>
  <c r="AQ85" i="1"/>
  <c r="AP85" i="1"/>
  <c r="AM85" i="1"/>
  <c r="AN85" i="1" s="1"/>
  <c r="AJ85" i="1"/>
  <c r="BE85" i="1" s="1"/>
  <c r="Z85" i="1"/>
  <c r="BA85" i="1" s="1"/>
  <c r="Y85" i="1"/>
  <c r="V85" i="1"/>
  <c r="BD84" i="1"/>
  <c r="BB84" i="1"/>
  <c r="AY84" i="1"/>
  <c r="AR84" i="1"/>
  <c r="AQ84" i="1"/>
  <c r="AP84" i="1"/>
  <c r="AM84" i="1"/>
  <c r="AJ84" i="1"/>
  <c r="Z84" i="1"/>
  <c r="Y84" i="1"/>
  <c r="V84" i="1"/>
  <c r="BD83" i="1"/>
  <c r="BB83" i="1"/>
  <c r="AY83" i="1"/>
  <c r="AR83" i="1"/>
  <c r="AQ83" i="1"/>
  <c r="AP83" i="1"/>
  <c r="AM83" i="1"/>
  <c r="AJ83" i="1"/>
  <c r="BE83" i="1" s="1"/>
  <c r="Z83" i="1"/>
  <c r="BC83" i="1" s="1"/>
  <c r="Y83" i="1"/>
  <c r="V83" i="1"/>
  <c r="BD82" i="1"/>
  <c r="BB82" i="1"/>
  <c r="AY82" i="1"/>
  <c r="AR82" i="1"/>
  <c r="AQ82" i="1"/>
  <c r="AP82" i="1"/>
  <c r="AM82" i="1"/>
  <c r="AJ82" i="1"/>
  <c r="BE82" i="1" s="1"/>
  <c r="Z82" i="1"/>
  <c r="BA82" i="1" s="1"/>
  <c r="Y82" i="1"/>
  <c r="V82" i="1"/>
  <c r="BD81" i="1"/>
  <c r="BB81" i="1"/>
  <c r="AY81" i="1"/>
  <c r="AR81" i="1"/>
  <c r="AQ81" i="1"/>
  <c r="AP81" i="1"/>
  <c r="AM81" i="1"/>
  <c r="AJ81" i="1"/>
  <c r="BE81" i="1" s="1"/>
  <c r="Z81" i="1"/>
  <c r="BA81" i="1" s="1"/>
  <c r="Y81" i="1"/>
  <c r="V81" i="1"/>
  <c r="BD80" i="1"/>
  <c r="BB80" i="1"/>
  <c r="AY80" i="1"/>
  <c r="AR80" i="1"/>
  <c r="AQ80" i="1"/>
  <c r="AP80" i="1"/>
  <c r="AM80" i="1"/>
  <c r="AJ80" i="1"/>
  <c r="Z80" i="1"/>
  <c r="BA80" i="1" s="1"/>
  <c r="Y80" i="1"/>
  <c r="V80" i="1"/>
  <c r="BD79" i="1"/>
  <c r="BB79" i="1"/>
  <c r="AY79" i="1"/>
  <c r="AR79" i="1"/>
  <c r="AQ79" i="1"/>
  <c r="AP79" i="1"/>
  <c r="AM79" i="1"/>
  <c r="AN79" i="1" s="1"/>
  <c r="AJ79" i="1"/>
  <c r="Z79" i="1"/>
  <c r="BC79" i="1" s="1"/>
  <c r="Y79" i="1"/>
  <c r="V79" i="1"/>
  <c r="BD78" i="1"/>
  <c r="BB78" i="1"/>
  <c r="AY78" i="1"/>
  <c r="AR78" i="1"/>
  <c r="AQ78" i="1"/>
  <c r="AP78" i="1"/>
  <c r="AM78" i="1"/>
  <c r="AJ78" i="1"/>
  <c r="BE78" i="1" s="1"/>
  <c r="Z78" i="1"/>
  <c r="BC78" i="1" s="1"/>
  <c r="Y78" i="1"/>
  <c r="V78" i="1"/>
  <c r="BD77" i="1"/>
  <c r="BB77" i="1"/>
  <c r="AY77" i="1"/>
  <c r="AR77" i="1"/>
  <c r="AQ77" i="1"/>
  <c r="AP77" i="1"/>
  <c r="AM77" i="1"/>
  <c r="AJ77" i="1"/>
  <c r="BE77" i="1" s="1"/>
  <c r="Z77" i="1"/>
  <c r="Y77" i="1"/>
  <c r="V77" i="1"/>
  <c r="BD76" i="1"/>
  <c r="BB76" i="1"/>
  <c r="AY76" i="1"/>
  <c r="AR76" i="1"/>
  <c r="AQ76" i="1"/>
  <c r="AP76" i="1"/>
  <c r="AM76" i="1"/>
  <c r="AJ76" i="1"/>
  <c r="BE76" i="1" s="1"/>
  <c r="Z76" i="1"/>
  <c r="BC76" i="1" s="1"/>
  <c r="Y76" i="1"/>
  <c r="V76" i="1"/>
  <c r="BD75" i="1"/>
  <c r="BB75" i="1"/>
  <c r="AY75" i="1"/>
  <c r="AR75" i="1"/>
  <c r="AQ75" i="1"/>
  <c r="AP75" i="1"/>
  <c r="AM75" i="1"/>
  <c r="AJ75" i="1"/>
  <c r="BE75" i="1" s="1"/>
  <c r="Z75" i="1"/>
  <c r="BA75" i="1" s="1"/>
  <c r="Y75" i="1"/>
  <c r="V75" i="1"/>
  <c r="BD74" i="1"/>
  <c r="BB74" i="1"/>
  <c r="AY74" i="1"/>
  <c r="AR74" i="1"/>
  <c r="AQ74" i="1"/>
  <c r="AP74" i="1"/>
  <c r="AM74" i="1"/>
  <c r="AJ74" i="1"/>
  <c r="Z74" i="1"/>
  <c r="BA74" i="1" s="1"/>
  <c r="Y74" i="1"/>
  <c r="V74" i="1"/>
  <c r="BD73" i="1"/>
  <c r="BB73" i="1"/>
  <c r="AY73" i="1"/>
  <c r="AR73" i="1"/>
  <c r="AQ73" i="1"/>
  <c r="AP73" i="1"/>
  <c r="AM73" i="1"/>
  <c r="AN73" i="1" s="1"/>
  <c r="AJ73" i="1"/>
  <c r="BE73" i="1" s="1"/>
  <c r="Z73" i="1"/>
  <c r="BA73" i="1" s="1"/>
  <c r="Y73" i="1"/>
  <c r="V73" i="1"/>
  <c r="BD72" i="1"/>
  <c r="BB72" i="1"/>
  <c r="AY72" i="1"/>
  <c r="AR72" i="1"/>
  <c r="AQ72" i="1"/>
  <c r="AP72" i="1"/>
  <c r="AM72" i="1"/>
  <c r="AJ72" i="1"/>
  <c r="BE72" i="1" s="1"/>
  <c r="Z72" i="1"/>
  <c r="BC72" i="1" s="1"/>
  <c r="Y72" i="1"/>
  <c r="V72" i="1"/>
  <c r="BD71" i="1"/>
  <c r="BB71" i="1"/>
  <c r="AY71" i="1"/>
  <c r="AR71" i="1"/>
  <c r="AQ71" i="1"/>
  <c r="AP71" i="1"/>
  <c r="AM71" i="1"/>
  <c r="AJ71" i="1"/>
  <c r="BE71" i="1" s="1"/>
  <c r="Z71" i="1"/>
  <c r="BA71" i="1" s="1"/>
  <c r="Y71" i="1"/>
  <c r="V71" i="1"/>
  <c r="BD70" i="1"/>
  <c r="BB70" i="1"/>
  <c r="AY70" i="1"/>
  <c r="AR70" i="1"/>
  <c r="AQ70" i="1"/>
  <c r="AP70" i="1"/>
  <c r="AM70" i="1"/>
  <c r="AJ70" i="1"/>
  <c r="BE70" i="1" s="1"/>
  <c r="Z70" i="1"/>
  <c r="BA70" i="1" s="1"/>
  <c r="Y70" i="1"/>
  <c r="V70" i="1"/>
  <c r="BD69" i="1"/>
  <c r="BB69" i="1"/>
  <c r="AY69" i="1"/>
  <c r="AR69" i="1"/>
  <c r="AQ69" i="1"/>
  <c r="AP69" i="1"/>
  <c r="AM69" i="1"/>
  <c r="AJ69" i="1"/>
  <c r="BE69" i="1" s="1"/>
  <c r="Z69" i="1"/>
  <c r="BA69" i="1" s="1"/>
  <c r="Y69" i="1"/>
  <c r="V69" i="1"/>
  <c r="BD68" i="1"/>
  <c r="BB68" i="1"/>
  <c r="AY68" i="1"/>
  <c r="AR68" i="1"/>
  <c r="AQ68" i="1"/>
  <c r="AP68" i="1"/>
  <c r="AM68" i="1"/>
  <c r="AJ68" i="1"/>
  <c r="BE68" i="1" s="1"/>
  <c r="Z68" i="1"/>
  <c r="BC68" i="1" s="1"/>
  <c r="Y68" i="1"/>
  <c r="V68" i="1"/>
  <c r="BD67" i="1"/>
  <c r="BB67" i="1"/>
  <c r="AY67" i="1"/>
  <c r="AR67" i="1"/>
  <c r="AQ67" i="1"/>
  <c r="AP67" i="1"/>
  <c r="AM67" i="1"/>
  <c r="AJ67" i="1"/>
  <c r="BE67" i="1" s="1"/>
  <c r="Z67" i="1"/>
  <c r="BA67" i="1" s="1"/>
  <c r="Y67" i="1"/>
  <c r="V67" i="1"/>
  <c r="BD66" i="1"/>
  <c r="BB66" i="1"/>
  <c r="AY66" i="1"/>
  <c r="AR66" i="1"/>
  <c r="AQ66" i="1"/>
  <c r="AP66" i="1"/>
  <c r="AM66" i="1"/>
  <c r="AN66" i="1" s="1"/>
  <c r="AJ66" i="1"/>
  <c r="Z66" i="1"/>
  <c r="BA66" i="1" s="1"/>
  <c r="Y66" i="1"/>
  <c r="V66" i="1"/>
  <c r="BD65" i="1"/>
  <c r="BB65" i="1"/>
  <c r="AY65" i="1"/>
  <c r="AR65" i="1"/>
  <c r="AQ65" i="1"/>
  <c r="AP65" i="1"/>
  <c r="AM65" i="1"/>
  <c r="AN65" i="1" s="1"/>
  <c r="AJ65" i="1"/>
  <c r="BE65" i="1" s="1"/>
  <c r="Z65" i="1"/>
  <c r="BA65" i="1" s="1"/>
  <c r="Y65" i="1"/>
  <c r="V65" i="1"/>
  <c r="BD64" i="1"/>
  <c r="BB64" i="1"/>
  <c r="AY64" i="1"/>
  <c r="AR64" i="1"/>
  <c r="AQ64" i="1"/>
  <c r="AP64" i="1"/>
  <c r="AM64" i="1"/>
  <c r="AJ64" i="1"/>
  <c r="BE64" i="1" s="1"/>
  <c r="Z64" i="1"/>
  <c r="BC64" i="1" s="1"/>
  <c r="Y64" i="1"/>
  <c r="V64" i="1"/>
  <c r="BD63" i="1"/>
  <c r="BB63" i="1"/>
  <c r="AY63" i="1"/>
  <c r="AR63" i="1"/>
  <c r="AQ63" i="1"/>
  <c r="AP63" i="1"/>
  <c r="AM63" i="1"/>
  <c r="AN63" i="1" s="1"/>
  <c r="AJ63" i="1"/>
  <c r="BE63" i="1" s="1"/>
  <c r="Z63" i="1"/>
  <c r="Y63" i="1"/>
  <c r="V63" i="1"/>
  <c r="BD62" i="1"/>
  <c r="BB62" i="1"/>
  <c r="AY62" i="1"/>
  <c r="AR62" i="1"/>
  <c r="AQ62" i="1"/>
  <c r="AP62" i="1"/>
  <c r="AM62" i="1"/>
  <c r="AJ62" i="1"/>
  <c r="BE62" i="1" s="1"/>
  <c r="Z62" i="1"/>
  <c r="BA62" i="1" s="1"/>
  <c r="Y62" i="1"/>
  <c r="V62" i="1"/>
  <c r="BD61" i="1"/>
  <c r="BB61" i="1"/>
  <c r="AY61" i="1"/>
  <c r="AR61" i="1"/>
  <c r="AQ61" i="1"/>
  <c r="AP61" i="1"/>
  <c r="AM61" i="1"/>
  <c r="AJ61" i="1"/>
  <c r="BE61" i="1" s="1"/>
  <c r="Z61" i="1"/>
  <c r="BC61" i="1" s="1"/>
  <c r="Y61" i="1"/>
  <c r="V61" i="1"/>
  <c r="BD60" i="1"/>
  <c r="BB60" i="1"/>
  <c r="AY60" i="1"/>
  <c r="AR60" i="1"/>
  <c r="AQ60" i="1"/>
  <c r="AP60" i="1"/>
  <c r="AM60" i="1"/>
  <c r="AN60" i="1" s="1"/>
  <c r="AJ60" i="1"/>
  <c r="BE60" i="1" s="1"/>
  <c r="Z60" i="1"/>
  <c r="BC60" i="1" s="1"/>
  <c r="Y60" i="1"/>
  <c r="V60" i="1"/>
  <c r="BD59" i="1"/>
  <c r="BB59" i="1"/>
  <c r="AY59" i="1"/>
  <c r="AR59" i="1"/>
  <c r="AQ59" i="1"/>
  <c r="AP59" i="1"/>
  <c r="AM59" i="1"/>
  <c r="AJ59" i="1"/>
  <c r="BE59" i="1" s="1"/>
  <c r="Z59" i="1"/>
  <c r="Y59" i="1"/>
  <c r="V59" i="1"/>
  <c r="BD58" i="1"/>
  <c r="BB58" i="1"/>
  <c r="AY58" i="1"/>
  <c r="AR58" i="1"/>
  <c r="AQ58" i="1"/>
  <c r="AP58" i="1"/>
  <c r="AM58" i="1"/>
  <c r="AN58" i="1" s="1"/>
  <c r="AJ58" i="1"/>
  <c r="Z58" i="1"/>
  <c r="BA58" i="1" s="1"/>
  <c r="Y58" i="1"/>
  <c r="V58" i="1"/>
  <c r="BD57" i="1"/>
  <c r="BB57" i="1"/>
  <c r="AY57" i="1"/>
  <c r="AR57" i="1"/>
  <c r="AQ57" i="1"/>
  <c r="AP57" i="1"/>
  <c r="AM57" i="1"/>
  <c r="AJ57" i="1"/>
  <c r="BE57" i="1" s="1"/>
  <c r="Z57" i="1"/>
  <c r="Y57" i="1"/>
  <c r="V57" i="1"/>
  <c r="BD56" i="1"/>
  <c r="BB56" i="1"/>
  <c r="AY56" i="1"/>
  <c r="AR56" i="1"/>
  <c r="AQ56" i="1"/>
  <c r="AP56" i="1"/>
  <c r="AM56" i="1"/>
  <c r="AN56" i="1" s="1"/>
  <c r="AJ56" i="1"/>
  <c r="BE56" i="1" s="1"/>
  <c r="Z56" i="1"/>
  <c r="BC56" i="1" s="1"/>
  <c r="Y56" i="1"/>
  <c r="V56" i="1"/>
  <c r="BD55" i="1"/>
  <c r="BB55" i="1"/>
  <c r="AY55" i="1"/>
  <c r="AR55" i="1"/>
  <c r="AQ55" i="1"/>
  <c r="AP55" i="1"/>
  <c r="AM55" i="1"/>
  <c r="AN55" i="1" s="1"/>
  <c r="AJ55" i="1"/>
  <c r="BE55" i="1" s="1"/>
  <c r="Z55" i="1"/>
  <c r="BA55" i="1" s="1"/>
  <c r="Y55" i="1"/>
  <c r="V55" i="1"/>
  <c r="BD54" i="1"/>
  <c r="BB54" i="1"/>
  <c r="AY54" i="1"/>
  <c r="AR54" i="1"/>
  <c r="AQ54" i="1"/>
  <c r="AP54" i="1"/>
  <c r="AM54" i="1"/>
  <c r="AJ54" i="1"/>
  <c r="BE54" i="1" s="1"/>
  <c r="Z54" i="1"/>
  <c r="BA54" i="1" s="1"/>
  <c r="Y54" i="1"/>
  <c r="V54" i="1"/>
  <c r="BD53" i="1"/>
  <c r="BB53" i="1"/>
  <c r="AY53" i="1"/>
  <c r="AR53" i="1"/>
  <c r="AQ53" i="1"/>
  <c r="AP53" i="1"/>
  <c r="AM53" i="1"/>
  <c r="AJ53" i="1"/>
  <c r="BE53" i="1" s="1"/>
  <c r="Z53" i="1"/>
  <c r="BC53" i="1" s="1"/>
  <c r="Y53" i="1"/>
  <c r="V53" i="1"/>
  <c r="BD52" i="1"/>
  <c r="BB52" i="1"/>
  <c r="AY52" i="1"/>
  <c r="AR52" i="1"/>
  <c r="AQ52" i="1"/>
  <c r="AP52" i="1"/>
  <c r="AM52" i="1"/>
  <c r="AN52" i="1" s="1"/>
  <c r="AJ52" i="1"/>
  <c r="BE52" i="1" s="1"/>
  <c r="Z52" i="1"/>
  <c r="BC52" i="1" s="1"/>
  <c r="Y52" i="1"/>
  <c r="V52" i="1"/>
  <c r="BD51" i="1"/>
  <c r="BB51" i="1"/>
  <c r="AY51" i="1"/>
  <c r="AV51" i="1"/>
  <c r="AU51" i="1"/>
  <c r="AT51" i="1"/>
  <c r="AS51" i="1"/>
  <c r="AR51" i="1"/>
  <c r="AQ51" i="1"/>
  <c r="AP51" i="1"/>
  <c r="AM51" i="1"/>
  <c r="AX51" i="1"/>
  <c r="AJ51" i="1"/>
  <c r="Z51" i="1"/>
  <c r="Y51" i="1"/>
  <c r="V51" i="1"/>
  <c r="BD50" i="1"/>
  <c r="BB50" i="1"/>
  <c r="AY50" i="1"/>
  <c r="AR50" i="1"/>
  <c r="AQ50" i="1"/>
  <c r="AP50" i="1"/>
  <c r="AM50" i="1"/>
  <c r="AJ50" i="1"/>
  <c r="Z50" i="1"/>
  <c r="BA50" i="1" s="1"/>
  <c r="Y50" i="1"/>
  <c r="V50" i="1"/>
  <c r="BD49" i="1"/>
  <c r="BB49" i="1"/>
  <c r="AY49" i="1"/>
  <c r="AR49" i="1"/>
  <c r="AQ49" i="1"/>
  <c r="AP49" i="1"/>
  <c r="AM49" i="1"/>
  <c r="AN49" i="1" s="1"/>
  <c r="AJ49" i="1"/>
  <c r="Z49" i="1"/>
  <c r="BC49" i="1" s="1"/>
  <c r="Y49" i="1"/>
  <c r="V49" i="1"/>
  <c r="BD48" i="1"/>
  <c r="BB48" i="1"/>
  <c r="AY48" i="1"/>
  <c r="AR48" i="1"/>
  <c r="AQ48" i="1"/>
  <c r="AP48" i="1"/>
  <c r="AM48" i="1"/>
  <c r="AJ48" i="1"/>
  <c r="Z48" i="1"/>
  <c r="BA48" i="1" s="1"/>
  <c r="Y48" i="1"/>
  <c r="V48" i="1"/>
  <c r="BD47" i="1"/>
  <c r="BB47" i="1"/>
  <c r="AY47" i="1"/>
  <c r="AR47" i="1"/>
  <c r="AQ47" i="1"/>
  <c r="AP47" i="1"/>
  <c r="AM47" i="1"/>
  <c r="AN47" i="1" s="1"/>
  <c r="AJ47" i="1"/>
  <c r="Z47" i="1"/>
  <c r="BC47" i="1" s="1"/>
  <c r="Y47" i="1"/>
  <c r="V47" i="1"/>
  <c r="BD46" i="1"/>
  <c r="BB46" i="1"/>
  <c r="AY46" i="1"/>
  <c r="AR46" i="1"/>
  <c r="AQ46" i="1"/>
  <c r="AP46" i="1"/>
  <c r="AM46" i="1"/>
  <c r="AJ46" i="1"/>
  <c r="Z46" i="1"/>
  <c r="Y46" i="1"/>
  <c r="V46" i="1"/>
  <c r="BD45" i="1"/>
  <c r="BB45" i="1"/>
  <c r="AY45" i="1"/>
  <c r="AR45" i="1"/>
  <c r="AQ45" i="1"/>
  <c r="AP45" i="1"/>
  <c r="AM45" i="1"/>
  <c r="AN45" i="1" s="1"/>
  <c r="AJ45" i="1"/>
  <c r="Z45" i="1"/>
  <c r="BC45" i="1" s="1"/>
  <c r="Y45" i="1"/>
  <c r="V45" i="1"/>
  <c r="BD44" i="1"/>
  <c r="BB44" i="1"/>
  <c r="AY44" i="1"/>
  <c r="AR44" i="1"/>
  <c r="AQ44" i="1"/>
  <c r="AP44" i="1"/>
  <c r="AM44" i="1"/>
  <c r="AJ44" i="1"/>
  <c r="Z44" i="1"/>
  <c r="BA44" i="1" s="1"/>
  <c r="Y44" i="1"/>
  <c r="V44" i="1"/>
  <c r="BD43" i="1"/>
  <c r="BB43" i="1"/>
  <c r="AY43" i="1"/>
  <c r="AR43" i="1"/>
  <c r="AQ43" i="1"/>
  <c r="AP43" i="1"/>
  <c r="AM43" i="1"/>
  <c r="AJ43" i="1"/>
  <c r="Z43" i="1"/>
  <c r="BC43" i="1" s="1"/>
  <c r="Y43" i="1"/>
  <c r="V43" i="1"/>
  <c r="BD42" i="1"/>
  <c r="BB42" i="1"/>
  <c r="AY42" i="1"/>
  <c r="AR42" i="1"/>
  <c r="AQ42" i="1"/>
  <c r="AP42" i="1"/>
  <c r="AM42" i="1"/>
  <c r="AJ42" i="1"/>
  <c r="Z42" i="1"/>
  <c r="BA42" i="1" s="1"/>
  <c r="Y42" i="1"/>
  <c r="V42" i="1"/>
  <c r="BD41" i="1"/>
  <c r="BB41" i="1"/>
  <c r="AY41" i="1"/>
  <c r="AR41" i="1"/>
  <c r="AQ41" i="1"/>
  <c r="AP41" i="1"/>
  <c r="AM41" i="1"/>
  <c r="AJ41" i="1"/>
  <c r="Z41" i="1"/>
  <c r="Y41" i="1"/>
  <c r="V41" i="1"/>
  <c r="BD40" i="1"/>
  <c r="BB40" i="1"/>
  <c r="AY40" i="1"/>
  <c r="AR40" i="1"/>
  <c r="AQ40" i="1"/>
  <c r="AP40" i="1"/>
  <c r="AM40" i="1"/>
  <c r="AJ40" i="1"/>
  <c r="Z40" i="1"/>
  <c r="BA40" i="1" s="1"/>
  <c r="Y40" i="1"/>
  <c r="V40" i="1"/>
  <c r="BD39" i="1"/>
  <c r="BB39" i="1"/>
  <c r="AY39" i="1"/>
  <c r="AR39" i="1"/>
  <c r="AQ39" i="1"/>
  <c r="AP39" i="1"/>
  <c r="AM39" i="1"/>
  <c r="AJ39" i="1"/>
  <c r="BE39" i="1" s="1"/>
  <c r="Z39" i="1"/>
  <c r="BC39" i="1" s="1"/>
  <c r="Y39" i="1"/>
  <c r="V39" i="1"/>
  <c r="BD38" i="1"/>
  <c r="BB38" i="1"/>
  <c r="AY38" i="1"/>
  <c r="AR38" i="1"/>
  <c r="AQ38" i="1"/>
  <c r="AP38" i="1"/>
  <c r="AM38" i="1"/>
  <c r="AJ38" i="1"/>
  <c r="BE38" i="1" s="1"/>
  <c r="Z38" i="1"/>
  <c r="BC38" i="1" s="1"/>
  <c r="Y38" i="1"/>
  <c r="V38" i="1"/>
  <c r="BD37" i="1"/>
  <c r="BB37" i="1"/>
  <c r="AY37" i="1"/>
  <c r="AR37" i="1"/>
  <c r="AQ37" i="1"/>
  <c r="AP37" i="1"/>
  <c r="AM37" i="1"/>
  <c r="AN37" i="1" s="1"/>
  <c r="AJ37" i="1"/>
  <c r="Z37" i="1"/>
  <c r="BC37" i="1" s="1"/>
  <c r="Y37" i="1"/>
  <c r="V37" i="1"/>
  <c r="BD36" i="1"/>
  <c r="BB36" i="1"/>
  <c r="AY36" i="1"/>
  <c r="AR36" i="1"/>
  <c r="AQ36" i="1"/>
  <c r="AP36" i="1"/>
  <c r="AM36" i="1"/>
  <c r="AN36" i="1" s="1"/>
  <c r="AJ36" i="1"/>
  <c r="Z36" i="1"/>
  <c r="BC36" i="1" s="1"/>
  <c r="Y36" i="1"/>
  <c r="V36" i="1"/>
  <c r="BD35" i="1"/>
  <c r="BB35" i="1"/>
  <c r="AY35" i="1"/>
  <c r="AR35" i="1"/>
  <c r="AQ35" i="1"/>
  <c r="AP35" i="1"/>
  <c r="AM35" i="1"/>
  <c r="AJ35" i="1"/>
  <c r="BE35" i="1" s="1"/>
  <c r="Z35" i="1"/>
  <c r="BC35" i="1" s="1"/>
  <c r="Y35" i="1"/>
  <c r="V35" i="1"/>
  <c r="BD34" i="1"/>
  <c r="BB34" i="1"/>
  <c r="AY34" i="1"/>
  <c r="AR34" i="1"/>
  <c r="AQ34" i="1"/>
  <c r="AP34" i="1"/>
  <c r="AM34" i="1"/>
  <c r="AJ34" i="1"/>
  <c r="BE34" i="1" s="1"/>
  <c r="Z34" i="1"/>
  <c r="BC34" i="1" s="1"/>
  <c r="Y34" i="1"/>
  <c r="V34" i="1"/>
  <c r="BD33" i="1"/>
  <c r="BB33" i="1"/>
  <c r="AY33" i="1"/>
  <c r="AR33" i="1"/>
  <c r="AQ33" i="1"/>
  <c r="AP33" i="1"/>
  <c r="AM33" i="1"/>
  <c r="AN33" i="1" s="1"/>
  <c r="AJ33" i="1"/>
  <c r="Z33" i="1"/>
  <c r="BC33" i="1" s="1"/>
  <c r="Y33" i="1"/>
  <c r="V33" i="1"/>
  <c r="BD32" i="1"/>
  <c r="BB32" i="1"/>
  <c r="AY32" i="1"/>
  <c r="AR32" i="1"/>
  <c r="AQ32" i="1"/>
  <c r="AP32" i="1"/>
  <c r="AM32" i="1"/>
  <c r="AN32" i="1" s="1"/>
  <c r="AJ32" i="1"/>
  <c r="Z32" i="1"/>
  <c r="BC32" i="1" s="1"/>
  <c r="Y32" i="1"/>
  <c r="V32" i="1"/>
  <c r="BD31" i="1"/>
  <c r="BB31" i="1"/>
  <c r="AY31" i="1"/>
  <c r="AR31" i="1"/>
  <c r="AQ31" i="1"/>
  <c r="AP31" i="1"/>
  <c r="AM31" i="1"/>
  <c r="AJ31" i="1"/>
  <c r="BE31" i="1" s="1"/>
  <c r="Z31" i="1"/>
  <c r="BC31" i="1" s="1"/>
  <c r="Y31" i="1"/>
  <c r="V31" i="1"/>
  <c r="BD30" i="1"/>
  <c r="BB30" i="1"/>
  <c r="AY30" i="1"/>
  <c r="AR30" i="1"/>
  <c r="AQ30" i="1"/>
  <c r="AP30" i="1"/>
  <c r="AM30" i="1"/>
  <c r="AJ30" i="1"/>
  <c r="Z30" i="1"/>
  <c r="BC30" i="1" s="1"/>
  <c r="Y30" i="1"/>
  <c r="V30" i="1"/>
  <c r="BD29" i="1"/>
  <c r="BB29" i="1"/>
  <c r="AY29" i="1"/>
  <c r="AR29" i="1"/>
  <c r="AQ29" i="1"/>
  <c r="AP29" i="1"/>
  <c r="AM29" i="1"/>
  <c r="AN29" i="1" s="1"/>
  <c r="AJ29" i="1"/>
  <c r="Z29" i="1"/>
  <c r="BC29" i="1" s="1"/>
  <c r="Y29" i="1"/>
  <c r="V29" i="1"/>
  <c r="BD28" i="1"/>
  <c r="BB28" i="1"/>
  <c r="AY28" i="1"/>
  <c r="AR28" i="1"/>
  <c r="AQ28" i="1"/>
  <c r="AP28" i="1"/>
  <c r="AM28" i="1"/>
  <c r="AN28" i="1" s="1"/>
  <c r="AJ28" i="1"/>
  <c r="Z28" i="1"/>
  <c r="BC28" i="1" s="1"/>
  <c r="Y28" i="1"/>
  <c r="V28" i="1"/>
  <c r="BD27" i="1"/>
  <c r="BB27" i="1"/>
  <c r="AY27" i="1"/>
  <c r="AR27" i="1"/>
  <c r="AQ27" i="1"/>
  <c r="AP27" i="1"/>
  <c r="AM27" i="1"/>
  <c r="AN27" i="1" s="1"/>
  <c r="AJ27" i="1"/>
  <c r="BE27" i="1" s="1"/>
  <c r="Z27" i="1"/>
  <c r="BC27" i="1" s="1"/>
  <c r="Y27" i="1"/>
  <c r="V27" i="1"/>
  <c r="BD26" i="1"/>
  <c r="BB26" i="1"/>
  <c r="AY26" i="1"/>
  <c r="AR26" i="1"/>
  <c r="AQ26" i="1"/>
  <c r="AP26" i="1"/>
  <c r="AM26" i="1"/>
  <c r="AJ26" i="1"/>
  <c r="Z26" i="1"/>
  <c r="BC26" i="1" s="1"/>
  <c r="Y26" i="1"/>
  <c r="V26" i="1"/>
  <c r="BD25" i="1"/>
  <c r="BB25" i="1"/>
  <c r="AY25" i="1"/>
  <c r="AR25" i="1"/>
  <c r="AQ25" i="1"/>
  <c r="AP25" i="1"/>
  <c r="AM25" i="1"/>
  <c r="AN25" i="1" s="1"/>
  <c r="AJ25" i="1"/>
  <c r="Z25" i="1"/>
  <c r="BC25" i="1" s="1"/>
  <c r="Y25" i="1"/>
  <c r="V25" i="1"/>
  <c r="BD24" i="1"/>
  <c r="BB24" i="1"/>
  <c r="AY24" i="1"/>
  <c r="AR24" i="1"/>
  <c r="AQ24" i="1"/>
  <c r="AP24" i="1"/>
  <c r="AM24" i="1"/>
  <c r="AJ24" i="1"/>
  <c r="BE24" i="1" s="1"/>
  <c r="Z24" i="1"/>
  <c r="BC24" i="1" s="1"/>
  <c r="Y24" i="1"/>
  <c r="V24" i="1"/>
  <c r="BD23" i="1"/>
  <c r="BB23" i="1"/>
  <c r="AY23" i="1"/>
  <c r="AR23" i="1"/>
  <c r="AQ23" i="1"/>
  <c r="AP23" i="1"/>
  <c r="AM23" i="1"/>
  <c r="AJ23" i="1"/>
  <c r="BE23" i="1" s="1"/>
  <c r="Z23" i="1"/>
  <c r="BC23" i="1" s="1"/>
  <c r="Y23" i="1"/>
  <c r="V23" i="1"/>
  <c r="BD22" i="1"/>
  <c r="BB22" i="1"/>
  <c r="AY22" i="1"/>
  <c r="AR22" i="1"/>
  <c r="AQ22" i="1"/>
  <c r="AP22" i="1"/>
  <c r="AM22" i="1"/>
  <c r="AJ22" i="1"/>
  <c r="BE22" i="1" s="1"/>
  <c r="Z22" i="1"/>
  <c r="BC22" i="1" s="1"/>
  <c r="Y22" i="1"/>
  <c r="V22" i="1"/>
  <c r="BD21" i="1"/>
  <c r="BB21" i="1"/>
  <c r="AY21" i="1"/>
  <c r="AR21" i="1"/>
  <c r="AQ21" i="1"/>
  <c r="AP21" i="1"/>
  <c r="AM21" i="1"/>
  <c r="AJ21" i="1"/>
  <c r="Z21" i="1"/>
  <c r="BC21" i="1" s="1"/>
  <c r="Y21" i="1"/>
  <c r="V21" i="1"/>
  <c r="BD20" i="1"/>
  <c r="BB20" i="1"/>
  <c r="AY20" i="1"/>
  <c r="AR20" i="1"/>
  <c r="AQ20" i="1"/>
  <c r="AP20" i="1"/>
  <c r="AM20" i="1"/>
  <c r="AN20" i="1" s="1"/>
  <c r="AJ20" i="1"/>
  <c r="BE20" i="1" s="1"/>
  <c r="Z20" i="1"/>
  <c r="BC20" i="1" s="1"/>
  <c r="Y20" i="1"/>
  <c r="V20" i="1"/>
  <c r="BD19" i="1"/>
  <c r="BB19" i="1"/>
  <c r="AY19" i="1"/>
  <c r="AR19" i="1"/>
  <c r="AQ19" i="1"/>
  <c r="AP19" i="1"/>
  <c r="AM19" i="1"/>
  <c r="AJ19" i="1"/>
  <c r="Z19" i="1"/>
  <c r="BC19" i="1" s="1"/>
  <c r="Y19" i="1"/>
  <c r="V19" i="1"/>
  <c r="BD18" i="1"/>
  <c r="BB18" i="1"/>
  <c r="AY18" i="1"/>
  <c r="AR18" i="1"/>
  <c r="AQ18" i="1"/>
  <c r="AP18" i="1"/>
  <c r="AM18" i="1"/>
  <c r="AJ18" i="1"/>
  <c r="BE18" i="1" s="1"/>
  <c r="Z18" i="1"/>
  <c r="BC18" i="1" s="1"/>
  <c r="Y18" i="1"/>
  <c r="V18" i="1"/>
  <c r="BD17" i="1"/>
  <c r="BB17" i="1"/>
  <c r="AY17" i="1"/>
  <c r="AR17" i="1"/>
  <c r="AQ17" i="1"/>
  <c r="AP17" i="1"/>
  <c r="AM17" i="1"/>
  <c r="AJ17" i="1"/>
  <c r="Z17" i="1"/>
  <c r="BC17" i="1" s="1"/>
  <c r="Y17" i="1"/>
  <c r="V17" i="1"/>
  <c r="BD16" i="1"/>
  <c r="BB16" i="1"/>
  <c r="AY16" i="1"/>
  <c r="AR16" i="1"/>
  <c r="AQ16" i="1"/>
  <c r="AP16" i="1"/>
  <c r="AM16" i="1"/>
  <c r="AN16" i="1" s="1"/>
  <c r="AJ16" i="1"/>
  <c r="BE16" i="1" s="1"/>
  <c r="Z16" i="1"/>
  <c r="BC16" i="1" s="1"/>
  <c r="Y16" i="1"/>
  <c r="V16" i="1"/>
  <c r="BD15" i="1"/>
  <c r="BB15" i="1"/>
  <c r="AY15" i="1"/>
  <c r="AR15" i="1"/>
  <c r="AQ15" i="1"/>
  <c r="AP15" i="1"/>
  <c r="AM15" i="1"/>
  <c r="AJ15" i="1"/>
  <c r="Z15" i="1"/>
  <c r="BC15" i="1" s="1"/>
  <c r="Y15" i="1"/>
  <c r="V15" i="1"/>
  <c r="BD14" i="1"/>
  <c r="BB14" i="1"/>
  <c r="AY14" i="1"/>
  <c r="AR14" i="1"/>
  <c r="AQ14" i="1"/>
  <c r="AP14" i="1"/>
  <c r="AM14" i="1"/>
  <c r="AJ14" i="1"/>
  <c r="BE14" i="1" s="1"/>
  <c r="Z14" i="1"/>
  <c r="BC14" i="1" s="1"/>
  <c r="Y14" i="1"/>
  <c r="V14" i="1"/>
  <c r="BD13" i="1"/>
  <c r="BB13" i="1"/>
  <c r="AY13" i="1"/>
  <c r="AR13" i="1"/>
  <c r="AQ13" i="1"/>
  <c r="AP13" i="1"/>
  <c r="AM13" i="1"/>
  <c r="AJ13" i="1"/>
  <c r="Z13" i="1"/>
  <c r="BC13" i="1" s="1"/>
  <c r="Y13" i="1"/>
  <c r="V13" i="1"/>
  <c r="BD12" i="1"/>
  <c r="BB12" i="1"/>
  <c r="AY12" i="1"/>
  <c r="AR12" i="1"/>
  <c r="AQ12" i="1"/>
  <c r="AP12" i="1"/>
  <c r="AM12" i="1"/>
  <c r="AN12" i="1" s="1"/>
  <c r="AJ12" i="1"/>
  <c r="BE12" i="1" s="1"/>
  <c r="Z12" i="1"/>
  <c r="BC12" i="1" s="1"/>
  <c r="Y12" i="1"/>
  <c r="V12" i="1"/>
  <c r="BD11" i="1"/>
  <c r="BB11" i="1"/>
  <c r="AY11" i="1"/>
  <c r="AR11" i="1"/>
  <c r="AQ11" i="1"/>
  <c r="AP11" i="1"/>
  <c r="AM11" i="1"/>
  <c r="AJ11" i="1"/>
  <c r="Z11" i="1"/>
  <c r="BC11" i="1" s="1"/>
  <c r="Y11" i="1"/>
  <c r="V11" i="1"/>
  <c r="BD10" i="1"/>
  <c r="BB10" i="1"/>
  <c r="AY10" i="1"/>
  <c r="AR10" i="1"/>
  <c r="AQ10" i="1"/>
  <c r="AP10" i="1"/>
  <c r="AM10" i="1"/>
  <c r="AJ10" i="1"/>
  <c r="BE10" i="1" s="1"/>
  <c r="Z10" i="1"/>
  <c r="BC10" i="1" s="1"/>
  <c r="Y10" i="1"/>
  <c r="V10" i="1"/>
  <c r="BD9" i="1"/>
  <c r="BB9" i="1"/>
  <c r="AY9" i="1"/>
  <c r="AR9" i="1"/>
  <c r="AQ9" i="1"/>
  <c r="AP9" i="1"/>
  <c r="AM9" i="1"/>
  <c r="AJ9" i="1"/>
  <c r="Z9" i="1"/>
  <c r="BC9" i="1" s="1"/>
  <c r="Y9" i="1"/>
  <c r="V9" i="1"/>
  <c r="BD8" i="1"/>
  <c r="BB8" i="1"/>
  <c r="AY8" i="1"/>
  <c r="AR8" i="1"/>
  <c r="AQ8" i="1"/>
  <c r="AP8" i="1"/>
  <c r="AM8" i="1"/>
  <c r="AN8" i="1" s="1"/>
  <c r="AJ8" i="1"/>
  <c r="BE8" i="1" s="1"/>
  <c r="Z8" i="1"/>
  <c r="BC8" i="1" s="1"/>
  <c r="Y8" i="1"/>
  <c r="V8" i="1"/>
  <c r="BD7" i="1"/>
  <c r="BB7" i="1"/>
  <c r="AY7" i="1"/>
  <c r="AR7" i="1"/>
  <c r="AQ7" i="1"/>
  <c r="AP7" i="1"/>
  <c r="AM7" i="1"/>
  <c r="AJ7" i="1"/>
  <c r="Z7" i="1"/>
  <c r="BC7" i="1" s="1"/>
  <c r="Y7" i="1"/>
  <c r="V7" i="1"/>
  <c r="BD6" i="1"/>
  <c r="BB6" i="1"/>
  <c r="AY6" i="1"/>
  <c r="AR6" i="1"/>
  <c r="AQ6" i="1"/>
  <c r="AP6" i="1"/>
  <c r="AM6" i="1"/>
  <c r="AJ6" i="1"/>
  <c r="BE6" i="1" s="1"/>
  <c r="Z6" i="1"/>
  <c r="BC6" i="1" s="1"/>
  <c r="Y6" i="1"/>
  <c r="V6" i="1"/>
  <c r="BD5" i="1"/>
  <c r="BB5" i="1"/>
  <c r="AY5" i="1"/>
  <c r="AR5" i="1"/>
  <c r="AQ5" i="1"/>
  <c r="AP5" i="1"/>
  <c r="AM5" i="1"/>
  <c r="AJ5" i="1"/>
  <c r="Z5" i="1"/>
  <c r="BC5" i="1" s="1"/>
  <c r="Y5" i="1"/>
  <c r="V5" i="1"/>
  <c r="BD4" i="1"/>
  <c r="BB4" i="1"/>
  <c r="AY4" i="1"/>
  <c r="AR4" i="1"/>
  <c r="AQ4" i="1"/>
  <c r="AP4" i="1"/>
  <c r="AM4" i="1"/>
  <c r="AN4" i="1" s="1"/>
  <c r="AJ4" i="1"/>
  <c r="Z4" i="1"/>
  <c r="BC4" i="1" s="1"/>
  <c r="Y4" i="1"/>
  <c r="V4" i="1"/>
  <c r="BD3" i="1"/>
  <c r="BB3" i="1"/>
  <c r="AY3" i="1"/>
  <c r="AR3" i="1"/>
  <c r="AQ3" i="1"/>
  <c r="AP3" i="1"/>
  <c r="AM3" i="1"/>
  <c r="AN3" i="1" s="1"/>
  <c r="AJ3" i="1"/>
  <c r="BE3" i="1" s="1"/>
  <c r="Z3" i="1"/>
  <c r="BC3" i="1" s="1"/>
  <c r="Y3" i="1"/>
  <c r="V3" i="1"/>
  <c r="BD2" i="1"/>
  <c r="BB2" i="1"/>
  <c r="AY2" i="1"/>
  <c r="AR2" i="1"/>
  <c r="AQ2" i="1"/>
  <c r="AP2" i="1"/>
  <c r="AM2" i="1"/>
  <c r="AN2" i="1" s="1"/>
  <c r="AJ2" i="1"/>
  <c r="BE2" i="1" s="1"/>
  <c r="Z2" i="1"/>
  <c r="BC2" i="1" s="1"/>
  <c r="Y2" i="1"/>
  <c r="BA236" i="1" l="1"/>
  <c r="AO172" i="1"/>
  <c r="BE236" i="1"/>
  <c r="BF209" i="1"/>
  <c r="AO155" i="1"/>
  <c r="BC92" i="1"/>
  <c r="AO116" i="1"/>
  <c r="AL44" i="1"/>
  <c r="AO60" i="1"/>
  <c r="AO88" i="1"/>
  <c r="AO149" i="1"/>
  <c r="AL221" i="1"/>
  <c r="BF225" i="1"/>
  <c r="AO167" i="1"/>
  <c r="AO127" i="1"/>
  <c r="AO12" i="1"/>
  <c r="AO122" i="1"/>
  <c r="AO126" i="1"/>
  <c r="AO148" i="1"/>
  <c r="AO166" i="1"/>
  <c r="BC217" i="1"/>
  <c r="AO220" i="1"/>
  <c r="AL42" i="1"/>
  <c r="BC66" i="1"/>
  <c r="AO73" i="1"/>
  <c r="AO90" i="1"/>
  <c r="AO98" i="1"/>
  <c r="AO103" i="1"/>
  <c r="BC117" i="1"/>
  <c r="AO170" i="1"/>
  <c r="BF201" i="1"/>
  <c r="BA232" i="1"/>
  <c r="AO65" i="1"/>
  <c r="BF92" i="1"/>
  <c r="AO173" i="1"/>
  <c r="AO225" i="1"/>
  <c r="BA227" i="1"/>
  <c r="BF79" i="1"/>
  <c r="AO92" i="1"/>
  <c r="AO16" i="1"/>
  <c r="BF32" i="1"/>
  <c r="BF40" i="1"/>
  <c r="AO3" i="1"/>
  <c r="AO20" i="1"/>
  <c r="AL40" i="1"/>
  <c r="BA43" i="1"/>
  <c r="AL45" i="1"/>
  <c r="AL47" i="1"/>
  <c r="AL49" i="1"/>
  <c r="BF205" i="1"/>
  <c r="AL217" i="1"/>
  <c r="BF13" i="1"/>
  <c r="BF36" i="1"/>
  <c r="BF156" i="1"/>
  <c r="BF197" i="1"/>
  <c r="BF241" i="1"/>
  <c r="BA96" i="1"/>
  <c r="BC96" i="1"/>
  <c r="BA101" i="1"/>
  <c r="BC101" i="1"/>
  <c r="AO32" i="1"/>
  <c r="BE32" i="1"/>
  <c r="BA63" i="1"/>
  <c r="BC63" i="1"/>
  <c r="AO79" i="1"/>
  <c r="BE79" i="1"/>
  <c r="BC180" i="1"/>
  <c r="BC183" i="1"/>
  <c r="BC186" i="1"/>
  <c r="AL214" i="1"/>
  <c r="BC214" i="1"/>
  <c r="BA214" i="1"/>
  <c r="BF28" i="1"/>
  <c r="AO36" i="1"/>
  <c r="BE36" i="1"/>
  <c r="BC57" i="1"/>
  <c r="BA57" i="1"/>
  <c r="AO56" i="1"/>
  <c r="BC133" i="1"/>
  <c r="BC195" i="1"/>
  <c r="BC224" i="1"/>
  <c r="AL224" i="1"/>
  <c r="BA224" i="1"/>
  <c r="BE257" i="1"/>
  <c r="BF257" i="1"/>
  <c r="AO27" i="1"/>
  <c r="BF58" i="1"/>
  <c r="BC58" i="1"/>
  <c r="BF17" i="1"/>
  <c r="BC82" i="1"/>
  <c r="BA84" i="1"/>
  <c r="AL84" i="1"/>
  <c r="BA120" i="1"/>
  <c r="BC120" i="1"/>
  <c r="BE249" i="1"/>
  <c r="BF249" i="1"/>
  <c r="BF135" i="1"/>
  <c r="AO150" i="1"/>
  <c r="AO152" i="1"/>
  <c r="AO159" i="1"/>
  <c r="AO160" i="1"/>
  <c r="BC175" i="1"/>
  <c r="BF176" i="1"/>
  <c r="BC178" i="1"/>
  <c r="BF181" i="1"/>
  <c r="BF184" i="1"/>
  <c r="BC192" i="1"/>
  <c r="BC193" i="1"/>
  <c r="BF198" i="1"/>
  <c r="AO223" i="1"/>
  <c r="BF224" i="1"/>
  <c r="AO8" i="1"/>
  <c r="BF9" i="1"/>
  <c r="AO96" i="1"/>
  <c r="AO153" i="1"/>
  <c r="AO154" i="1"/>
  <c r="AO161" i="1"/>
  <c r="BC203" i="1"/>
  <c r="BC205" i="1"/>
  <c r="BC232" i="1"/>
  <c r="BF96" i="1"/>
  <c r="AO128" i="1"/>
  <c r="AO130" i="1"/>
  <c r="AO25" i="1"/>
  <c r="AO58" i="1"/>
  <c r="BC71" i="1"/>
  <c r="AO85" i="1"/>
  <c r="AO94" i="1"/>
  <c r="BF103" i="1"/>
  <c r="AO120" i="1"/>
  <c r="BC124" i="1"/>
  <c r="AO135" i="1"/>
  <c r="BF178" i="1"/>
  <c r="BF189" i="1"/>
  <c r="BC201" i="1"/>
  <c r="BC207" i="1"/>
  <c r="BC209" i="1"/>
  <c r="BC211" i="1"/>
  <c r="AO219" i="1"/>
  <c r="BF4" i="1"/>
  <c r="BF21" i="1"/>
  <c r="BF42" i="1"/>
  <c r="BF44" i="1"/>
  <c r="BA45" i="1"/>
  <c r="BC55" i="1"/>
  <c r="BC74" i="1"/>
  <c r="BC75" i="1"/>
  <c r="BC81" i="1"/>
  <c r="BE103" i="1"/>
  <c r="BC104" i="1"/>
  <c r="BC108" i="1"/>
  <c r="BC109" i="1"/>
  <c r="BC112" i="1"/>
  <c r="BC113" i="1"/>
  <c r="BC132" i="1"/>
  <c r="BC137" i="1"/>
  <c r="BC140" i="1"/>
  <c r="BC141" i="1"/>
  <c r="BC144" i="1"/>
  <c r="BC145" i="1"/>
  <c r="BC188" i="1"/>
  <c r="BF190" i="1"/>
  <c r="BF192" i="1"/>
  <c r="BC197" i="1"/>
  <c r="BC198" i="1"/>
  <c r="BC199" i="1"/>
  <c r="BA218" i="1"/>
  <c r="BF221" i="1"/>
  <c r="BA229" i="1"/>
  <c r="BF231" i="1"/>
  <c r="BE4" i="1"/>
  <c r="BF5" i="1"/>
  <c r="BF74" i="1"/>
  <c r="BE74" i="1"/>
  <c r="BA91" i="1"/>
  <c r="BA122" i="1"/>
  <c r="BE237" i="1"/>
  <c r="BF246" i="1"/>
  <c r="BE246" i="1"/>
  <c r="BE251" i="1"/>
  <c r="BF251" i="1"/>
  <c r="BA95" i="1"/>
  <c r="BF108" i="1"/>
  <c r="BE108" i="1"/>
  <c r="BF112" i="1"/>
  <c r="BE112" i="1"/>
  <c r="BF2" i="1"/>
  <c r="AN5" i="1"/>
  <c r="AO5" i="1" s="1"/>
  <c r="BE5" i="1"/>
  <c r="BF6" i="1"/>
  <c r="AN9" i="1"/>
  <c r="AO9" i="1" s="1"/>
  <c r="BE9" i="1"/>
  <c r="BF10" i="1"/>
  <c r="AN13" i="1"/>
  <c r="AO13" i="1" s="1"/>
  <c r="BE13" i="1"/>
  <c r="BF14" i="1"/>
  <c r="AN17" i="1"/>
  <c r="AO17" i="1" s="1"/>
  <c r="BE17" i="1"/>
  <c r="BF18" i="1"/>
  <c r="AN21" i="1"/>
  <c r="AO21" i="1" s="1"/>
  <c r="BE21" i="1"/>
  <c r="AO28" i="1"/>
  <c r="BE28" i="1"/>
  <c r="BF29" i="1"/>
  <c r="BE29" i="1"/>
  <c r="BF37" i="1"/>
  <c r="BE37" i="1"/>
  <c r="BF48" i="1"/>
  <c r="BC51" i="1"/>
  <c r="AL51" i="1"/>
  <c r="BA51" i="1"/>
  <c r="BF104" i="1"/>
  <c r="BE104" i="1"/>
  <c r="BA128" i="1"/>
  <c r="BC128" i="1"/>
  <c r="BA149" i="1"/>
  <c r="BC149" i="1"/>
  <c r="BA204" i="1"/>
  <c r="BC204" i="1"/>
  <c r="BA212" i="1"/>
  <c r="BC212" i="1"/>
  <c r="BF218" i="1"/>
  <c r="BE218" i="1"/>
  <c r="AO4" i="1"/>
  <c r="AO2" i="1"/>
  <c r="BF3" i="1"/>
  <c r="AN6" i="1"/>
  <c r="AO6" i="1" s="1"/>
  <c r="BF7" i="1"/>
  <c r="AN10" i="1"/>
  <c r="AO10" i="1" s="1"/>
  <c r="BF11" i="1"/>
  <c r="AN14" i="1"/>
  <c r="AO14" i="1" s="1"/>
  <c r="BF15" i="1"/>
  <c r="AN18" i="1"/>
  <c r="AO18" i="1" s="1"/>
  <c r="BF19" i="1"/>
  <c r="AN22" i="1"/>
  <c r="AO22" i="1" s="1"/>
  <c r="AN23" i="1"/>
  <c r="AO23" i="1" s="1"/>
  <c r="BF24" i="1"/>
  <c r="BC41" i="1"/>
  <c r="AL41" i="1"/>
  <c r="BA41" i="1"/>
  <c r="BF66" i="1"/>
  <c r="BE66" i="1"/>
  <c r="BF80" i="1"/>
  <c r="BE80" i="1"/>
  <c r="BF84" i="1"/>
  <c r="BE84" i="1"/>
  <c r="AN7" i="1"/>
  <c r="AO7" i="1" s="1"/>
  <c r="BE7" i="1"/>
  <c r="AN11" i="1"/>
  <c r="AO11" i="1" s="1"/>
  <c r="BE11" i="1"/>
  <c r="BF12" i="1"/>
  <c r="AN15" i="1"/>
  <c r="AO15" i="1" s="1"/>
  <c r="BE15" i="1"/>
  <c r="BF16" i="1"/>
  <c r="AN19" i="1"/>
  <c r="AO19" i="1" s="1"/>
  <c r="BE19" i="1"/>
  <c r="BF20" i="1"/>
  <c r="AN24" i="1"/>
  <c r="AO24" i="1" s="1"/>
  <c r="BF25" i="1"/>
  <c r="BE25" i="1"/>
  <c r="BF33" i="1"/>
  <c r="BE33" i="1"/>
  <c r="BA46" i="1"/>
  <c r="AL46" i="1"/>
  <c r="BA59" i="1"/>
  <c r="BC59" i="1"/>
  <c r="BA89" i="1"/>
  <c r="BC89" i="1"/>
  <c r="BA93" i="1"/>
  <c r="BC93" i="1"/>
  <c r="BA97" i="1"/>
  <c r="BC97" i="1"/>
  <c r="BF124" i="1"/>
  <c r="BE124" i="1"/>
  <c r="BA125" i="1"/>
  <c r="BC125" i="1"/>
  <c r="BA185" i="1"/>
  <c r="BC185" i="1"/>
  <c r="BF26" i="1"/>
  <c r="AO29" i="1"/>
  <c r="BF30" i="1"/>
  <c r="AO33" i="1"/>
  <c r="AO37" i="1"/>
  <c r="AN43" i="1"/>
  <c r="AO43" i="1" s="1"/>
  <c r="BF50" i="1"/>
  <c r="AO52" i="1"/>
  <c r="AO55" i="1"/>
  <c r="AN57" i="1"/>
  <c r="AO57" i="1" s="1"/>
  <c r="BE58" i="1"/>
  <c r="AN61" i="1"/>
  <c r="AO61" i="1" s="1"/>
  <c r="AO63" i="1"/>
  <c r="AO66" i="1"/>
  <c r="AN68" i="1"/>
  <c r="AO68" i="1" s="1"/>
  <c r="AN71" i="1"/>
  <c r="AO71" i="1" s="1"/>
  <c r="AN74" i="1"/>
  <c r="AO74" i="1" s="1"/>
  <c r="AN76" i="1"/>
  <c r="AO76" i="1" s="1"/>
  <c r="BF77" i="1"/>
  <c r="AN80" i="1"/>
  <c r="AO80" i="1" s="1"/>
  <c r="AN82" i="1"/>
  <c r="AO82" i="1" s="1"/>
  <c r="BA83" i="1"/>
  <c r="AN84" i="1"/>
  <c r="AO84" i="1" s="1"/>
  <c r="BC84" i="1"/>
  <c r="BE92" i="1"/>
  <c r="BF95" i="1"/>
  <c r="BE96" i="1"/>
  <c r="BF99" i="1"/>
  <c r="AO101" i="1"/>
  <c r="AO104" i="1"/>
  <c r="AO106" i="1"/>
  <c r="BA107" i="1"/>
  <c r="AN108" i="1"/>
  <c r="AO108" i="1" s="1"/>
  <c r="AN110" i="1"/>
  <c r="AO110" i="1" s="1"/>
  <c r="BA111" i="1"/>
  <c r="AN112" i="1"/>
  <c r="AO112" i="1" s="1"/>
  <c r="AN114" i="1"/>
  <c r="AO114" i="1" s="1"/>
  <c r="AO117" i="1"/>
  <c r="AN121" i="1"/>
  <c r="AO121" i="1" s="1"/>
  <c r="BA123" i="1"/>
  <c r="AO124" i="1"/>
  <c r="BA126" i="1"/>
  <c r="BF128" i="1"/>
  <c r="BE128" i="1"/>
  <c r="BA129" i="1"/>
  <c r="BC129" i="1"/>
  <c r="AN134" i="1"/>
  <c r="AO134" i="1" s="1"/>
  <c r="BF169" i="1"/>
  <c r="BE169" i="1"/>
  <c r="BA176" i="1"/>
  <c r="BC176" i="1"/>
  <c r="BA194" i="1"/>
  <c r="BC194" i="1"/>
  <c r="BF222" i="1"/>
  <c r="BE222" i="1"/>
  <c r="BF250" i="1"/>
  <c r="BE250" i="1"/>
  <c r="BF23" i="1"/>
  <c r="AN26" i="1"/>
  <c r="AO26" i="1" s="1"/>
  <c r="BE26" i="1"/>
  <c r="BF27" i="1"/>
  <c r="AN30" i="1"/>
  <c r="AO30" i="1" s="1"/>
  <c r="BE30" i="1"/>
  <c r="BF31" i="1"/>
  <c r="AN34" i="1"/>
  <c r="AO34" i="1" s="1"/>
  <c r="BF35" i="1"/>
  <c r="AN38" i="1"/>
  <c r="AO38" i="1" s="1"/>
  <c r="BF39" i="1"/>
  <c r="AN41" i="1"/>
  <c r="AO41" i="1" s="1"/>
  <c r="AL43" i="1"/>
  <c r="BF46" i="1"/>
  <c r="BA47" i="1"/>
  <c r="AL48" i="1"/>
  <c r="BA49" i="1"/>
  <c r="AL50" i="1"/>
  <c r="AN53" i="1"/>
  <c r="AO53" i="1" s="1"/>
  <c r="BF54" i="1"/>
  <c r="BC54" i="1"/>
  <c r="AL57" i="1"/>
  <c r="AN59" i="1"/>
  <c r="AO59" i="1" s="1"/>
  <c r="AL61" i="1"/>
  <c r="BF62" i="1"/>
  <c r="BC62" i="1"/>
  <c r="BC67" i="1"/>
  <c r="AN69" i="1"/>
  <c r="AO69" i="1" s="1"/>
  <c r="BF70" i="1"/>
  <c r="BC70" i="1"/>
  <c r="AN77" i="1"/>
  <c r="AO77" i="1" s="1"/>
  <c r="AL80" i="1"/>
  <c r="AN86" i="1"/>
  <c r="AO86" i="1" s="1"/>
  <c r="BF87" i="1"/>
  <c r="AN89" i="1"/>
  <c r="AO89" i="1" s="1"/>
  <c r="BA90" i="1"/>
  <c r="AN91" i="1"/>
  <c r="AO91" i="1" s="1"/>
  <c r="AN93" i="1"/>
  <c r="AO93" i="1" s="1"/>
  <c r="BA94" i="1"/>
  <c r="AN95" i="1"/>
  <c r="AO95" i="1" s="1"/>
  <c r="AN97" i="1"/>
  <c r="AO97" i="1" s="1"/>
  <c r="BA98" i="1"/>
  <c r="AN99" i="1"/>
  <c r="AO99" i="1" s="1"/>
  <c r="BE99" i="1"/>
  <c r="BF100" i="1"/>
  <c r="BC100" i="1"/>
  <c r="BC105" i="1"/>
  <c r="BF111" i="1"/>
  <c r="BF115" i="1"/>
  <c r="BA116" i="1"/>
  <c r="BC116" i="1"/>
  <c r="AN118" i="1"/>
  <c r="AO118" i="1" s="1"/>
  <c r="BF119" i="1"/>
  <c r="AN125" i="1"/>
  <c r="AO125" i="1" s="1"/>
  <c r="BA127" i="1"/>
  <c r="BA130" i="1"/>
  <c r="AN132" i="1"/>
  <c r="AO132" i="1" s="1"/>
  <c r="BE135" i="1"/>
  <c r="BF136" i="1"/>
  <c r="BE136" i="1"/>
  <c r="BC136" i="1"/>
  <c r="BF140" i="1"/>
  <c r="BE140" i="1"/>
  <c r="BF144" i="1"/>
  <c r="BE144" i="1"/>
  <c r="BA152" i="1"/>
  <c r="BC152" i="1"/>
  <c r="BA160" i="1"/>
  <c r="BA179" i="1"/>
  <c r="BC179" i="1"/>
  <c r="BF188" i="1"/>
  <c r="BA189" i="1"/>
  <c r="BC189" i="1"/>
  <c r="BA191" i="1"/>
  <c r="BC191" i="1"/>
  <c r="BA200" i="1"/>
  <c r="BC200" i="1"/>
  <c r="BA208" i="1"/>
  <c r="BC208" i="1"/>
  <c r="AL216" i="1"/>
  <c r="BA216" i="1"/>
  <c r="BC216" i="1"/>
  <c r="BE243" i="1"/>
  <c r="BF243" i="1"/>
  <c r="BF258" i="1"/>
  <c r="BE258" i="1"/>
  <c r="AN31" i="1"/>
  <c r="AO31" i="1" s="1"/>
  <c r="AN35" i="1"/>
  <c r="AO35" i="1" s="1"/>
  <c r="AN39" i="1"/>
  <c r="AO39" i="1" s="1"/>
  <c r="AN54" i="1"/>
  <c r="AO54" i="1" s="1"/>
  <c r="AN62" i="1"/>
  <c r="AO62" i="1" s="1"/>
  <c r="AN64" i="1"/>
  <c r="AO64" i="1" s="1"/>
  <c r="AN67" i="1"/>
  <c r="AO67" i="1" s="1"/>
  <c r="AN70" i="1"/>
  <c r="AO70" i="1" s="1"/>
  <c r="AN72" i="1"/>
  <c r="AO72" i="1" s="1"/>
  <c r="AN75" i="1"/>
  <c r="AO75" i="1" s="1"/>
  <c r="AN78" i="1"/>
  <c r="AO78" i="1" s="1"/>
  <c r="AN81" i="1"/>
  <c r="AO81" i="1" s="1"/>
  <c r="AN83" i="1"/>
  <c r="AO83" i="1" s="1"/>
  <c r="BC85" i="1"/>
  <c r="AN87" i="1"/>
  <c r="AO87" i="1" s="1"/>
  <c r="BE87" i="1"/>
  <c r="BF88" i="1"/>
  <c r="BC88" i="1"/>
  <c r="AN100" i="1"/>
  <c r="AO100" i="1" s="1"/>
  <c r="AN102" i="1"/>
  <c r="AO102" i="1" s="1"/>
  <c r="AN105" i="1"/>
  <c r="AO105" i="1" s="1"/>
  <c r="BA106" i="1"/>
  <c r="AN107" i="1"/>
  <c r="AO107" i="1" s="1"/>
  <c r="AN109" i="1"/>
  <c r="AO109" i="1" s="1"/>
  <c r="BA110" i="1"/>
  <c r="AN111" i="1"/>
  <c r="AO111" i="1" s="1"/>
  <c r="AN113" i="1"/>
  <c r="AO113" i="1" s="1"/>
  <c r="BA114" i="1"/>
  <c r="AN115" i="1"/>
  <c r="AO115" i="1" s="1"/>
  <c r="BE115" i="1"/>
  <c r="AN119" i="1"/>
  <c r="AO119" i="1" s="1"/>
  <c r="BF120" i="1"/>
  <c r="BE120" i="1"/>
  <c r="BA121" i="1"/>
  <c r="BC121" i="1"/>
  <c r="AN123" i="1"/>
  <c r="AO123" i="1" s="1"/>
  <c r="AN129" i="1"/>
  <c r="AO129" i="1" s="1"/>
  <c r="BF151" i="1"/>
  <c r="BE151" i="1"/>
  <c r="BA154" i="1"/>
  <c r="BF164" i="1"/>
  <c r="BE164" i="1"/>
  <c r="BA182" i="1"/>
  <c r="BC182" i="1"/>
  <c r="AL234" i="1"/>
  <c r="BA234" i="1"/>
  <c r="BC234" i="1"/>
  <c r="BA238" i="1"/>
  <c r="BC238" i="1"/>
  <c r="BF242" i="1"/>
  <c r="BE242" i="1"/>
  <c r="BE247" i="1"/>
  <c r="BF247" i="1"/>
  <c r="BF116" i="1"/>
  <c r="BF127" i="1"/>
  <c r="BF131" i="1"/>
  <c r="AN133" i="1"/>
  <c r="AO133" i="1" s="1"/>
  <c r="AN136" i="1"/>
  <c r="AO136" i="1" s="1"/>
  <c r="AN138" i="1"/>
  <c r="AO138" i="1" s="1"/>
  <c r="BA139" i="1"/>
  <c r="AN140" i="1"/>
  <c r="AO140" i="1" s="1"/>
  <c r="AN142" i="1"/>
  <c r="AO142" i="1" s="1"/>
  <c r="BA143" i="1"/>
  <c r="AN144" i="1"/>
  <c r="AO144" i="1" s="1"/>
  <c r="AN146" i="1"/>
  <c r="AO146" i="1" s="1"/>
  <c r="AN151" i="1"/>
  <c r="AO151" i="1" s="1"/>
  <c r="BF152" i="1"/>
  <c r="AN162" i="1"/>
  <c r="AO162" i="1" s="1"/>
  <c r="BA163" i="1"/>
  <c r="AN164" i="1"/>
  <c r="AO164" i="1" s="1"/>
  <c r="BA168" i="1"/>
  <c r="AN169" i="1"/>
  <c r="AO169" i="1" s="1"/>
  <c r="BF170" i="1"/>
  <c r="AN175" i="1"/>
  <c r="AO175" i="1" s="1"/>
  <c r="AN178" i="1"/>
  <c r="AO178" i="1" s="1"/>
  <c r="AN188" i="1"/>
  <c r="AO188" i="1" s="1"/>
  <c r="AN193" i="1"/>
  <c r="AO193" i="1" s="1"/>
  <c r="AN199" i="1"/>
  <c r="AO199" i="1" s="1"/>
  <c r="AN203" i="1"/>
  <c r="AO203" i="1" s="1"/>
  <c r="AN207" i="1"/>
  <c r="BF215" i="1"/>
  <c r="AN218" i="1"/>
  <c r="AL220" i="1"/>
  <c r="AN222" i="1"/>
  <c r="AO222" i="1" s="1"/>
  <c r="BE224" i="1"/>
  <c r="AN227" i="1"/>
  <c r="AN229" i="1"/>
  <c r="AN230" i="1"/>
  <c r="BA231" i="1"/>
  <c r="BF233" i="1"/>
  <c r="BF255" i="1"/>
  <c r="AN131" i="1"/>
  <c r="AO131" i="1" s="1"/>
  <c r="BF132" i="1"/>
  <c r="BF143" i="1"/>
  <c r="BF147" i="1"/>
  <c r="BA155" i="1"/>
  <c r="AN156" i="1"/>
  <c r="AO156" i="1" s="1"/>
  <c r="BA159" i="1"/>
  <c r="BF165" i="1"/>
  <c r="BA166" i="1"/>
  <c r="BF168" i="1"/>
  <c r="BA172" i="1"/>
  <c r="BF180" i="1"/>
  <c r="BF186" i="1"/>
  <c r="AN191" i="1"/>
  <c r="AO191" i="1" s="1"/>
  <c r="AN194" i="1"/>
  <c r="AO194" i="1" s="1"/>
  <c r="AN200" i="1"/>
  <c r="AO200" i="1" s="1"/>
  <c r="BF214" i="1"/>
  <c r="BE214" i="1"/>
  <c r="BF235" i="1"/>
  <c r="BF239" i="1"/>
  <c r="AN137" i="1"/>
  <c r="AO137" i="1" s="1"/>
  <c r="BA138" i="1"/>
  <c r="AN139" i="1"/>
  <c r="AO139" i="1" s="1"/>
  <c r="AN141" i="1"/>
  <c r="AO141" i="1" s="1"/>
  <c r="BA142" i="1"/>
  <c r="AN143" i="1"/>
  <c r="AO143" i="1" s="1"/>
  <c r="AN145" i="1"/>
  <c r="AO145" i="1" s="1"/>
  <c r="BA146" i="1"/>
  <c r="AN147" i="1"/>
  <c r="AO147" i="1" s="1"/>
  <c r="BE147" i="1"/>
  <c r="BF148" i="1"/>
  <c r="BC148" i="1"/>
  <c r="BC153" i="1"/>
  <c r="AN158" i="1"/>
  <c r="AO158" i="1" s="1"/>
  <c r="BA162" i="1"/>
  <c r="AN163" i="1"/>
  <c r="AO163" i="1" s="1"/>
  <c r="BA164" i="1"/>
  <c r="AN165" i="1"/>
  <c r="AO165" i="1" s="1"/>
  <c r="BE165" i="1"/>
  <c r="BF166" i="1"/>
  <c r="AN168" i="1"/>
  <c r="AO168" i="1" s="1"/>
  <c r="AN171" i="1"/>
  <c r="AO171" i="1" s="1"/>
  <c r="BC177" i="1"/>
  <c r="AN180" i="1"/>
  <c r="AO180" i="1" s="1"/>
  <c r="BC181" i="1"/>
  <c r="AN183" i="1"/>
  <c r="AO183" i="1" s="1"/>
  <c r="BC184" i="1"/>
  <c r="AN186" i="1"/>
  <c r="AO186" i="1" s="1"/>
  <c r="BC187" i="1"/>
  <c r="BC190" i="1"/>
  <c r="AN192" i="1"/>
  <c r="AO192" i="1" s="1"/>
  <c r="BF196" i="1"/>
  <c r="BC196" i="1"/>
  <c r="AN198" i="1"/>
  <c r="AO198" i="1" s="1"/>
  <c r="AN201" i="1"/>
  <c r="AO201" i="1" s="1"/>
  <c r="BC202" i="1"/>
  <c r="AN205" i="1"/>
  <c r="AO205" i="1" s="1"/>
  <c r="BC206" i="1"/>
  <c r="AN209" i="1"/>
  <c r="AO209" i="1" s="1"/>
  <c r="BC210" i="1"/>
  <c r="AN215" i="1"/>
  <c r="AO215" i="1" s="1"/>
  <c r="BF220" i="1"/>
  <c r="BA220" i="1"/>
  <c r="AO221" i="1"/>
  <c r="AO224" i="1"/>
  <c r="BF227" i="1"/>
  <c r="BF229" i="1"/>
  <c r="AN50" i="1"/>
  <c r="AO50" i="1" s="1"/>
  <c r="AN189" i="1"/>
  <c r="AO189" i="1" s="1"/>
  <c r="AN40" i="1"/>
  <c r="AO40" i="1" s="1"/>
  <c r="AN51" i="1"/>
  <c r="AO51" i="1" s="1"/>
  <c r="AN197" i="1"/>
  <c r="AO197" i="1" s="1"/>
  <c r="AN42" i="1"/>
  <c r="AO42" i="1" s="1"/>
  <c r="AN44" i="1"/>
  <c r="AO44" i="1" s="1"/>
  <c r="AN46" i="1"/>
  <c r="AO46" i="1" s="1"/>
  <c r="AN48" i="1"/>
  <c r="AO48" i="1" s="1"/>
  <c r="BF22" i="1"/>
  <c r="AO49" i="1"/>
  <c r="BF49" i="1"/>
  <c r="BE49" i="1"/>
  <c r="BF34" i="1"/>
  <c r="BF38" i="1"/>
  <c r="BE43" i="1"/>
  <c r="BF43" i="1"/>
  <c r="BF51" i="1"/>
  <c r="AW51" i="1"/>
  <c r="BE51" i="1"/>
  <c r="BA53" i="1"/>
  <c r="BF8" i="1"/>
  <c r="AO45" i="1"/>
  <c r="BE45" i="1"/>
  <c r="BF45" i="1"/>
  <c r="BE41" i="1"/>
  <c r="BF41" i="1"/>
  <c r="AO47" i="1"/>
  <c r="BE47" i="1"/>
  <c r="BF47" i="1"/>
  <c r="AL53" i="1"/>
  <c r="BA61" i="1"/>
  <c r="AL73" i="1"/>
  <c r="AL99" i="1"/>
  <c r="AL102" i="1"/>
  <c r="BC170" i="1"/>
  <c r="BA170" i="1"/>
  <c r="BE177" i="1"/>
  <c r="AO177" i="1"/>
  <c r="BF177" i="1"/>
  <c r="BE182" i="1"/>
  <c r="AO182" i="1"/>
  <c r="BA77" i="1"/>
  <c r="AL77" i="1"/>
  <c r="AL86" i="1"/>
  <c r="AL131" i="1"/>
  <c r="AL134" i="1"/>
  <c r="AL170" i="1"/>
  <c r="BC219" i="1"/>
  <c r="AL219" i="1"/>
  <c r="BC50" i="1"/>
  <c r="AL52" i="1"/>
  <c r="BA52" i="1"/>
  <c r="BF53" i="1"/>
  <c r="AL64" i="1"/>
  <c r="BA64" i="1"/>
  <c r="BF65" i="1"/>
  <c r="AL76" i="1"/>
  <c r="AL103" i="1"/>
  <c r="AL119" i="1"/>
  <c r="AL122" i="1"/>
  <c r="AL135" i="1"/>
  <c r="AL138" i="1"/>
  <c r="AL151" i="1"/>
  <c r="AL154" i="1"/>
  <c r="BC157" i="1"/>
  <c r="BA157" i="1"/>
  <c r="AL157" i="1"/>
  <c r="BC173" i="1"/>
  <c r="BA173" i="1"/>
  <c r="AL173" i="1"/>
  <c r="BE199" i="1"/>
  <c r="BF199" i="1"/>
  <c r="AO210" i="1"/>
  <c r="BF210" i="1"/>
  <c r="BF211" i="1"/>
  <c r="BF212" i="1"/>
  <c r="BE213" i="1"/>
  <c r="BF213" i="1"/>
  <c r="BF238" i="1"/>
  <c r="BE238" i="1"/>
  <c r="BF52" i="1"/>
  <c r="AL55" i="1"/>
  <c r="BF56" i="1"/>
  <c r="AL59" i="1"/>
  <c r="BF60" i="1"/>
  <c r="AL63" i="1"/>
  <c r="BF64" i="1"/>
  <c r="BC65" i="1"/>
  <c r="AL67" i="1"/>
  <c r="BF68" i="1"/>
  <c r="BC69" i="1"/>
  <c r="AL71" i="1"/>
  <c r="BF72" i="1"/>
  <c r="BC73" i="1"/>
  <c r="AL75" i="1"/>
  <c r="BF76" i="1"/>
  <c r="AL83" i="1"/>
  <c r="AL91" i="1"/>
  <c r="AL94" i="1"/>
  <c r="BA99" i="1"/>
  <c r="AL107" i="1"/>
  <c r="AL110" i="1"/>
  <c r="BA115" i="1"/>
  <c r="AL123" i="1"/>
  <c r="AL126" i="1"/>
  <c r="BA131" i="1"/>
  <c r="AL139" i="1"/>
  <c r="AL142" i="1"/>
  <c r="BA147" i="1"/>
  <c r="AL155" i="1"/>
  <c r="AL159" i="1"/>
  <c r="BE191" i="1"/>
  <c r="BF191" i="1"/>
  <c r="BE193" i="1"/>
  <c r="BF193" i="1"/>
  <c r="BE198" i="1"/>
  <c r="AO206" i="1"/>
  <c r="BF206" i="1"/>
  <c r="BE207" i="1"/>
  <c r="BF207" i="1"/>
  <c r="AO207" i="1"/>
  <c r="AL65" i="1"/>
  <c r="AL69" i="1"/>
  <c r="BC77" i="1"/>
  <c r="AL79" i="1"/>
  <c r="AL115" i="1"/>
  <c r="AL118" i="1"/>
  <c r="AL147" i="1"/>
  <c r="AL150" i="1"/>
  <c r="BC169" i="1"/>
  <c r="BA169" i="1"/>
  <c r="BE175" i="1"/>
  <c r="BF175" i="1"/>
  <c r="BF194" i="1"/>
  <c r="AL2" i="1"/>
  <c r="BA2" i="1"/>
  <c r="AL3" i="1"/>
  <c r="BA3" i="1"/>
  <c r="AL4" i="1"/>
  <c r="BA4" i="1"/>
  <c r="AL5" i="1"/>
  <c r="BA5" i="1"/>
  <c r="AL6" i="1"/>
  <c r="BA6" i="1"/>
  <c r="AL7" i="1"/>
  <c r="BA7" i="1"/>
  <c r="AL8" i="1"/>
  <c r="BA8" i="1"/>
  <c r="AL9" i="1"/>
  <c r="BA9" i="1"/>
  <c r="AL10" i="1"/>
  <c r="BA10" i="1"/>
  <c r="AL11" i="1"/>
  <c r="BA11" i="1"/>
  <c r="AL12" i="1"/>
  <c r="BA12" i="1"/>
  <c r="AL13" i="1"/>
  <c r="BA13" i="1"/>
  <c r="AL14" i="1"/>
  <c r="BA14" i="1"/>
  <c r="AL15" i="1"/>
  <c r="BA15" i="1"/>
  <c r="AL16" i="1"/>
  <c r="BA16" i="1"/>
  <c r="AL17" i="1"/>
  <c r="BA17" i="1"/>
  <c r="AL18" i="1"/>
  <c r="BA18" i="1"/>
  <c r="AL19" i="1"/>
  <c r="BA19" i="1"/>
  <c r="AL20" i="1"/>
  <c r="BA20" i="1"/>
  <c r="AL21" i="1"/>
  <c r="BA21" i="1"/>
  <c r="AL22" i="1"/>
  <c r="BA22" i="1"/>
  <c r="AL23" i="1"/>
  <c r="BA23" i="1"/>
  <c r="AL24" i="1"/>
  <c r="BA24" i="1"/>
  <c r="AL25" i="1"/>
  <c r="BA25" i="1"/>
  <c r="AL26" i="1"/>
  <c r="BA26" i="1"/>
  <c r="AL27" i="1"/>
  <c r="BA27" i="1"/>
  <c r="AL28" i="1"/>
  <c r="BA28" i="1"/>
  <c r="AL29" i="1"/>
  <c r="BA29" i="1"/>
  <c r="AL30" i="1"/>
  <c r="BA30" i="1"/>
  <c r="AL31" i="1"/>
  <c r="BA31" i="1"/>
  <c r="AL32" i="1"/>
  <c r="BA32" i="1"/>
  <c r="AL33" i="1"/>
  <c r="BA33" i="1"/>
  <c r="AL34" i="1"/>
  <c r="BA34" i="1"/>
  <c r="AL35" i="1"/>
  <c r="BA35" i="1"/>
  <c r="AL36" i="1"/>
  <c r="BA36" i="1"/>
  <c r="AL37" i="1"/>
  <c r="BA37" i="1"/>
  <c r="AL38" i="1"/>
  <c r="BA38" i="1"/>
  <c r="AL39" i="1"/>
  <c r="BA39" i="1"/>
  <c r="BC40" i="1"/>
  <c r="BC42" i="1"/>
  <c r="BC44" i="1"/>
  <c r="BC46" i="1"/>
  <c r="BC48" i="1"/>
  <c r="AL56" i="1"/>
  <c r="BA56" i="1"/>
  <c r="BF57" i="1"/>
  <c r="AL60" i="1"/>
  <c r="BA60" i="1"/>
  <c r="BF61" i="1"/>
  <c r="AL68" i="1"/>
  <c r="BA68" i="1"/>
  <c r="BF69" i="1"/>
  <c r="AL72" i="1"/>
  <c r="BA72" i="1"/>
  <c r="BF73" i="1"/>
  <c r="BA76" i="1"/>
  <c r="AL78" i="1"/>
  <c r="BA78" i="1"/>
  <c r="BC80" i="1"/>
  <c r="AL87" i="1"/>
  <c r="AL90" i="1"/>
  <c r="AL106" i="1"/>
  <c r="BE40" i="1"/>
  <c r="BE42" i="1"/>
  <c r="BE44" i="1"/>
  <c r="BE46" i="1"/>
  <c r="BE48" i="1"/>
  <c r="BE50" i="1"/>
  <c r="AL54" i="1"/>
  <c r="BF55" i="1"/>
  <c r="AL58" i="1"/>
  <c r="BF59" i="1"/>
  <c r="AL62" i="1"/>
  <c r="BF63" i="1"/>
  <c r="AL66" i="1"/>
  <c r="BF67" i="1"/>
  <c r="AL70" i="1"/>
  <c r="BF71" i="1"/>
  <c r="AL74" i="1"/>
  <c r="BF75" i="1"/>
  <c r="BA79" i="1"/>
  <c r="BF81" i="1"/>
  <c r="AL82" i="1"/>
  <c r="BF83" i="1"/>
  <c r="BA86" i="1"/>
  <c r="BA87" i="1"/>
  <c r="BF91" i="1"/>
  <c r="AL95" i="1"/>
  <c r="AL98" i="1"/>
  <c r="BA102" i="1"/>
  <c r="BA103" i="1"/>
  <c r="BF107" i="1"/>
  <c r="AL111" i="1"/>
  <c r="AL114" i="1"/>
  <c r="BA118" i="1"/>
  <c r="BA119" i="1"/>
  <c r="BF123" i="1"/>
  <c r="AL127" i="1"/>
  <c r="AL130" i="1"/>
  <c r="BA134" i="1"/>
  <c r="BA135" i="1"/>
  <c r="BF139" i="1"/>
  <c r="AL143" i="1"/>
  <c r="AL146" i="1"/>
  <c r="BA150" i="1"/>
  <c r="BA151" i="1"/>
  <c r="BF155" i="1"/>
  <c r="BC158" i="1"/>
  <c r="BA158" i="1"/>
  <c r="AL158" i="1"/>
  <c r="BC171" i="1"/>
  <c r="BA171" i="1"/>
  <c r="AL171" i="1"/>
  <c r="BF182" i="1"/>
  <c r="BE183" i="1"/>
  <c r="BF183" i="1"/>
  <c r="BE185" i="1"/>
  <c r="AO185" i="1"/>
  <c r="BF185" i="1"/>
  <c r="BE190" i="1"/>
  <c r="AO190" i="1"/>
  <c r="AN196" i="1"/>
  <c r="AO196" i="1" s="1"/>
  <c r="BF78" i="1"/>
  <c r="AL81" i="1"/>
  <c r="BF82" i="1"/>
  <c r="AL85" i="1"/>
  <c r="BF86" i="1"/>
  <c r="AL89" i="1"/>
  <c r="BF90" i="1"/>
  <c r="AL93" i="1"/>
  <c r="BF94" i="1"/>
  <c r="AL97" i="1"/>
  <c r="BF98" i="1"/>
  <c r="AL101" i="1"/>
  <c r="BF102" i="1"/>
  <c r="AL105" i="1"/>
  <c r="BF106" i="1"/>
  <c r="AL109" i="1"/>
  <c r="BF110" i="1"/>
  <c r="AL113" i="1"/>
  <c r="BF114" i="1"/>
  <c r="AL117" i="1"/>
  <c r="BF118" i="1"/>
  <c r="AL121" i="1"/>
  <c r="BF122" i="1"/>
  <c r="AL125" i="1"/>
  <c r="BF126" i="1"/>
  <c r="AL129" i="1"/>
  <c r="BF130" i="1"/>
  <c r="AL133" i="1"/>
  <c r="BF134" i="1"/>
  <c r="AL137" i="1"/>
  <c r="BF138" i="1"/>
  <c r="AL141" i="1"/>
  <c r="BF142" i="1"/>
  <c r="AL145" i="1"/>
  <c r="BF146" i="1"/>
  <c r="AL149" i="1"/>
  <c r="BF150" i="1"/>
  <c r="AL153" i="1"/>
  <c r="BF154" i="1"/>
  <c r="BA156" i="1"/>
  <c r="BF157" i="1"/>
  <c r="BE157" i="1"/>
  <c r="BF158" i="1"/>
  <c r="BC161" i="1"/>
  <c r="BA161" i="1"/>
  <c r="AL161" i="1"/>
  <c r="AL162" i="1"/>
  <c r="AL163" i="1"/>
  <c r="BA167" i="1"/>
  <c r="BF172" i="1"/>
  <c r="BF173" i="1"/>
  <c r="BE179" i="1"/>
  <c r="BF179" i="1"/>
  <c r="BE181" i="1"/>
  <c r="AO181" i="1"/>
  <c r="BE187" i="1"/>
  <c r="BF187" i="1"/>
  <c r="BE189" i="1"/>
  <c r="BE195" i="1"/>
  <c r="BF195" i="1"/>
  <c r="BE197" i="1"/>
  <c r="AO202" i="1"/>
  <c r="BF202" i="1"/>
  <c r="BE203" i="1"/>
  <c r="BF203" i="1"/>
  <c r="BF85" i="1"/>
  <c r="AL88" i="1"/>
  <c r="BF89" i="1"/>
  <c r="AL92" i="1"/>
  <c r="BF93" i="1"/>
  <c r="AL96" i="1"/>
  <c r="BF97" i="1"/>
  <c r="AL100" i="1"/>
  <c r="BF101" i="1"/>
  <c r="AL104" i="1"/>
  <c r="BF105" i="1"/>
  <c r="AL108" i="1"/>
  <c r="BF109" i="1"/>
  <c r="AL112" i="1"/>
  <c r="BF113" i="1"/>
  <c r="AL116" i="1"/>
  <c r="BF117" i="1"/>
  <c r="AL120" i="1"/>
  <c r="BF121" i="1"/>
  <c r="AL124" i="1"/>
  <c r="BF125" i="1"/>
  <c r="AL128" i="1"/>
  <c r="BF129" i="1"/>
  <c r="AL132" i="1"/>
  <c r="BF133" i="1"/>
  <c r="AL136" i="1"/>
  <c r="BF137" i="1"/>
  <c r="AL140" i="1"/>
  <c r="BF141" i="1"/>
  <c r="AL144" i="1"/>
  <c r="BF145" i="1"/>
  <c r="AL148" i="1"/>
  <c r="BF149" i="1"/>
  <c r="AL152" i="1"/>
  <c r="BF153" i="1"/>
  <c r="AL156" i="1"/>
  <c r="BF160" i="1"/>
  <c r="BF161" i="1"/>
  <c r="BF162" i="1"/>
  <c r="BC165" i="1"/>
  <c r="BA165" i="1"/>
  <c r="AL165" i="1"/>
  <c r="AL166" i="1"/>
  <c r="AL167" i="1"/>
  <c r="BE178" i="1"/>
  <c r="AN179" i="1"/>
  <c r="AO179" i="1" s="1"/>
  <c r="BE186" i="1"/>
  <c r="AN187" i="1"/>
  <c r="AO187" i="1" s="1"/>
  <c r="BE194" i="1"/>
  <c r="AN195" i="1"/>
  <c r="AO195" i="1" s="1"/>
  <c r="BC215" i="1"/>
  <c r="BA215" i="1"/>
  <c r="AL215" i="1"/>
  <c r="BC222" i="1"/>
  <c r="BA222" i="1"/>
  <c r="AL222" i="1"/>
  <c r="BF219" i="1"/>
  <c r="BC223" i="1"/>
  <c r="AL223" i="1"/>
  <c r="BA223" i="1"/>
  <c r="BF232" i="1"/>
  <c r="BE232" i="1"/>
  <c r="BF253" i="1"/>
  <c r="BE253" i="1"/>
  <c r="AN157" i="1"/>
  <c r="AO157" i="1" s="1"/>
  <c r="BF159" i="1"/>
  <c r="AL160" i="1"/>
  <c r="BF163" i="1"/>
  <c r="AL164" i="1"/>
  <c r="BF167" i="1"/>
  <c r="AL168" i="1"/>
  <c r="BF171" i="1"/>
  <c r="AL172" i="1"/>
  <c r="BE176" i="1"/>
  <c r="AO176" i="1"/>
  <c r="BE180" i="1"/>
  <c r="BE184" i="1"/>
  <c r="AO184" i="1"/>
  <c r="BE188" i="1"/>
  <c r="BE192" i="1"/>
  <c r="BE196" i="1"/>
  <c r="BE200" i="1"/>
  <c r="BF200" i="1"/>
  <c r="BF223" i="1"/>
  <c r="BF228" i="1"/>
  <c r="BE228" i="1"/>
  <c r="BA225" i="1"/>
  <c r="BC225" i="1"/>
  <c r="AL225" i="1"/>
  <c r="BF226" i="1"/>
  <c r="BE226" i="1"/>
  <c r="BF230" i="1"/>
  <c r="BE230" i="1"/>
  <c r="BC233" i="1"/>
  <c r="BA233" i="1"/>
  <c r="BA237" i="1"/>
  <c r="BC237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O204" i="1"/>
  <c r="BF204" i="1"/>
  <c r="AO208" i="1"/>
  <c r="BF208" i="1"/>
  <c r="AN211" i="1"/>
  <c r="AO211" i="1" s="1"/>
  <c r="AN212" i="1"/>
  <c r="AO212" i="1" s="1"/>
  <c r="AN213" i="1"/>
  <c r="AO213" i="1" s="1"/>
  <c r="BF216" i="1"/>
  <c r="AO216" i="1"/>
  <c r="BE216" i="1"/>
  <c r="BF217" i="1"/>
  <c r="BA221" i="1"/>
  <c r="AN226" i="1"/>
  <c r="BF234" i="1"/>
  <c r="BF240" i="1"/>
  <c r="BE240" i="1"/>
  <c r="BF244" i="1"/>
  <c r="BE244" i="1"/>
  <c r="BF248" i="1"/>
  <c r="BE248" i="1"/>
  <c r="BF252" i="1"/>
  <c r="BE252" i="1"/>
  <c r="BE254" i="1"/>
  <c r="BC213" i="1"/>
  <c r="BA226" i="1"/>
  <c r="AL227" i="1"/>
  <c r="BA228" i="1"/>
  <c r="AL229" i="1"/>
  <c r="BA230" i="1"/>
  <c r="AL231" i="1"/>
  <c r="BA235" i="1"/>
  <c r="BA239" i="1"/>
  <c r="BE256" i="1"/>
  <c r="AL218" i="1"/>
  <c r="BE234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26" i="1"/>
  <c r="AL228" i="1"/>
  <c r="AL230" i="1"/>
</calcChain>
</file>

<file path=xl/sharedStrings.xml><?xml version="1.0" encoding="utf-8"?>
<sst xmlns="http://schemas.openxmlformats.org/spreadsheetml/2006/main" count="6710" uniqueCount="2489">
  <si>
    <t>EXPEDIENTE</t>
  </si>
  <si>
    <t>No. PLAZA</t>
  </si>
  <si>
    <t xml:space="preserve">NO. DE MOVIMIENO DE PERSONAL </t>
  </si>
  <si>
    <t>CURP</t>
  </si>
  <si>
    <t>RFC</t>
  </si>
  <si>
    <t>DESCRIPCION DEL PUESTO</t>
  </si>
  <si>
    <t>AREA</t>
  </si>
  <si>
    <t>ADSCRIPCIÓN FÍSICA</t>
  </si>
  <si>
    <t>ESTATUS</t>
  </si>
  <si>
    <t>FECHA DE INGRESO</t>
  </si>
  <si>
    <t>CAMBIO DE CATEGORIA</t>
  </si>
  <si>
    <t>BAJA</t>
  </si>
  <si>
    <t>FECHA DE REINGRESO</t>
  </si>
  <si>
    <t>RÉGIMEN DE CONTRATACIÓN</t>
  </si>
  <si>
    <t>SEXO</t>
  </si>
  <si>
    <t>CUMPLEAÑOS</t>
  </si>
  <si>
    <t>EDAD</t>
  </si>
  <si>
    <t>AFILIACIÓN ISSSTEP</t>
  </si>
  <si>
    <t>CENTRO DE COSTOS</t>
  </si>
  <si>
    <t>SALARIO DIARIO</t>
  </si>
  <si>
    <t>SUELDO QUINCENAL</t>
  </si>
  <si>
    <t>SUELDO p-07 (1132)</t>
  </si>
  <si>
    <t>DESPENSA (38)</t>
  </si>
  <si>
    <t>COMPENSACIÓN ESPECIAL (51)</t>
  </si>
  <si>
    <t>AYUDA DE VARIOS (56)</t>
  </si>
  <si>
    <t>PUNTUALIDAD Y ASISTENCIA (69)</t>
  </si>
  <si>
    <t>QUINQUENIO (C1/C6)</t>
  </si>
  <si>
    <t>APOYO A LA ECONOMÍA(EM)</t>
  </si>
  <si>
    <t>APOYO AL TRANSPORTE(TR)</t>
  </si>
  <si>
    <t>COMPENSACIÓN (J5)</t>
  </si>
  <si>
    <t>TOTAL PERCEPCIONES MENSUALES</t>
  </si>
  <si>
    <t>ISR</t>
  </si>
  <si>
    <t>ISSSTEP CUOTA QUINCENAL 13%</t>
  </si>
  <si>
    <t>ISSSTEP CUOTA MENSUAL 13%</t>
  </si>
  <si>
    <t>TOTAL DEDUCCCIONES MENSUALES</t>
  </si>
  <si>
    <t>NETO MENSUAL</t>
  </si>
  <si>
    <t>GRATIFICACIÓN DE FIN DE AÑO (24)</t>
  </si>
  <si>
    <t>AGUINALDO (J5)</t>
  </si>
  <si>
    <t>PRIMA VACACIONAL PARCIAL(32)</t>
  </si>
  <si>
    <t>ÚTILES ESCOLARES (55)</t>
  </si>
  <si>
    <t>ESTIMULOS (BE)</t>
  </si>
  <si>
    <t>ESTIMULO DÍA DEL SERV. PÚBLICO (77)</t>
  </si>
  <si>
    <t>BONO SINDICAL (SI)</t>
  </si>
  <si>
    <t>PREMIO AL MERITO (ME)</t>
  </si>
  <si>
    <t>FESTEJOS DEL SINDICATO (FS)</t>
  </si>
  <si>
    <t>PRIMA VACACIONAL (32) ANUAL</t>
  </si>
  <si>
    <t xml:space="preserve"> ISSSTEP % APORTACIÓN</t>
  </si>
  <si>
    <t>ISSSTEP APORTACIÓN QUINCENAL</t>
  </si>
  <si>
    <t>ISSSTEP APORTACION MENSUAL</t>
  </si>
  <si>
    <t>SAR QUINCENAL</t>
  </si>
  <si>
    <t>SAR MENSUAL</t>
  </si>
  <si>
    <t>ISN_PM</t>
  </si>
  <si>
    <t>ISN_PA</t>
  </si>
  <si>
    <t>CORREO INSTITUCIONAL</t>
  </si>
  <si>
    <t>CORREO PERSONAL</t>
  </si>
  <si>
    <t>TELEFONO</t>
  </si>
  <si>
    <t>DIRECCION</t>
  </si>
  <si>
    <t>DOMICILIO FISCAL</t>
  </si>
  <si>
    <t>ESCOLARIDAD</t>
  </si>
  <si>
    <t>CUENTA BANCARIA</t>
  </si>
  <si>
    <t>00073</t>
  </si>
  <si>
    <t>00310</t>
  </si>
  <si>
    <t>HERNANDEZ MANZANO FRANCISCO</t>
  </si>
  <si>
    <t>HEMF671003HPLRNR05</t>
  </si>
  <si>
    <t>HEMF671003S63</t>
  </si>
  <si>
    <t>G0807</t>
  </si>
  <si>
    <t>ANALISTA ESPECIALIZADO CONSULTIVO B</t>
  </si>
  <si>
    <t>DIRECCIÓN DE PATRIMONIO CULTURAL, INVESTIGACIÓN Y EDUCACIÓN PARA LA EQUIDAD</t>
  </si>
  <si>
    <t>DIRECCIÓN DE OFICINAS REGIONALES</t>
  </si>
  <si>
    <t>X</t>
  </si>
  <si>
    <t>H</t>
  </si>
  <si>
    <t>OCT</t>
  </si>
  <si>
    <t>francisco.hernandezm@puebla.gob.mx</t>
  </si>
  <si>
    <t>manzanofh@hotmail.com</t>
  </si>
  <si>
    <t>222 104-3998</t>
  </si>
  <si>
    <t>CALLE MAR DE PLATA #123 FRACC. PUNTA MORENO 1 CUAUTLANCINGO PUEBLA</t>
  </si>
  <si>
    <t>32 PONIENTE NO. INT. 7 EXT. 1706 COLONIA MORELOS PUEBLA PUE. C.P. 72080</t>
  </si>
  <si>
    <t>Maestría</t>
  </si>
  <si>
    <t>1513013827</t>
  </si>
  <si>
    <t>00052</t>
  </si>
  <si>
    <t>00122</t>
  </si>
  <si>
    <t>GARCIA DE LA ROSA BERTIN</t>
  </si>
  <si>
    <t>GARB680905HPLRSR03</t>
  </si>
  <si>
    <t>GARB680905EY6</t>
  </si>
  <si>
    <t>G0805</t>
  </si>
  <si>
    <t>JEFE DE DEPARTAMENTO DE FACTOR HUMANO</t>
  </si>
  <si>
    <t>DIRECCIÓN DE ADMINISTRACIÓN Y FINANZAS</t>
  </si>
  <si>
    <t>DEPARTAMENTO DE FACTOR HUMANO</t>
  </si>
  <si>
    <t>SEP</t>
  </si>
  <si>
    <t>bertin.garcia@puebla.gob.mx</t>
  </si>
  <si>
    <t>bgarcia_1@hotmail.com</t>
  </si>
  <si>
    <t>22-21-93-56-34</t>
  </si>
  <si>
    <t xml:space="preserve">C. LONGITUDINAL #10, COL. EL ARENAL, SAN MARTIN TEXMELUCAN, PUE. CP. </t>
  </si>
  <si>
    <t>Licenciatura en Administración Pública</t>
  </si>
  <si>
    <t>2836702988</t>
  </si>
  <si>
    <t>00069</t>
  </si>
  <si>
    <t>00170</t>
  </si>
  <si>
    <t>RODRIGUEZ TABOADA IRAN</t>
  </si>
  <si>
    <t>ROTI710810HVZDBR03</t>
  </si>
  <si>
    <t>ROTI710810UD2</t>
  </si>
  <si>
    <t>JEFE DE DEPARTAMENTO CONTENCIOSO</t>
  </si>
  <si>
    <t>UNIDAD JURÍDICA</t>
  </si>
  <si>
    <t>DEPARTAMENTO CONSULTIVO</t>
  </si>
  <si>
    <t>AGO</t>
  </si>
  <si>
    <t>iran.rodriguez@puebla.gob.mx</t>
  </si>
  <si>
    <t>irtrodriguez@hotmail.com</t>
  </si>
  <si>
    <t>22-22-60-01-21</t>
  </si>
  <si>
    <t>CALLE SAN AGUSTIN 21 CASA 27, COL. RESIDENCIAL ARDENAS, CUAUTLALNCINGO, PUE. C.P. 72700</t>
  </si>
  <si>
    <t>Mestria, Abogado, Notario y Acturio</t>
  </si>
  <si>
    <t>1515958722</t>
  </si>
  <si>
    <t>00057</t>
  </si>
  <si>
    <t>00168</t>
  </si>
  <si>
    <t>ALEJO RODRIGUEZ JORGE</t>
  </si>
  <si>
    <t>AERJ750420HPLLDR07</t>
  </si>
  <si>
    <t>AERJ750420UW8</t>
  </si>
  <si>
    <t>OFICIAL "A"</t>
  </si>
  <si>
    <t>ABR</t>
  </si>
  <si>
    <t>jorge.alejo@puebla.gob.mx</t>
  </si>
  <si>
    <t>george_75ez@hotmail.com</t>
  </si>
  <si>
    <t>22-28-99-95-56</t>
  </si>
  <si>
    <t xml:space="preserve">1ER RETORNO DE LA 5 C. SUR, COL. LOMA BELLA PUEBLA, PUE. </t>
  </si>
  <si>
    <t>Licenciatura en Administración Educativa</t>
  </si>
  <si>
    <t>0468928487</t>
  </si>
  <si>
    <t>00043</t>
  </si>
  <si>
    <t>00256</t>
  </si>
  <si>
    <t>ALVAREZ LOPEZ IGNACIO ARTURO</t>
  </si>
  <si>
    <t>AALI520901HVZLPG07</t>
  </si>
  <si>
    <t>AALI520901HL7</t>
  </si>
  <si>
    <t>JEFE DE DEPARTAMENTO DE CONSULTA Y PARTICIPACIÓN</t>
  </si>
  <si>
    <t>DIRECCIÓN DE DIÁLOGO Y CONCERTACIÓN</t>
  </si>
  <si>
    <t>DEPARTAMENTO DE CONSULTA Y PARTICIPACIÓN</t>
  </si>
  <si>
    <t>CAMBIO CATEGORIA</t>
  </si>
  <si>
    <t>ignacio.alvarez@puebla.gob.mx</t>
  </si>
  <si>
    <t>jaal25@yahoo.com</t>
  </si>
  <si>
    <t>951 308-6606</t>
  </si>
  <si>
    <t>CALE 119 ORIENTE #1829  HEROES PARIFERICO PUEBLA</t>
  </si>
  <si>
    <t>Licenciatura en Antropologia Social</t>
  </si>
  <si>
    <t>1512796640</t>
  </si>
  <si>
    <t>00259</t>
  </si>
  <si>
    <t>00295</t>
  </si>
  <si>
    <t>G0501</t>
  </si>
  <si>
    <t>DIRECTOR DE DIÁLOGO Y CONCERTACIÓN</t>
  </si>
  <si>
    <t>00013</t>
  </si>
  <si>
    <t>00283</t>
  </si>
  <si>
    <t>CAMPOS MONTIEL ANNIE</t>
  </si>
  <si>
    <t>CAMA820627MPLMNN00</t>
  </si>
  <si>
    <t>CAMA8206276Q6</t>
  </si>
  <si>
    <t>DIRECCIÓN GENERAL</t>
  </si>
  <si>
    <t>M</t>
  </si>
  <si>
    <t>JUN</t>
  </si>
  <si>
    <t>aniee.campos@puebla.gob.mx</t>
  </si>
  <si>
    <t>franiep3@hotmail.com</t>
  </si>
  <si>
    <t>222 523-5891</t>
  </si>
  <si>
    <t>PRIVADA 14 C SUR #6508 VILLA UNIVERSITARIA PUEBLA  72589</t>
  </si>
  <si>
    <t>Licenciatura en Administración de Empresas</t>
  </si>
  <si>
    <t>1512796675</t>
  </si>
  <si>
    <t>00056</t>
  </si>
  <si>
    <t>00086</t>
  </si>
  <si>
    <t>RIVERA SUAREZ MARIA DE LOS ANGELES</t>
  </si>
  <si>
    <t>RISA750401MPLVRN05</t>
  </si>
  <si>
    <t>RISA750401BQ4</t>
  </si>
  <si>
    <t>G0510</t>
  </si>
  <si>
    <t>ANALISTA ESPECIALIZADO</t>
  </si>
  <si>
    <t>angeles.rivera.enlad@gmail.com</t>
  </si>
  <si>
    <t>22-21-61-84-21</t>
  </si>
  <si>
    <t>AV 42 PTE #117 "A", COL. HIDALGO, PUE. CP 72260</t>
  </si>
  <si>
    <t>Licenciatura en Derecho</t>
  </si>
  <si>
    <t>1513013755</t>
  </si>
  <si>
    <t>00005</t>
  </si>
  <si>
    <t>000189</t>
  </si>
  <si>
    <t>PIÑEIRO DAGNINO RAMON KADAFI</t>
  </si>
  <si>
    <t>PIDR870504HPLXGM00</t>
  </si>
  <si>
    <t>PIDR870504LT2</t>
  </si>
  <si>
    <t>JEFE DE DEPARTAMENTO DE RECURSOS FINANCIEROS</t>
  </si>
  <si>
    <t>DEPARTAMENTO DE RECURSOS FINANCIEROS</t>
  </si>
  <si>
    <t>MAY</t>
  </si>
  <si>
    <t>ramon.pineiro@puebla.gob.mx</t>
  </si>
  <si>
    <t>dafika94@hotmail.com</t>
  </si>
  <si>
    <t>22-25-30-80-24</t>
  </si>
  <si>
    <t>14 A SUR 11125 #7  INFONAVIT SAN JORGE PUEBLA</t>
  </si>
  <si>
    <t>Licenciatura en Contaduria Pública</t>
  </si>
  <si>
    <t>1512796764</t>
  </si>
  <si>
    <t>00352</t>
  </si>
  <si>
    <t>222 530-8024</t>
  </si>
  <si>
    <t>C. PROLONGACION DE LA 27 DE SEMPRIEMBRE # EXT 1902 8 INT 104 COLONIA SA DIEGO CP. 72498</t>
  </si>
  <si>
    <t>00006</t>
  </si>
  <si>
    <t>00121</t>
  </si>
  <si>
    <t>FLORES CHACON LAURA</t>
  </si>
  <si>
    <t>FOCL900511MPLLHR07</t>
  </si>
  <si>
    <t>FOCL900511QX5</t>
  </si>
  <si>
    <t>laura.flores@puebla.gob.mx</t>
  </si>
  <si>
    <t>lau_90@hotmail.es</t>
  </si>
  <si>
    <t>22-21-98-95-00</t>
  </si>
  <si>
    <t>57 OTE Y 34 SUR PZA. CARCOÑA, INF. LA MARGARITA, PUEBLA, PUE. CP 72560</t>
  </si>
  <si>
    <t>Licenciatura</t>
  </si>
  <si>
    <t>2959756647</t>
  </si>
  <si>
    <t>00082</t>
  </si>
  <si>
    <t>00087</t>
  </si>
  <si>
    <t>ORTEGA VARELA LEOBIGILDO</t>
  </si>
  <si>
    <t>OEVL770407HPLRRB00</t>
  </si>
  <si>
    <t>OEVL770407TP7</t>
  </si>
  <si>
    <t>G0814</t>
  </si>
  <si>
    <t>ANALISTA</t>
  </si>
  <si>
    <t>leovigildo.ortega@puebla.gob.mx</t>
  </si>
  <si>
    <t>lov_e777@hotmail.com</t>
  </si>
  <si>
    <t>22-28-64-07-09</t>
  </si>
  <si>
    <t>CALLE 5 ORIENTE 210, SAN JUAN TLAUTLA, SAN PEDRO CHOLULA</t>
  </si>
  <si>
    <t>Técnico en Contabilidad</t>
  </si>
  <si>
    <t>00127</t>
  </si>
  <si>
    <t>00177</t>
  </si>
  <si>
    <t>00186</t>
  </si>
  <si>
    <t>00190</t>
  </si>
  <si>
    <t>RODRIGUEZ BONILLA AURORA</t>
  </si>
  <si>
    <t>RXBA681219MPLDNR04</t>
  </si>
  <si>
    <t>RXBA681219144</t>
  </si>
  <si>
    <t>DIC</t>
  </si>
  <si>
    <t>aurora.rodriguez@puebla.gob.mx</t>
  </si>
  <si>
    <t>aurora.rodriguez.bonilla@gmail.com</t>
  </si>
  <si>
    <t>221-592-2896</t>
  </si>
  <si>
    <t>VALLE HERMOSO 116, FRAC. Col. LOMAS DEL VALLE</t>
  </si>
  <si>
    <t>Maestria en curso Auditoria Gubernamental</t>
  </si>
  <si>
    <t>00302</t>
  </si>
  <si>
    <t>ROBA681219144</t>
  </si>
  <si>
    <t>VALLE HERMOSO 116, FRAC. Col. LOMAS DEL VALLE C.P. 72590</t>
  </si>
  <si>
    <t>CALLE VALLE HORMOSO NO EXT 16 SAN FRANCISCO TOTIMEHUACAN PUEBLA, PUE. C.P. 72590</t>
  </si>
  <si>
    <t>Maestria en Auditoria Gubernamental</t>
  </si>
  <si>
    <t>6492504364</t>
  </si>
  <si>
    <t>00129</t>
  </si>
  <si>
    <t>00161-1</t>
  </si>
  <si>
    <t>ARIAS FLORES ALEJANDRO</t>
  </si>
  <si>
    <t>AIFA630406HDFRLL09</t>
  </si>
  <si>
    <t>AIFA630406B86</t>
  </si>
  <si>
    <t>alejandro.ariasf@puebla.gob.mx</t>
  </si>
  <si>
    <t>aaflores.2017@gmail.com</t>
  </si>
  <si>
    <t>22-27-60-25-87</t>
  </si>
  <si>
    <t>AV CAMPESTRE 4703 11 COL. SANTA CRUZ BUENA VISTA C.P. 72170</t>
  </si>
  <si>
    <t>Licenciatura en Arquitectura</t>
  </si>
  <si>
    <t>00084</t>
  </si>
  <si>
    <t>00119-1</t>
  </si>
  <si>
    <t>DUARTE AVILA SOSA SONIA DE LA LUZ</t>
  </si>
  <si>
    <t>DUAS790215MPLRVN01</t>
  </si>
  <si>
    <t>DUAS790215BS6</t>
  </si>
  <si>
    <t>093 LA FRAGUA</t>
  </si>
  <si>
    <t>FEB</t>
  </si>
  <si>
    <t>sonia.avila@puebla.gob.mx</t>
  </si>
  <si>
    <t>22-22-17-29-06</t>
  </si>
  <si>
    <t xml:space="preserve">CALLE RIO XONACA #4310 FRAC. VILLA CARMEL, PUEBLA, PUE. </t>
  </si>
  <si>
    <t>Doctorado en Derecho</t>
  </si>
  <si>
    <t>00169</t>
  </si>
  <si>
    <t>00020</t>
  </si>
  <si>
    <t>00099</t>
  </si>
  <si>
    <t>SOANCATL MENDOZA GLORIA</t>
  </si>
  <si>
    <t>SOMG770907MPLNNL06</t>
  </si>
  <si>
    <t>SOMG770907JM5</t>
  </si>
  <si>
    <t>JEFE DE DEPARTAMENTO CONSULTIVO</t>
  </si>
  <si>
    <t>PLAZA CONGELADA</t>
  </si>
  <si>
    <t>gloria.soancatl@puebla.gob.mx</t>
  </si>
  <si>
    <t>gsm0709@gmail.com</t>
  </si>
  <si>
    <t>22-41-12-61-92</t>
  </si>
  <si>
    <t xml:space="preserve">CALLE 61 SUR #1517 , AMPLIACION REFORMA. PUEBLA, PUE. CP 75380 </t>
  </si>
  <si>
    <t>Maestria en Auditoria Financiera</t>
  </si>
  <si>
    <t>2998198373</t>
  </si>
  <si>
    <t>00019</t>
  </si>
  <si>
    <t>00287</t>
  </si>
  <si>
    <t>ACUAPAN CARREON NANCY ARIDAI</t>
  </si>
  <si>
    <t>AUCN960218MPLCRN03</t>
  </si>
  <si>
    <t>AUCN9602182K1</t>
  </si>
  <si>
    <t>G0801</t>
  </si>
  <si>
    <t>SUBDIRECCIÓN  JURÍDICA</t>
  </si>
  <si>
    <t>nancy.acuapan@puebla.gob.mx</t>
  </si>
  <si>
    <t>201420061@icipuebla.edu</t>
  </si>
  <si>
    <t>222-732-4954</t>
  </si>
  <si>
    <t xml:space="preserve">26 NORTE 601 C RESURGIMIENTO PUEBLA </t>
  </si>
  <si>
    <t>Maestria</t>
  </si>
  <si>
    <t>1512796632</t>
  </si>
  <si>
    <t>00016</t>
  </si>
  <si>
    <t>00134</t>
  </si>
  <si>
    <t>FLORES MEZA DANIEL</t>
  </si>
  <si>
    <t>FOMD620528HPLLZN09</t>
  </si>
  <si>
    <t>FOMD620528TE6</t>
  </si>
  <si>
    <t>SECRETARÍA TÉNICA</t>
  </si>
  <si>
    <t>daniel.flores@puebla.gob.mx</t>
  </si>
  <si>
    <t>firmeza2005@yahoo.com</t>
  </si>
  <si>
    <t>22-25-05-37-43</t>
  </si>
  <si>
    <t>PRIV. FLORES MAGON 40 INSURGENTES PUEBLA</t>
  </si>
  <si>
    <t>Maestría en Desarrollo Social</t>
  </si>
  <si>
    <t>1227588224</t>
  </si>
  <si>
    <t>00141</t>
  </si>
  <si>
    <t>00188</t>
  </si>
  <si>
    <t>00088</t>
  </si>
  <si>
    <t>00131</t>
  </si>
  <si>
    <t>CASTELAN CASTRO JUDITH</t>
  </si>
  <si>
    <t>CACJ770223MPLSSD05</t>
  </si>
  <si>
    <t>CACJ770223SK2</t>
  </si>
  <si>
    <t>judit.castroc@puebla.gob.mx</t>
  </si>
  <si>
    <t>judithchinamorena@gmail.com</t>
  </si>
  <si>
    <t>22-28-73-88-04</t>
  </si>
  <si>
    <t>CALLE HUIXTLA # 34 FRACC CAFETALES  MISIONES DE SAN FRANCISCO  CORONANGO PUEBLA</t>
  </si>
  <si>
    <t>Licenciatura en Comercio Exterior</t>
  </si>
  <si>
    <t>00193</t>
  </si>
  <si>
    <t>00010</t>
  </si>
  <si>
    <t>00167-1</t>
  </si>
  <si>
    <t>ARROYO GRANILLO YEIMI KAREN</t>
  </si>
  <si>
    <t>AOGY930310MPLRRM04</t>
  </si>
  <si>
    <t>AOGY930310E15</t>
  </si>
  <si>
    <t>MAR</t>
  </si>
  <si>
    <t>yeimi.arrollo@puebla.gob.mx</t>
  </si>
  <si>
    <t>yeimi.arroyo93@gmail.com</t>
  </si>
  <si>
    <t>CALLE UXMAL MANZANA 19 LOTE 4  UNIDAD HAB. VIVAH 1 CUAUTLANCINGO PUEBLA</t>
  </si>
  <si>
    <t>1513013631</t>
  </si>
  <si>
    <t>00213</t>
  </si>
  <si>
    <t>JEFA DE DEPARTAMENTO DE FACTOR HUMANO</t>
  </si>
  <si>
    <t>yeimi.arroyo@puebla.gob.mx</t>
  </si>
  <si>
    <t>236</t>
  </si>
  <si>
    <t>00303</t>
  </si>
  <si>
    <t>G0808</t>
  </si>
  <si>
    <t>ANALISTA ESPECIALIZADO CONSULTIVO C</t>
  </si>
  <si>
    <t>CALLE UXMAL MANZANA 19 LOTE 4 UNIDAD HABITACIONAL VIVAH 72730</t>
  </si>
  <si>
    <t>00397</t>
  </si>
  <si>
    <t>00417</t>
  </si>
  <si>
    <t>CAMBIO DE PLAZA</t>
  </si>
  <si>
    <t>00424</t>
  </si>
  <si>
    <t>DIRECCIÓN ACADEMIA DE LAS LENGUAS INDÍGENAS</t>
  </si>
  <si>
    <t>DEPARTAMENTO DE DESARROLLO DE LENGUAS INDÍGENAS</t>
  </si>
  <si>
    <t>00430</t>
  </si>
  <si>
    <t>DIRECCIÓN DE OFICINAS DE REPRESENTACION</t>
  </si>
  <si>
    <t>OFINA DE REPRESENTACION DE ACATLAN DE OSORIO</t>
  </si>
  <si>
    <t>SUBDIRECCIÓN JURÍDICA</t>
  </si>
  <si>
    <t>DEPARTAMENTO CONTENCIOSO</t>
  </si>
  <si>
    <t>ACTIVO</t>
  </si>
  <si>
    <t>00015</t>
  </si>
  <si>
    <t>00276</t>
  </si>
  <si>
    <t>AGUILAR SAN SEBASTIAN JOSE ANTONIO</t>
  </si>
  <si>
    <t>AUSA580129HVZGNN06</t>
  </si>
  <si>
    <t>AUSA580129H43</t>
  </si>
  <si>
    <t>SECRETARIO TÉCNICO</t>
  </si>
  <si>
    <t>SECRETARÍA TÉCNICA</t>
  </si>
  <si>
    <t>ENE</t>
  </si>
  <si>
    <t>jose.aguilar@puebla.gob.mx</t>
  </si>
  <si>
    <t>andoni.san@gmail.com</t>
  </si>
  <si>
    <t>222-265-2197</t>
  </si>
  <si>
    <t xml:space="preserve">RTNO RUBEN DARIO 132 RDCIAL LOMAS DE ANGELOPOLIS SAN ANDRES CHOLULA PUEBLA </t>
  </si>
  <si>
    <t>Licenciatura en Antropologia</t>
  </si>
  <si>
    <t>0451243942</t>
  </si>
  <si>
    <t>00011</t>
  </si>
  <si>
    <t>00275</t>
  </si>
  <si>
    <t>BRINGAS MARRERO RAFAEL</t>
  </si>
  <si>
    <t>BIMR611024HPLRRF08</t>
  </si>
  <si>
    <t>BIMR611024PY9</t>
  </si>
  <si>
    <t>G0403</t>
  </si>
  <si>
    <t>DIRECTOR GENERAL</t>
  </si>
  <si>
    <t>rafael.bringas@puebla.gob.mx</t>
  </si>
  <si>
    <t>222-361-6703</t>
  </si>
  <si>
    <t xml:space="preserve">PRIV. LA ERA 14 BARR. SANTA CLARA PUEBLA  </t>
  </si>
  <si>
    <t>Maestria en Pedagogia</t>
  </si>
  <si>
    <t>2840789143</t>
  </si>
  <si>
    <t>00051</t>
  </si>
  <si>
    <t>00301</t>
  </si>
  <si>
    <t>REGINO REYES ROBERTO</t>
  </si>
  <si>
    <t>RERR730131HPLGYB06</t>
  </si>
  <si>
    <t>RERR730131DS2</t>
  </si>
  <si>
    <t>DIRECTOR DE ADMINISTRACIÓN Y FINANZAS</t>
  </si>
  <si>
    <t>roberto.regino@puebla.gob.mx</t>
  </si>
  <si>
    <t>robertoregino65@gmail.com</t>
  </si>
  <si>
    <t>222-719-2077</t>
  </si>
  <si>
    <t>PRIMERA PRIVADA  SAN ISIDRO 21, BARRIO EL CALVARIO,CUAUTLANCINGO CUAUTLANCINGO PUEBLA</t>
  </si>
  <si>
    <t>Licenciatura en Administracíon de Empesas</t>
  </si>
  <si>
    <t>1512796683</t>
  </si>
  <si>
    <t>00063</t>
  </si>
  <si>
    <t>00116</t>
  </si>
  <si>
    <t>ALFONSO DE JESUS ARMANDO</t>
  </si>
  <si>
    <t>AOJA730919HPLLSR05</t>
  </si>
  <si>
    <t>AOJA7309197B4</t>
  </si>
  <si>
    <t>G1304</t>
  </si>
  <si>
    <t>156 OFICINA REGIONAL TEHUACÁN</t>
  </si>
  <si>
    <t>armando.alfonso@puebla.gob.mx</t>
  </si>
  <si>
    <t>armandoalfonso19@gmail.com</t>
  </si>
  <si>
    <t>23-81-72-41-64</t>
  </si>
  <si>
    <t xml:space="preserve">73930CALLE ALLENDE #205, CENTRO, ALTEPEXI, PUE. CP </t>
  </si>
  <si>
    <t>1512796747</t>
  </si>
  <si>
    <t>00053</t>
  </si>
  <si>
    <t>0214</t>
  </si>
  <si>
    <t>SOLANO LUNA RUFINA</t>
  </si>
  <si>
    <t>SOLR690407MPLLNF03</t>
  </si>
  <si>
    <t>SOLR690407SY6</t>
  </si>
  <si>
    <t>rufina.solano@puebla.gob.mx</t>
  </si>
  <si>
    <t>rufis_07@hotmail.com</t>
  </si>
  <si>
    <t>224 106-3728</t>
  </si>
  <si>
    <t>CALLE ROMA # 20 E  VILLAS PERIFERICO PUEBLA</t>
  </si>
  <si>
    <t>Técnico en Administración de Empresas</t>
  </si>
  <si>
    <t>1512796668</t>
  </si>
  <si>
    <t>00359</t>
  </si>
  <si>
    <t>00393</t>
  </si>
  <si>
    <t>00023</t>
  </si>
  <si>
    <t>00288</t>
  </si>
  <si>
    <t>SOLIS CARRERA SERAFIN GERMAN</t>
  </si>
  <si>
    <t>SOCS630730HPLLRR01</t>
  </si>
  <si>
    <t>SOCS630730R37</t>
  </si>
  <si>
    <t>DIRECTOR DE DESARROLLO CON IDENTIDAD INDÍGENA</t>
  </si>
  <si>
    <t>DIRECCIÓN DE DESARROLLO CON IDENTIDAD INDÍGENA</t>
  </si>
  <si>
    <t>JUL</t>
  </si>
  <si>
    <t>serafin.solis@puebla.gob.mx</t>
  </si>
  <si>
    <t>coyomeatl63@gmail.com</t>
  </si>
  <si>
    <t>238 133-7102</t>
  </si>
  <si>
    <t>1RA PRIVADA INSURGENTES FRACC SANTA MONICA TEHUACAN PUEBLA</t>
  </si>
  <si>
    <t>1A PRIVADA 11 SUR INSURGENTES  EXT 914 COL. NICOLAS BRAVO, TEHUACAN, PUEBLA C.P 75790</t>
  </si>
  <si>
    <t>Maestría en Ciencias de Desarrollo Rural Regional</t>
  </si>
  <si>
    <t>1512796624</t>
  </si>
  <si>
    <t>00012</t>
  </si>
  <si>
    <t>00118-1</t>
  </si>
  <si>
    <t>LECHUGA ZACATENCO MARISELA</t>
  </si>
  <si>
    <t>LEZM870628MPLCCR01</t>
  </si>
  <si>
    <t>LEZM870628NE4</t>
  </si>
  <si>
    <t>marisela.lechuga@puebla.gob.mx</t>
  </si>
  <si>
    <t>mariselita87@hotmail.com</t>
  </si>
  <si>
    <t>22-25-04-26-66</t>
  </si>
  <si>
    <t>CALLE DE LA LAJA#14 2DA SECCION, SAN PABLITO PAHUATLA, PUE. CP 73110</t>
  </si>
  <si>
    <t>1512796658</t>
  </si>
  <si>
    <t>00017</t>
  </si>
  <si>
    <t>ROSAS CABRERA MOISES ISMAEL</t>
  </si>
  <si>
    <t>ROCM800117HDFSBS00</t>
  </si>
  <si>
    <t>ROCM8001178B4</t>
  </si>
  <si>
    <t xml:space="preserve"> SUBDIRECTOR DESARROLLO DE  TECNOLOGÍAS DE LA INFORMACIÓN</t>
  </si>
  <si>
    <t xml:space="preserve"> SUBDIRECCIÓN DESARROLLO DE  TECNOLOGÍAS DE LA INFORMACIÓN</t>
  </si>
  <si>
    <t>SUBDIRECCIÓN DE TECNOLOGÍAS DE LA INFORMACIÓN</t>
  </si>
  <si>
    <t>moises.rosas@puebla.gob.mx</t>
  </si>
  <si>
    <t>ismael_c1717@gmail.com</t>
  </si>
  <si>
    <t>554 533-5399</t>
  </si>
  <si>
    <t>ALMENDROS EDIF 2 NUM 201 EX RANCHO VAQUERIAS  PUEBLA</t>
  </si>
  <si>
    <t>AV 602 NUM EXT 161 COL PEÑON DE LOS BAÑOS CIUDAD DE MEXICO C.P. 15520</t>
  </si>
  <si>
    <t>Licenciatura en Informática Administrativa</t>
  </si>
  <si>
    <t>1512796739</t>
  </si>
  <si>
    <t>00041</t>
  </si>
  <si>
    <t>00180</t>
  </si>
  <si>
    <t>BLAS OTAÑEZ NADIA</t>
  </si>
  <si>
    <t>BAON780223MPLLTD08</t>
  </si>
  <si>
    <t>BAON780223V25</t>
  </si>
  <si>
    <t>DIRECTORA DE DIÁLOGO Y CONCERTACIÓN</t>
  </si>
  <si>
    <t>nadia.blas@puebla.gob.mx</t>
  </si>
  <si>
    <t>nayin23feb@gmail.com</t>
  </si>
  <si>
    <t>22-11-49-71-73</t>
  </si>
  <si>
    <t xml:space="preserve">CALLE PRINCIPAL LTO 2 MNZ 2 NUEVA RESURECCION PUEBLA </t>
  </si>
  <si>
    <t>1512796721</t>
  </si>
  <si>
    <t>00049</t>
  </si>
  <si>
    <t>00300</t>
  </si>
  <si>
    <t>CUAXILOA LOPEZ DANIEL</t>
  </si>
  <si>
    <t>CULD860405HPLXPN00</t>
  </si>
  <si>
    <t>CULD860405FIA</t>
  </si>
  <si>
    <t>JEFE DE DEPARTAMENTO DE FORMACIÓN DE TRADUCTORES E INTÉRPRETES</t>
  </si>
  <si>
    <t>DIRECCIÓN DE ACADEMIA DE LAS LENGUAS INDIGENAS</t>
  </si>
  <si>
    <t>DEPARTAMENTO DE FORMACIÓN DE TRADUCTORES E INTERPRETES</t>
  </si>
  <si>
    <t>daniel.cuaxiloa@puebla.gob.mx</t>
  </si>
  <si>
    <t>dancualop@gmail.com</t>
  </si>
  <si>
    <t>222-717-2425</t>
  </si>
  <si>
    <t>CALLE RIO BRAVO #6103  FRACC. JARDINES DE SAN MANUEL PUEBLA</t>
  </si>
  <si>
    <t>Ingenieria en Mecatrónica</t>
  </si>
  <si>
    <t>1512796713</t>
  </si>
  <si>
    <t>00048</t>
  </si>
  <si>
    <t>00136</t>
  </si>
  <si>
    <t>GUZMAN HERRERA ZOILO NOEL</t>
  </si>
  <si>
    <t>GUHZ831118HPLZRL08</t>
  </si>
  <si>
    <t>GUHZ8311189C7</t>
  </si>
  <si>
    <t>JEFE DE DEPARTAMENTO DE DESARROLLO DE LENGUAS INDÍGENAS</t>
  </si>
  <si>
    <t>NOV</t>
  </si>
  <si>
    <t>zoilo.guzman@puebla.gob.mx</t>
  </si>
  <si>
    <t>noeltlxi@gmail.com</t>
  </si>
  <si>
    <t>55-39-69-72-40</t>
  </si>
  <si>
    <t>CALLE IGNACIO ZARAGOZA COLONIA CENTRO SAN JOSE MIAHUATLAN CP 75970</t>
  </si>
  <si>
    <t>1512796691</t>
  </si>
  <si>
    <t>00162</t>
  </si>
  <si>
    <t>00175</t>
  </si>
  <si>
    <t>16/08/021</t>
  </si>
  <si>
    <t>00032</t>
  </si>
  <si>
    <t>00277</t>
  </si>
  <si>
    <t>REGINO CASTILLO VIRIDIANA</t>
  </si>
  <si>
    <t>RECV930524MPLGSR06</t>
  </si>
  <si>
    <t>RECV930524BJ5</t>
  </si>
  <si>
    <t>DIRECTORA DE PATRIMONIO CULTURAL, INVESTIGACIÓN Y EDUCACIÓN PARA LA EQUIDAD</t>
  </si>
  <si>
    <t xml:space="preserve">DIRECCIÓN DE PATRIMONIO CULTURAL, INVESTIGACIÓN Y EDUCACIÓN PARA LA EQUIDAD </t>
  </si>
  <si>
    <t>viridiana.regino@puebla.gob.mx</t>
  </si>
  <si>
    <t>viry.rc@gmail.com</t>
  </si>
  <si>
    <t>222 354-3175</t>
  </si>
  <si>
    <t>HIDALGO 5526 JARDINES DE SAN MANUEL PUEBLA</t>
  </si>
  <si>
    <t>VICENTE GUERRERO SUR NO. EXT. 53 COL. (NO ESPECIFICADA) ALTEPEXI PUEBLA C.P. 75950</t>
  </si>
  <si>
    <t>Licenciatura en Ciencias Políticas</t>
  </si>
  <si>
    <t>1512796705</t>
  </si>
  <si>
    <t>00001</t>
  </si>
  <si>
    <t>00100</t>
  </si>
  <si>
    <t>GUZMAN PEREZ ISAI</t>
  </si>
  <si>
    <t>GUPI930531HTLZRS09</t>
  </si>
  <si>
    <t>GUPI930531H2A</t>
  </si>
  <si>
    <t>UNIDAD DE DESARROLLO DE TECNOLOGIAS DE INFORMACIÓN</t>
  </si>
  <si>
    <t>DEPARTAMENTO DE TECNOLOGÍAS DE LA INFORMACIÓN</t>
  </si>
  <si>
    <t>isai.guzman@puebla.gob.mx</t>
  </si>
  <si>
    <t>isai_guzman@live.com</t>
  </si>
  <si>
    <t>22-27-80-10-23</t>
  </si>
  <si>
    <t>CALLE 5 SUR  #4  SAN MIGUEL TENANCINGO PUEBLA</t>
  </si>
  <si>
    <t>Ingenieria en TIC's</t>
  </si>
  <si>
    <t>1514010780</t>
  </si>
  <si>
    <t>00132</t>
  </si>
  <si>
    <t>00181</t>
  </si>
  <si>
    <t>DEPARTAMENTO DE COMUNICACIÓN INDÍGENA</t>
  </si>
  <si>
    <t>92700101</t>
  </si>
  <si>
    <t>00002</t>
  </si>
  <si>
    <t>00118</t>
  </si>
  <si>
    <t>TORRES OLMEDO VERONICA LIZBETH</t>
  </si>
  <si>
    <t>TOOV910827MPLRLR03</t>
  </si>
  <si>
    <t>TOOV910827MH2</t>
  </si>
  <si>
    <t>veronicalto@hotmail.com</t>
  </si>
  <si>
    <t>22-25-67-94-81</t>
  </si>
  <si>
    <t>CIRCUITO JUAN PABLO II #609, SAN BALTAZAR CAMPECHE, PUEBLA, PUE. CP 72550</t>
  </si>
  <si>
    <t>Licenciatura Producción Publicitaria</t>
  </si>
  <si>
    <t>1512796756</t>
  </si>
  <si>
    <t>92700102</t>
  </si>
  <si>
    <t>00003</t>
  </si>
  <si>
    <t>00111</t>
  </si>
  <si>
    <t>SOSA ALVAREZ MARCIAL</t>
  </si>
  <si>
    <t>SOAM760214HPLSLR02</t>
  </si>
  <si>
    <t>SOAM760214T7A</t>
  </si>
  <si>
    <t>JEFE DE DEPARTAMENTO DE DERECHOS INDÍGENAS</t>
  </si>
  <si>
    <t>DEPARTAMENTO DE DERECHOS INDÍGENAS</t>
  </si>
  <si>
    <t>abogadososaacatlan27@gmail.com</t>
  </si>
  <si>
    <t>95-31-06-04-81</t>
  </si>
  <si>
    <t>CAÑADA SANDIA S/N SAN JERONIMO XACATLAN, PUE.</t>
  </si>
  <si>
    <t>Maestria en Criminologia e Investigación Forence</t>
  </si>
  <si>
    <t>1513013578</t>
  </si>
  <si>
    <t>92700103</t>
  </si>
  <si>
    <t>00004</t>
  </si>
  <si>
    <t>00160</t>
  </si>
  <si>
    <t>RAMOS GOMEZ OLIVER</t>
  </si>
  <si>
    <t>RAGO840928HPLMML05</t>
  </si>
  <si>
    <t>RAGO840928MY8</t>
  </si>
  <si>
    <t>JEFE DE DEPARTAMENTO DE COMUNICACIÓN INDÍGENA</t>
  </si>
  <si>
    <t>oliver.ramos@puebla.gob.mx</t>
  </si>
  <si>
    <t>oliver@olivorg.com</t>
  </si>
  <si>
    <t>22-21-35-03-93</t>
  </si>
  <si>
    <t>CALLE 28 PTE -304 BARRIO SANTIAGO MIXQUITLA SAN PEDRO CHOLULA  72760</t>
  </si>
  <si>
    <t>1512796772</t>
  </si>
  <si>
    <t>92700104</t>
  </si>
  <si>
    <t>00007</t>
  </si>
  <si>
    <t>00306</t>
  </si>
  <si>
    <t>VERGARA SOTERO RAMON</t>
  </si>
  <si>
    <t>VESR630105HPLRTM03</t>
  </si>
  <si>
    <t>VESR630105LN1</t>
  </si>
  <si>
    <t>DIRECTOR DE OFICINAS DE REPRESENTACION</t>
  </si>
  <si>
    <t xml:space="preserve">DIRECCIÓN DE OFICINAS REGIONALES </t>
  </si>
  <si>
    <t>ramon.vergara@puebla.gob.mx</t>
  </si>
  <si>
    <t>descendientes4t@outlook.es</t>
  </si>
  <si>
    <t>222 438-7066</t>
  </si>
  <si>
    <t>CALLE JUAN N MENDEZ S/N COMALTEPEC ZACAPOAXTLA PUEBLA</t>
  </si>
  <si>
    <t>Licenciatura Antropologia Social</t>
  </si>
  <si>
    <t>1513013526</t>
  </si>
  <si>
    <t>92700105</t>
  </si>
  <si>
    <t>00008</t>
  </si>
  <si>
    <t>00135</t>
  </si>
  <si>
    <t>CARRILLO SALVADOR ALBERTO</t>
  </si>
  <si>
    <t>CASA800924HPLRLL02</t>
  </si>
  <si>
    <t>CASA8009244P2</t>
  </si>
  <si>
    <t>071 OFICINA REGIONAL HUAUCHINANGO</t>
  </si>
  <si>
    <t>alberto.carrillo@puebla.gob.mx</t>
  </si>
  <si>
    <t>salcarrillo@hotmail.com</t>
  </si>
  <si>
    <t>77-61-09-02-63</t>
  </si>
  <si>
    <t>CALLE 2 DE ABRIL S/N PAPALOCTIPAN TLACUILOTEPEC PUEBLA</t>
  </si>
  <si>
    <t>Licenciatura en Económia</t>
  </si>
  <si>
    <t>1513013487</t>
  </si>
  <si>
    <t>00142</t>
  </si>
  <si>
    <t>00240</t>
  </si>
  <si>
    <t>776 109-0263</t>
  </si>
  <si>
    <t>00307</t>
  </si>
  <si>
    <t>92700106</t>
  </si>
  <si>
    <t>00009</t>
  </si>
  <si>
    <t>00137</t>
  </si>
  <si>
    <t>REYES LOPEZ EDGAR</t>
  </si>
  <si>
    <t>RELE870209HPLYPD04</t>
  </si>
  <si>
    <t>RELE870209883</t>
  </si>
  <si>
    <t>172 OFICINA REGIONAL TETELA DE OCAMPO</t>
  </si>
  <si>
    <t>edgar.reyes@puebla.gob.mx</t>
  </si>
  <si>
    <t>agroforestry.systems@gmail.com</t>
  </si>
  <si>
    <t>797 101-8010</t>
  </si>
  <si>
    <t>AV LA PAZ DTO # 7 TETELA DE OCAMPO TETELA DE OCAMPÓ PUEBLA</t>
  </si>
  <si>
    <t>Ingenieria Agroforestal</t>
  </si>
  <si>
    <t>1513013479</t>
  </si>
  <si>
    <t>00143</t>
  </si>
  <si>
    <t>00243</t>
  </si>
  <si>
    <t>797 101-80-10</t>
  </si>
  <si>
    <t>00311</t>
  </si>
  <si>
    <t>CALLE 2 SUR NUM EXT 2 COL. CENTRO TETELA DE OCAMPO, PUEBLA. C.P. 73640</t>
  </si>
  <si>
    <t>92700107</t>
  </si>
  <si>
    <t>00014</t>
  </si>
  <si>
    <t>00222</t>
  </si>
  <si>
    <t>CRUZ GIL CESAR</t>
  </si>
  <si>
    <t>CUGC880611HPLRLS05</t>
  </si>
  <si>
    <t>CUGC880611H18</t>
  </si>
  <si>
    <t>cesar.cruzg@puebla.gob.mx</t>
  </si>
  <si>
    <t>cesar-cruz88@hotmail.com</t>
  </si>
  <si>
    <t>224 107-0223</t>
  </si>
  <si>
    <t>CALLE SANTA ELENA #70 BARRIO SAN MIGUEL PUEBLA</t>
  </si>
  <si>
    <t>Bachillerato</t>
  </si>
  <si>
    <t>1513013771</t>
  </si>
  <si>
    <t>00285</t>
  </si>
  <si>
    <t>92700108</t>
  </si>
  <si>
    <t>00018</t>
  </si>
  <si>
    <t>00095</t>
  </si>
  <si>
    <t>HERRERA RAMIREZ DIANA</t>
  </si>
  <si>
    <t>HERD740616MPLRMN02</t>
  </si>
  <si>
    <t>HERD7406165BA</t>
  </si>
  <si>
    <t>JEFE DE DEPARTAMENTO DE TECNOLOGÍAS DE LA INFORMACIÓN</t>
  </si>
  <si>
    <t xml:space="preserve">JUN </t>
  </si>
  <si>
    <t>dianis_hr36@hotmail.com</t>
  </si>
  <si>
    <t>22-15-20-23-03</t>
  </si>
  <si>
    <t>VICENTE SUAREZ #34, COL JOAQUIN COLOMBRES, PUEBLA,  PUE.CP  72300</t>
  </si>
  <si>
    <t>Licenciatura en Informática</t>
  </si>
  <si>
    <t>1599784597</t>
  </si>
  <si>
    <t>92700109</t>
  </si>
  <si>
    <t>00021</t>
  </si>
  <si>
    <t>00154</t>
  </si>
  <si>
    <t>LOPEZ GOMEZ MARIA FERNANDA</t>
  </si>
  <si>
    <t>LOGF960704MPLPMR03</t>
  </si>
  <si>
    <t>LOGF960704IU8</t>
  </si>
  <si>
    <t>maria.lopezg@puebla.gob.mx</t>
  </si>
  <si>
    <t>fernanda.gomez0496@gmail.com</t>
  </si>
  <si>
    <t>22-27-53-68-28</t>
  </si>
  <si>
    <t>PRIV. 2 A SUR #9710, COL. BUGAMBILIAS, PUEBLA, PUE.</t>
  </si>
  <si>
    <t>Licenciatura Psicologia</t>
  </si>
  <si>
    <t>1513013509</t>
  </si>
  <si>
    <t>92700110</t>
  </si>
  <si>
    <t>00022</t>
  </si>
  <si>
    <t>00101</t>
  </si>
  <si>
    <t>GIL HERNANDEZ MAYTE</t>
  </si>
  <si>
    <t>GIHM901101MPLLRY00</t>
  </si>
  <si>
    <t>GIHM901101F80</t>
  </si>
  <si>
    <t>maytegilhernandez@gmail.com</t>
  </si>
  <si>
    <t>22-24-58-64-58</t>
  </si>
  <si>
    <t>LAS FLORS No 2, BELLA VISTA, ACATLAN DE OSORIO, PUE. CP 74940</t>
  </si>
  <si>
    <t>Abogada Noctaria y Actuaria</t>
  </si>
  <si>
    <t>1513013496</t>
  </si>
  <si>
    <t>92700111</t>
  </si>
  <si>
    <t>00024</t>
  </si>
  <si>
    <t>00107</t>
  </si>
  <si>
    <t>GUZMAN GONZALEZ ROSALBA</t>
  </si>
  <si>
    <t>GUGR780209MPLZNS01</t>
  </si>
  <si>
    <t>GUGR780209FL0</t>
  </si>
  <si>
    <t>rosalbaguzman2011@hotmail.com</t>
  </si>
  <si>
    <t>22-24-02-02-00</t>
  </si>
  <si>
    <t>CALLE JUAN N MENDEZ #3, JONOTLA, PUE.</t>
  </si>
  <si>
    <t>1513013763</t>
  </si>
  <si>
    <t>92700112</t>
  </si>
  <si>
    <t>00025</t>
  </si>
  <si>
    <t>00289</t>
  </si>
  <si>
    <t>MARTINEZ ALVAREZ JUAN JOSE</t>
  </si>
  <si>
    <t>MAAJ580611HPLRLN03</t>
  </si>
  <si>
    <t>MAAJ580611AE6</t>
  </si>
  <si>
    <t>JEFE DE DEPARTAMENTO DE INFRAESTRUCTURA INDÍGENA</t>
  </si>
  <si>
    <t>DEPARTAMENTO DE INFRAESTRUCTURA INDÍGENA</t>
  </si>
  <si>
    <t>juan.martineza@puebla.gob.mx</t>
  </si>
  <si>
    <t>jcatonj@hotmail.com</t>
  </si>
  <si>
    <t>222 379-8343</t>
  </si>
  <si>
    <t>CALLE CORDILLERA DE LOS ALPES #2405 FRACCIONAMIENTO MARAVILLAS  PUEBLA</t>
  </si>
  <si>
    <t>CALLE CORDILLERA DE LOS ALPES #2405 FRACCIONAMIENTO MARAVILLAS  PUEBLA CP. 72220</t>
  </si>
  <si>
    <t>1515958730</t>
  </si>
  <si>
    <t>92700113</t>
  </si>
  <si>
    <t>00026</t>
  </si>
  <si>
    <t>00113</t>
  </si>
  <si>
    <t>VELASCO MARTINEZ YURIRIA</t>
  </si>
  <si>
    <t>VEMY830404MMCLRR05</t>
  </si>
  <si>
    <t>VEMY830404UYA</t>
  </si>
  <si>
    <t>JEFE DE DEPARTAMENTO DE FOMENTO A LA ECONOMÍA INDÍGENA</t>
  </si>
  <si>
    <t>DEPARTAMENTO DE FOMENTO A LA ECONOMÍA INDÍGENA</t>
  </si>
  <si>
    <t>yurivelmar@hotmail.com</t>
  </si>
  <si>
    <t>23-31-01-25-51</t>
  </si>
  <si>
    <t>AVENIDA JUAREZ #34, COMALTEPEC, ZCAPOAXTLA, PUE</t>
  </si>
  <si>
    <t>Maestría en Dirección y Gestión Educativa</t>
  </si>
  <si>
    <t>1513013657</t>
  </si>
  <si>
    <t>92700114</t>
  </si>
  <si>
    <t>00027</t>
  </si>
  <si>
    <t>00173</t>
  </si>
  <si>
    <t>PIÑA CHAVEZ RUBEN</t>
  </si>
  <si>
    <t>PICR700908HDFXHB07</t>
  </si>
  <si>
    <t>PICR700908NI1</t>
  </si>
  <si>
    <t>JEFE DE DEPARTAMENTO DE PLANEACIÓN TERRITORIAL</t>
  </si>
  <si>
    <t>DEPARTAMENTO DE PLANEACIÓN TERRITORIAL</t>
  </si>
  <si>
    <t>ruben.pina@puebla.gob.mx</t>
  </si>
  <si>
    <t>ruben_pina@yahoo.com</t>
  </si>
  <si>
    <t>55-61-71-02-75</t>
  </si>
  <si>
    <t>14 NORTE 1812-12, BARRIO EL ALTO, PUEBLA, CP 72290</t>
  </si>
  <si>
    <t>1513013517</t>
  </si>
  <si>
    <t>000269</t>
  </si>
  <si>
    <t>00318</t>
  </si>
  <si>
    <t>DEPARTAMENTO DE PATRIMONIO CULTURAL</t>
  </si>
  <si>
    <t>564-935-9463</t>
  </si>
  <si>
    <t>CALLE  30 PONIENTE  106 INT 6 , MARTIRES DE TRABAJO, PUEBLA, PUE. 72290</t>
  </si>
  <si>
    <t>SUR 20, COLONIA AGRICOLA ORIENTAL, DEL. IZTCALCO, CIUDAD DE MEXICO, EXT 455, INT F017</t>
  </si>
  <si>
    <t>00378</t>
  </si>
  <si>
    <t>Analista Especializado Consultivo B</t>
  </si>
  <si>
    <t>00399</t>
  </si>
  <si>
    <t>00445</t>
  </si>
  <si>
    <t>Jefe de Departamento de Consulta y Participación</t>
  </si>
  <si>
    <t>92700115</t>
  </si>
  <si>
    <t>00028</t>
  </si>
  <si>
    <t>00226</t>
  </si>
  <si>
    <t>GAYTAN MONTIEL MIRNA</t>
  </si>
  <si>
    <t>GAMM880613MPLYNR06</t>
  </si>
  <si>
    <t>GAMM880613INA</t>
  </si>
  <si>
    <t>mirna.gaytan@puebla.gob..mx</t>
  </si>
  <si>
    <t>migamo29@hotmail.com</t>
  </si>
  <si>
    <t>222 127-8429</t>
  </si>
  <si>
    <t>AV.18 SUR #11708-1 LOS HEROES PERIFERICO PUEBLA</t>
  </si>
  <si>
    <t>Ingenieria Ambiental</t>
  </si>
  <si>
    <t>1513013623</t>
  </si>
  <si>
    <t>00290</t>
  </si>
  <si>
    <t>92700116</t>
  </si>
  <si>
    <t>00029</t>
  </si>
  <si>
    <t>00117</t>
  </si>
  <si>
    <t>MARTINEZ TENORIO ELOY</t>
  </si>
  <si>
    <t>MATE791030HPLRNL08</t>
  </si>
  <si>
    <t>MATE791030J34</t>
  </si>
  <si>
    <t>eloy.martineztenorio@outlook.com</t>
  </si>
  <si>
    <t>22-28-13-32-68</t>
  </si>
  <si>
    <t>CIRCUITO LA CIMA #36 FRAC. LA CUMBRE, CUATLANCINGO,  PUE. CP.  73640</t>
  </si>
  <si>
    <t>Postsgrado M.C. en estrategias para el desarrollo Agrícola Regional</t>
  </si>
  <si>
    <t>1513013461</t>
  </si>
  <si>
    <t>00128</t>
  </si>
  <si>
    <t>00152</t>
  </si>
  <si>
    <t>92700117</t>
  </si>
  <si>
    <t>00030</t>
  </si>
  <si>
    <t>00109</t>
  </si>
  <si>
    <t>PONCE TORRES ADRIAN</t>
  </si>
  <si>
    <t>POTA720305HPLNRD05</t>
  </si>
  <si>
    <t>POTA720305DF0</t>
  </si>
  <si>
    <t>DEPARTAMENTO DE FOMENTO A LA ECONOMIA INDIGENA</t>
  </si>
  <si>
    <t>adrianponcetorres@outlook.com</t>
  </si>
  <si>
    <t>23-61-14-64-54</t>
  </si>
  <si>
    <t>REFORMA 813, CENTRO ZINACATEPEC, PUE.</t>
  </si>
  <si>
    <t>Pasante Licenciatura Biologia</t>
  </si>
  <si>
    <t>1513013801</t>
  </si>
  <si>
    <t>92700118</t>
  </si>
  <si>
    <t>00031</t>
  </si>
  <si>
    <t>00110</t>
  </si>
  <si>
    <t>RIVERA ALBA NORBERTO</t>
  </si>
  <si>
    <t>RIAN950606HPLVLR02</t>
  </si>
  <si>
    <t>RIAN950606M18</t>
  </si>
  <si>
    <t>norberto.rivera@puebla.gob.mx</t>
  </si>
  <si>
    <t>22-23-40-27-92</t>
  </si>
  <si>
    <t>CALLE ALLENDE NO 1605  COLONIA ZINACATEPEC ZINACATEPEC PUEBLA</t>
  </si>
  <si>
    <t>Ingenieria en Procesos Bioalimentarios</t>
  </si>
  <si>
    <t>1502939694</t>
  </si>
  <si>
    <t>00155</t>
  </si>
  <si>
    <t>00227</t>
  </si>
  <si>
    <t>222 340-2792</t>
  </si>
  <si>
    <t>CALLE ALLENDE  1605  COLONIA ZINACATEPEC PUEBLA</t>
  </si>
  <si>
    <t>00292</t>
  </si>
  <si>
    <t>CALLE ALLENDE NO. EXT. 1605 COL CENTRO ZINACATEPEC PUEBLA.</t>
  </si>
  <si>
    <t>92700119</t>
  </si>
  <si>
    <t>00033</t>
  </si>
  <si>
    <t>00123</t>
  </si>
  <si>
    <t>ROMERO RIVERA CAROLINA</t>
  </si>
  <si>
    <t>RORC910607MPLMVR09</t>
  </si>
  <si>
    <t>RORC910607LE6</t>
  </si>
  <si>
    <t>mis_mcr_07@hotmail.com</t>
  </si>
  <si>
    <t>22-21-81-17-27</t>
  </si>
  <si>
    <t>CALLE NICOLAS BRAVO #25-2, COL. SAN MIGUEL, PUEBLA, PUE</t>
  </si>
  <si>
    <t>1513013738</t>
  </si>
  <si>
    <t>00124</t>
  </si>
  <si>
    <t>92700120</t>
  </si>
  <si>
    <t>00034</t>
  </si>
  <si>
    <t>00293</t>
  </si>
  <si>
    <t>RAMIREZ ROJAS HILARIO</t>
  </si>
  <si>
    <t>RARH520628HPLMJL06</t>
  </si>
  <si>
    <t>RARH52062893A</t>
  </si>
  <si>
    <t>JEFE DE DEPARTAMENTO DE INVESTIGACIÓN</t>
  </si>
  <si>
    <t>DEPARTAMENTO DE INVESTIGACIÓN</t>
  </si>
  <si>
    <t>hilario.ramirez@puebla.gob.mx</t>
  </si>
  <si>
    <t>hilarioramirezrojas1952@gmail.com</t>
  </si>
  <si>
    <t>222 120-8488</t>
  </si>
  <si>
    <t xml:space="preserve">CALLE SAN PEDRO #36, SANTA MARIA CUAUTLANCINGO,PUE. </t>
  </si>
  <si>
    <t>Maestria en Salud Intercultural y Maestría en Salud Pública</t>
  </si>
  <si>
    <t>2926242367</t>
  </si>
  <si>
    <t>92700121</t>
  </si>
  <si>
    <t>00035</t>
  </si>
  <si>
    <t>00097</t>
  </si>
  <si>
    <t>MOLINA BONILLA FLOR GERTRUDIS</t>
  </si>
  <si>
    <t>MOBF640707MPLLNL08</t>
  </si>
  <si>
    <t>MOBF640707GH5</t>
  </si>
  <si>
    <t>JEFE DE DEPARTAMENTO DE PATRIMONIO CULTURAL</t>
  </si>
  <si>
    <t>itzmixochitl07@hotmail.com</t>
  </si>
  <si>
    <t>22-24-46-34-20</t>
  </si>
  <si>
    <t>CALLE 37 NT #1437, COL. VILLA SAN ALEJANDRO, PUEBLA, PUE. CP 72090</t>
  </si>
  <si>
    <t>1513013690</t>
  </si>
  <si>
    <t>92700122</t>
  </si>
  <si>
    <t>00036</t>
  </si>
  <si>
    <t>00092</t>
  </si>
  <si>
    <t>JIMENEZ CARMONA YURIDIA</t>
  </si>
  <si>
    <t>JICY970919MPLMRR08</t>
  </si>
  <si>
    <t>JICY970919DQ6</t>
  </si>
  <si>
    <t>JEFE DE DEPARTAMENTO DE EQUIDAD Y FORTALECIMIENTO DE CAPACIDADES</t>
  </si>
  <si>
    <t>DEPARTAMENTO DE EQUIDAD Y FORTALECIMIENTO DE CAPACIDADES</t>
  </si>
  <si>
    <t>yuridiaa190997@gmail.com</t>
  </si>
  <si>
    <t>23-31-16-14-47</t>
  </si>
  <si>
    <t xml:space="preserve">CALLE NIÑOS HEROES #96, XOCHITLAN, PUE. CP 73460 </t>
  </si>
  <si>
    <t>Licenciatura en Derecho con Enfoque Intercultural</t>
  </si>
  <si>
    <t>1513013704</t>
  </si>
  <si>
    <t>92700123</t>
  </si>
  <si>
    <t>00037</t>
  </si>
  <si>
    <t>00144</t>
  </si>
  <si>
    <t>FLORES ALTAMIRANO ALEJANDRO</t>
  </si>
  <si>
    <t>FOAA881201HPLLLL00</t>
  </si>
  <si>
    <t>FOAA8812017D2</t>
  </si>
  <si>
    <t>alexenebro@gmail.com</t>
  </si>
  <si>
    <t>22-11-96-95-86</t>
  </si>
  <si>
    <t>AV. DE LAS FLORES 1924, SAN JOSE DE LAS FLORES AMOZOC, PUE. CP 75970</t>
  </si>
  <si>
    <t>Licenciatura en Sociologia y Ciencias Sociales</t>
  </si>
  <si>
    <t>1513013585</t>
  </si>
  <si>
    <t>92700124</t>
  </si>
  <si>
    <t>00038</t>
  </si>
  <si>
    <t>00093</t>
  </si>
  <si>
    <t>ROMERO CONTRERAS GUADALUPE ITZEL</t>
  </si>
  <si>
    <t>ROCG920528MPLMND05</t>
  </si>
  <si>
    <t>ROCG920528733</t>
  </si>
  <si>
    <t>itzelrc9228@gmail.com</t>
  </si>
  <si>
    <t>DIAGONAL 19 PTE 2508 INT #5 COL.SANTA CRUZ DE LOS ANGELES, PUE. PUE</t>
  </si>
  <si>
    <t>1571078828</t>
  </si>
  <si>
    <t>92700125</t>
  </si>
  <si>
    <t>00039</t>
  </si>
  <si>
    <t>00098</t>
  </si>
  <si>
    <t>CORDERO CORDERO MARIA ELENA</t>
  </si>
  <si>
    <t>COCE950306MPLRRL00</t>
  </si>
  <si>
    <t>COCE950306KT1</t>
  </si>
  <si>
    <t>coce.jelen18@gmail.com</t>
  </si>
  <si>
    <t>22-27-64-63-53</t>
  </si>
  <si>
    <t>CALLE XOXOCOYOTL S/N, SAN ANDRAS AZUMIATLA, PUE. CP 72960</t>
  </si>
  <si>
    <t>Licenciatura en Fisioterapia</t>
  </si>
  <si>
    <t>1513013615</t>
  </si>
  <si>
    <t>92700126</t>
  </si>
  <si>
    <t>00040</t>
  </si>
  <si>
    <t>00094</t>
  </si>
  <si>
    <t>NAVA BAEZ LUIS ANTONIO</t>
  </si>
  <si>
    <t>NABL960422HPLVZS04</t>
  </si>
  <si>
    <t>NABL960422DR7</t>
  </si>
  <si>
    <t>luisnb96@gmail.com</t>
  </si>
  <si>
    <t>22-25-49-45-74</t>
  </si>
  <si>
    <t>CALLE MORELOS 87, CENTRO, CAXHUACAN, PUE. CP 73520</t>
  </si>
  <si>
    <t>1513013748</t>
  </si>
  <si>
    <t>92700127</t>
  </si>
  <si>
    <t>00042</t>
  </si>
  <si>
    <t>00096</t>
  </si>
  <si>
    <t>ACUAPAN CARREON ANGEL JESUS</t>
  </si>
  <si>
    <t>AUCA890602HPLCRN03</t>
  </si>
  <si>
    <t>AUCA890602KH7</t>
  </si>
  <si>
    <t>SECRETARIO</t>
  </si>
  <si>
    <t>angel.acuapan@puebla.gob.mx</t>
  </si>
  <si>
    <t>angelacuapan@hotmail.com</t>
  </si>
  <si>
    <t>22-11-94-20-82</t>
  </si>
  <si>
    <t>PRIVADA 5 DE MAYO ORIENTE 8, COMALTEPEC, ZACAPOAXTLA, PUE CP 73680</t>
  </si>
  <si>
    <t>Licenciatura en Educación Física</t>
  </si>
  <si>
    <t>2924576160</t>
  </si>
  <si>
    <t>00120</t>
  </si>
  <si>
    <t>00221</t>
  </si>
  <si>
    <t>221 194-2082</t>
  </si>
  <si>
    <t xml:space="preserve">PRIVADA 5 DE MAYO ORIENTE 8, COMALTEPEC, ZACAPOAXTLA, PUE </t>
  </si>
  <si>
    <t>00284</t>
  </si>
  <si>
    <t>CALLE 16 DE SEPTIEMBRE SUR NUM EXT 21 ZACAPOAXTLA  PUEBLA CP 73680</t>
  </si>
  <si>
    <t>92700128</t>
  </si>
  <si>
    <t>00044</t>
  </si>
  <si>
    <t>00133</t>
  </si>
  <si>
    <t>ACO CORTES MARCO ALONSO</t>
  </si>
  <si>
    <t>AOCM620320HPLCRR00</t>
  </si>
  <si>
    <t>AOCM620320DB5</t>
  </si>
  <si>
    <t>acortes.1@hotmail.com</t>
  </si>
  <si>
    <t>22-21-92-31-21</t>
  </si>
  <si>
    <t>REFUGIO S. CARMON #22, HUITZILAN DE SERDAN, PUE. CP 73450</t>
  </si>
  <si>
    <t>1513013720</t>
  </si>
  <si>
    <t>92700129</t>
  </si>
  <si>
    <t>00045</t>
  </si>
  <si>
    <t>00125</t>
  </si>
  <si>
    <t>SOLIS GABRIEL MIGUEL</t>
  </si>
  <si>
    <t>SOGM820719HPLLBG00</t>
  </si>
  <si>
    <t>SOGM820719AF5</t>
  </si>
  <si>
    <t>miguel.solis@puebla.gob.mx</t>
  </si>
  <si>
    <t>ngiva_mx@outlook.com</t>
  </si>
  <si>
    <t>23-81-19-10-37</t>
  </si>
  <si>
    <t>CALLE INDEPENDENCIA 26  SAN JUAN ATZINGO SAN GABRIEL CHILAC PUEBLA</t>
  </si>
  <si>
    <t>Bachillerato y Diplomado Fortalecimiento a Colectivo y Organizaciones</t>
  </si>
  <si>
    <t>1513013593</t>
  </si>
  <si>
    <t>00138</t>
  </si>
  <si>
    <t>00147</t>
  </si>
  <si>
    <t>00245</t>
  </si>
  <si>
    <t>238 119-1037</t>
  </si>
  <si>
    <t>000261</t>
  </si>
  <si>
    <t>OFICNA REGIONAL TEHUACAN</t>
  </si>
  <si>
    <t>CALLE INDEPENDENCIA NUM EXT 26 LOC. SAN JUAN ATZINGO MUNICIPIO SAN GABRIEL CHILAC, PUEBLA C.P 75885</t>
  </si>
  <si>
    <t>92700130</t>
  </si>
  <si>
    <t>00046</t>
  </si>
  <si>
    <t>00112</t>
  </si>
  <si>
    <t>GASPAR DORANTES SERGIO EDUARDO</t>
  </si>
  <si>
    <t>GADS960525HPLSRR00</t>
  </si>
  <si>
    <t>GADS960525T64</t>
  </si>
  <si>
    <t>lic.gasparde524@gmail.com</t>
  </si>
  <si>
    <t>23-81-44-70-25</t>
  </si>
  <si>
    <t>LAZARO CARDENAS #5, CENTRO, SAN JOSE MIHUATLAN, CP 75970</t>
  </si>
  <si>
    <t>1513013649</t>
  </si>
  <si>
    <t>92700131</t>
  </si>
  <si>
    <t>00047</t>
  </si>
  <si>
    <t>00047-1</t>
  </si>
  <si>
    <t>FLORES NAJERA LUCERO</t>
  </si>
  <si>
    <t>FONL850618MTLLJC08</t>
  </si>
  <si>
    <t>FONL850618915</t>
  </si>
  <si>
    <t>DIRECTORA ACADEMIA DE LAS LENGUAS INDÍGENAS</t>
  </si>
  <si>
    <t>lucero.flores.najera@gmail.com</t>
  </si>
  <si>
    <t>22-14-39-07-03</t>
  </si>
  <si>
    <t xml:space="preserve">CALLE GUACAMAYA #1, COL DEL VALLE, NATIVITAS, TLAXCALA. CP </t>
  </si>
  <si>
    <t>Licenciatura en Lingüística Aplicada</t>
  </si>
  <si>
    <t>1513013682</t>
  </si>
  <si>
    <t>92700132</t>
  </si>
  <si>
    <t>00050</t>
  </si>
  <si>
    <t>00232</t>
  </si>
  <si>
    <t>ALDANA RAMIREZ ZAHIRA</t>
  </si>
  <si>
    <t>AARZ950820MPLLMH05</t>
  </si>
  <si>
    <t>AARZ950820LC4</t>
  </si>
  <si>
    <t>zahira.aldana@puebla.gob.mx</t>
  </si>
  <si>
    <t>zahiraaldanaramirez@gmail.com</t>
  </si>
  <si>
    <t>221-108-4812</t>
  </si>
  <si>
    <t>BLV NEZAHUALCOYOTL 4 C COLONIA 3 CRUCES 72595, PUE</t>
  </si>
  <si>
    <t>Licenciatura en Ciencias de la comunicación y Tec. En Informática</t>
  </si>
  <si>
    <t>1524492610</t>
  </si>
  <si>
    <t>00343</t>
  </si>
  <si>
    <t>BLVD. NEZAHUALCOYOTL NUM EXT 4C IN S/N COL TREC CRUCES PUEBLA, PUE C.P. 72595</t>
  </si>
  <si>
    <t>00380</t>
  </si>
  <si>
    <t>OFICINA DE REPRESENTACIÓN ZACAPOAXTLA</t>
  </si>
  <si>
    <t>DIRECCIÓN DE OFICINAS DE REPRESENTACIÓN</t>
  </si>
  <si>
    <t>00435</t>
  </si>
  <si>
    <t>Analista Especializado Consultivo C</t>
  </si>
  <si>
    <t>Jefe de Departamento de Formación de Traductores e Intérpretes</t>
  </si>
  <si>
    <t>92700133</t>
  </si>
  <si>
    <t>00054</t>
  </si>
  <si>
    <t>00191</t>
  </si>
  <si>
    <t>RAMIREZ PEREZ ALONDRA NAYELY</t>
  </si>
  <si>
    <t>RAPA950906MPLMRL07</t>
  </si>
  <si>
    <t>RAPA950906IH9</t>
  </si>
  <si>
    <t>DEPARTAMENTO DE RECURSOS MATERIALES Y SERVICIOS GENERALES</t>
  </si>
  <si>
    <t>alondra.ramirez@puebla.gob.mx</t>
  </si>
  <si>
    <t>al_nay06@hotmail.com</t>
  </si>
  <si>
    <t>221-122-0078</t>
  </si>
  <si>
    <t>PRIV TLATOANI #6 AZCAPOTZALCO PUEBLA</t>
  </si>
  <si>
    <t>1513013674</t>
  </si>
  <si>
    <t>00238</t>
  </si>
  <si>
    <t>00305</t>
  </si>
  <si>
    <t>92700134</t>
  </si>
  <si>
    <t>00055</t>
  </si>
  <si>
    <t>00199</t>
  </si>
  <si>
    <t>TECANHUEY CUAUTLE LUIS ALBERTO</t>
  </si>
  <si>
    <t>TECL930219HPLCTS06</t>
  </si>
  <si>
    <t>TECL930219LR0</t>
  </si>
  <si>
    <t>CAMBIO  PLAZA</t>
  </si>
  <si>
    <t>luis.tecanhuey@puebla.gob.mx</t>
  </si>
  <si>
    <t>lubetec39@gmail.com</t>
  </si>
  <si>
    <t>222-327-7383</t>
  </si>
  <si>
    <t>CALLE 5 DE FEBRERO SUR #116  BARRIO ANALCO CORONANGO PUEBLA</t>
  </si>
  <si>
    <t>Licenciatura en Contabilidad</t>
  </si>
  <si>
    <t>1513013789</t>
  </si>
  <si>
    <t>00234</t>
  </si>
  <si>
    <t>22-23-27-73-83</t>
  </si>
  <si>
    <t>00392</t>
  </si>
  <si>
    <t>92700135</t>
  </si>
  <si>
    <t>00058</t>
  </si>
  <si>
    <t>00070</t>
  </si>
  <si>
    <t>CARRERA MERINO HUGO FLORENCIO</t>
  </si>
  <si>
    <t>CAMH780126MPLRRG06</t>
  </si>
  <si>
    <t>CAMH780126NN0</t>
  </si>
  <si>
    <t>hugocarreramerino@gmail.com</t>
  </si>
  <si>
    <t>23-81-86-49-72</t>
  </si>
  <si>
    <t>TECOLOTEPEC S/N, SAN SEBASTIAN TLACOTEPEC, PUE.</t>
  </si>
  <si>
    <t>Bachillerato en Informática</t>
  </si>
  <si>
    <t>1513013712</t>
  </si>
  <si>
    <t>00126</t>
  </si>
  <si>
    <t>00140</t>
  </si>
  <si>
    <t>92700136</t>
  </si>
  <si>
    <t>00059</t>
  </si>
  <si>
    <t>00231</t>
  </si>
  <si>
    <t>SOLIS MORALES KATHY LUCERO</t>
  </si>
  <si>
    <t>SOMK890621MOCLRT07</t>
  </si>
  <si>
    <t>SOMK890621CX2</t>
  </si>
  <si>
    <t>CAMBIO ADSCRIPCION</t>
  </si>
  <si>
    <t>kathy.solis@puebla.gob.mx</t>
  </si>
  <si>
    <t>kathy_solis21@hotmail.com</t>
  </si>
  <si>
    <t>238-103-4266</t>
  </si>
  <si>
    <t>1ERA PRIV. DE LA 11 SUR #914 NICOLAS BRAVO TEHUACAN PUEBLA</t>
  </si>
  <si>
    <t>1513013534</t>
  </si>
  <si>
    <t>00299</t>
  </si>
  <si>
    <t>DIRECCION DE OFICINAS REGIONALES</t>
  </si>
  <si>
    <t>238 103-4266</t>
  </si>
  <si>
    <t>92700137</t>
  </si>
  <si>
    <t>00060</t>
  </si>
  <si>
    <t>00150</t>
  </si>
  <si>
    <t>ARENAS CABRERA ARCANGEL ADAN</t>
  </si>
  <si>
    <t>AECA720213HVZRBR03</t>
  </si>
  <si>
    <t>AECA7202139T1</t>
  </si>
  <si>
    <t>072 OFICINA REGIONAL HUEHUETLA</t>
  </si>
  <si>
    <t>aarcangel2905@gmail.com</t>
  </si>
  <si>
    <t>23-31-28-94-97</t>
  </si>
  <si>
    <t xml:space="preserve">CAMINO A CHAGCHALOYAN, TOTUTLA, HUTZILAN DE SERDAN, PUE. CP </t>
  </si>
  <si>
    <t>Ingeniero Agrónomo</t>
  </si>
  <si>
    <t>1513013608</t>
  </si>
  <si>
    <t>92700138</t>
  </si>
  <si>
    <t>00061</t>
  </si>
  <si>
    <t>00159</t>
  </si>
  <si>
    <t>VIVEROS NARCISO MANUEL</t>
  </si>
  <si>
    <t>VINM630312HPLVRN01</t>
  </si>
  <si>
    <t>VINM6303126B0</t>
  </si>
  <si>
    <t>174 OFICNA REGIONAL TEZIUTLÁN</t>
  </si>
  <si>
    <t>manuel.viveros@puebla.gob.mx</t>
  </si>
  <si>
    <t>soreviv12@hotmail.com</t>
  </si>
  <si>
    <t>23-11-16-20-42</t>
  </si>
  <si>
    <t>VICENTE GUERRERO #2 , COL. CENTRO. YAONAHUAC, PUE.</t>
  </si>
  <si>
    <t>0473319504</t>
  </si>
  <si>
    <t>92700139</t>
  </si>
  <si>
    <t>00062</t>
  </si>
  <si>
    <t>00102</t>
  </si>
  <si>
    <t>EXTOCAPAN MOLINA SARAI</t>
  </si>
  <si>
    <t>EOMS860918MPLXLR03</t>
  </si>
  <si>
    <t>EOMS860918CQ5</t>
  </si>
  <si>
    <t>093 OFICNA REGIONAL LA FRAGUA</t>
  </si>
  <si>
    <t>saraixoye_biol@hotmail.com</t>
  </si>
  <si>
    <t>23-31-35-25-16</t>
  </si>
  <si>
    <t>1513013550</t>
  </si>
  <si>
    <t>92700140</t>
  </si>
  <si>
    <t>00064</t>
  </si>
  <si>
    <t>00106</t>
  </si>
  <si>
    <t>SANTOS OXPAHUAXTA CRISOSTOMO</t>
  </si>
  <si>
    <t>SAOC870217HPLNXR01</t>
  </si>
  <si>
    <t>SAOC8702176K2</t>
  </si>
  <si>
    <t>khryz_santos@hotmail.com</t>
  </si>
  <si>
    <t>23-31-21-49-17</t>
  </si>
  <si>
    <t>CALLE OXPAHUAXTA, TAHITIC, ZACAPOAXTLA, PUE.</t>
  </si>
  <si>
    <t>Licenciatura en Biologia</t>
  </si>
  <si>
    <t>1513013666</t>
  </si>
  <si>
    <t>92700141</t>
  </si>
  <si>
    <t>00065</t>
  </si>
  <si>
    <t>00115</t>
  </si>
  <si>
    <t>SANTOS VALERIO ARACELI CAROLINA</t>
  </si>
  <si>
    <t>SAVA790922MPLNLR07</t>
  </si>
  <si>
    <t>SAVA790922PJ4</t>
  </si>
  <si>
    <t>araceli.santos@puebla.gob.mx</t>
  </si>
  <si>
    <t>skaro.line97@hotmail.com</t>
  </si>
  <si>
    <t>23-33-14-30-26</t>
  </si>
  <si>
    <t>16 DE SEPTIEMBRE NTE 10, XALACAPAN, ZACAPOAXTLA, PUE.CP 73688</t>
  </si>
  <si>
    <t>Licenciatura Picologia Eductiva</t>
  </si>
  <si>
    <t>2649156739</t>
  </si>
  <si>
    <t>00151</t>
  </si>
  <si>
    <t>00167</t>
  </si>
  <si>
    <t>207 OFICINA REGIONAL ZACAPOAXTLA</t>
  </si>
  <si>
    <t>92700142</t>
  </si>
  <si>
    <t>00066</t>
  </si>
  <si>
    <t>00114</t>
  </si>
  <si>
    <t>AMADOR CASTRO ALFREDO</t>
  </si>
  <si>
    <t>AACA800120HHGMSL05</t>
  </si>
  <si>
    <t>AACA8001201Q0</t>
  </si>
  <si>
    <t>OFICINA REGIONAL HUAHUICHINANGO</t>
  </si>
  <si>
    <t>fredy_amador_33@hotmail.com</t>
  </si>
  <si>
    <t>79-71-23-30-38</t>
  </si>
  <si>
    <t>CALLE BENITO JUAREZ S/N, CENTRO, AHUAZOTEPEC, PUE. CP 73190</t>
  </si>
  <si>
    <t>1513013542</t>
  </si>
  <si>
    <t>92700143</t>
  </si>
  <si>
    <t>00067</t>
  </si>
  <si>
    <t>00108</t>
  </si>
  <si>
    <t>LEMUS DE JESUS DOLORES CECILIA</t>
  </si>
  <si>
    <t>LEJD830209MPLMSL08</t>
  </si>
  <si>
    <t>LEJD830209719</t>
  </si>
  <si>
    <t>cylove926@hotmail.com</t>
  </si>
  <si>
    <t>23-11-16-05-06</t>
  </si>
  <si>
    <t>AV. 1ERO  DE MAYO #33, COL. SAN AMBROSIO, ATEMPAN, PUE</t>
  </si>
  <si>
    <t>1513013819</t>
  </si>
  <si>
    <t>92700144</t>
  </si>
  <si>
    <t>00068</t>
  </si>
  <si>
    <t>00105</t>
  </si>
  <si>
    <t>RAMOS PEREZ OSCAR EMMANUEL</t>
  </si>
  <si>
    <t>RAPO770321HPLMRS01</t>
  </si>
  <si>
    <t>RAPO770321CT9</t>
  </si>
  <si>
    <t>ramosemmanuel197@gmail.com</t>
  </si>
  <si>
    <t xml:space="preserve">CALLE 5 DE FEBRERO #411 A , CENTRO XIUTETELCO, PUE. </t>
  </si>
  <si>
    <t>1513013568</t>
  </si>
  <si>
    <t>92700145</t>
  </si>
  <si>
    <t>00076</t>
  </si>
  <si>
    <t>00230</t>
  </si>
  <si>
    <t>NARCISO MATA FELIX</t>
  </si>
  <si>
    <t>NAMF710824HPLRTL07</t>
  </si>
  <si>
    <t>NAMF710824QE2</t>
  </si>
  <si>
    <t>felix.narciso@puebla.gob.mx</t>
  </si>
  <si>
    <t>felixnarciso16@hotmail.com</t>
  </si>
  <si>
    <t>236-105-9905</t>
  </si>
  <si>
    <t>CALLE DANIEL GONZALEZ #418 CENTRO ALTEPEXI, ,PUE</t>
  </si>
  <si>
    <t>1515958748</t>
  </si>
  <si>
    <t>00296</t>
  </si>
  <si>
    <t>CALLE DANIEL GONZALEZ NO. EXT 418 COL. CENTRO ALEPEXI, PUEBLA C.P. 75950</t>
  </si>
  <si>
    <t>92700146</t>
  </si>
  <si>
    <t>00071</t>
  </si>
  <si>
    <t>00103</t>
  </si>
  <si>
    <t>NAVA MUNIVE ELIZABETH</t>
  </si>
  <si>
    <t>NAME841026MPLVNL05</t>
  </si>
  <si>
    <t>NAME841026IT8</t>
  </si>
  <si>
    <t>elinamedu@hotmail.com</t>
  </si>
  <si>
    <t>22-23-45-08-33</t>
  </si>
  <si>
    <t>C 3 NORTE 1627, COL. VISTA DEL VALLE, PUEBLA. PUE. CP 72100</t>
  </si>
  <si>
    <t>1501185060</t>
  </si>
  <si>
    <t>92700147</t>
  </si>
  <si>
    <t>00072</t>
  </si>
  <si>
    <t>00176</t>
  </si>
  <si>
    <t>LUCAS JUAREZ CRUZ ALEJANDRA</t>
  </si>
  <si>
    <t>LUJC970502MPLCRR01</t>
  </si>
  <si>
    <t>LUJC970502275</t>
  </si>
  <si>
    <t>cruz.lucas@puebla.gob.mx</t>
  </si>
  <si>
    <t>cruz.lkjz@gmail.com</t>
  </si>
  <si>
    <t>233-103-93-93</t>
  </si>
  <si>
    <t>CAMINO A ZAPOTITLAN S/N, COLONIA TUXTLA, ZAPOTOTLAN DE MENDEZ, PUE. CP 73440</t>
  </si>
  <si>
    <t>Licenciatura en Lengua y Cultura</t>
  </si>
  <si>
    <t>1515958765</t>
  </si>
  <si>
    <t>92700148</t>
  </si>
  <si>
    <t>00074</t>
  </si>
  <si>
    <t>00090</t>
  </si>
  <si>
    <t>PAREDES FRANCISCO MARIA ANGELICA</t>
  </si>
  <si>
    <t>PAFA870929MPLRRN04</t>
  </si>
  <si>
    <t>PAFA870929JZ9</t>
  </si>
  <si>
    <t>maria.paredesf@puebla.gob.mx</t>
  </si>
  <si>
    <t>22-23-41-93-12</t>
  </si>
  <si>
    <t>PLAZA EM 5 EDIF E 31-7 U. HAB. AGUA SANTA PUEBLA 72490</t>
  </si>
  <si>
    <t>1509083960</t>
  </si>
  <si>
    <t>00119</t>
  </si>
  <si>
    <t>00223</t>
  </si>
  <si>
    <t>222 341-9312</t>
  </si>
  <si>
    <t>PLAZA EM 5 EDIF E 31-7 U. HAB. AGUA SANTA PUEBLA</t>
  </si>
  <si>
    <t>00374</t>
  </si>
  <si>
    <t>SECRETARIA TÉCNICA</t>
  </si>
  <si>
    <t>CALLE PLAZA EM5  NO INT. 7 EXT. EDIFICIO E 31 UNIDAD AGUA SANTA PUEBLA PUE. C.P. 72490</t>
  </si>
  <si>
    <t>92700149</t>
  </si>
  <si>
    <t>00075</t>
  </si>
  <si>
    <t>00091</t>
  </si>
  <si>
    <t>CONDE GUADARRAMA RAQUEL</t>
  </si>
  <si>
    <t>COGR790223MDFNDQ04</t>
  </si>
  <si>
    <t>COGR790223KR2</t>
  </si>
  <si>
    <t>JEFE DE DEPARTAMENTO DE INVESTIGACIÓN DE LENGUAS INDÍGENAS</t>
  </si>
  <si>
    <t>gucorasan_97@hotmail.com</t>
  </si>
  <si>
    <t>246-217-02-79</t>
  </si>
  <si>
    <t>VENECIA 1-A SN. FCO, COL. LA PEDRERA, TOTOLAC, TLAXCALA, CP. 90160</t>
  </si>
  <si>
    <t>Maestria en Lingüística</t>
  </si>
  <si>
    <t>92700150</t>
  </si>
  <si>
    <t>00077</t>
  </si>
  <si>
    <t>00197</t>
  </si>
  <si>
    <t>FIGUEROA BLAZQUEZ JOSAFAT ISAAC</t>
  </si>
  <si>
    <t>FIBJ940928HPLGLS09</t>
  </si>
  <si>
    <t>FIBJ9409286Y4</t>
  </si>
  <si>
    <t>JEFE DE DEPARTAMENTO DE RECURSOS MATERIALES Y SERVICIOS GENERALES</t>
  </si>
  <si>
    <t>josafat.figueroa@puebla.gob.mx</t>
  </si>
  <si>
    <t>fisaac2468@gmail.com</t>
  </si>
  <si>
    <t>22-25-32-50-00</t>
  </si>
  <si>
    <t>CALLE RETORNO AZALEA 38 C U.HAB. LAS MERCEDES 1 PUEBLA</t>
  </si>
  <si>
    <t>1519869053</t>
  </si>
  <si>
    <t>92700151</t>
  </si>
  <si>
    <t>00078</t>
  </si>
  <si>
    <t>00104</t>
  </si>
  <si>
    <t>HERNANDEZ GABIÑO YULI</t>
  </si>
  <si>
    <t>HEGY940920MPLRVL03</t>
  </si>
  <si>
    <t>HEGY9409205B4</t>
  </si>
  <si>
    <t>yuliher94@hotmail.com.mx</t>
  </si>
  <si>
    <t>797-110-24-60</t>
  </si>
  <si>
    <t>CALLE SIN NOMBRE, HUEYTENTAN, CUATEMPAN. PUE.</t>
  </si>
  <si>
    <t>Licenciatura en Educación Indígena</t>
  </si>
  <si>
    <t>1534689570</t>
  </si>
  <si>
    <t>92700152</t>
  </si>
  <si>
    <t>00079</t>
  </si>
  <si>
    <t>00158</t>
  </si>
  <si>
    <t>BECERRIL CIPRIANO ALBERTO</t>
  </si>
  <si>
    <t>BECA570807HPLCPL09</t>
  </si>
  <si>
    <t>BECA570807K95</t>
  </si>
  <si>
    <t>kuesalkonet@gmail.com</t>
  </si>
  <si>
    <t>23-31-03-93-74</t>
  </si>
  <si>
    <t>CALLE TALIKAN #12, COL. LOS CRISTALES, ZACAPOAXTLA, PUE. C.P. 73680</t>
  </si>
  <si>
    <t>Mestria en Educación, Campo y Formación Docente</t>
  </si>
  <si>
    <t>1513013797</t>
  </si>
  <si>
    <t>92700153</t>
  </si>
  <si>
    <t>00080</t>
  </si>
  <si>
    <t>00246</t>
  </si>
  <si>
    <t>LOPEZ LUCAS ISMAEL</t>
  </si>
  <si>
    <t>LOLI630203HPLPCS00</t>
  </si>
  <si>
    <t>LOLI630203NE5</t>
  </si>
  <si>
    <t>169 OFICINA REGIONAL TEPEXI DE RODRÍGUEZ</t>
  </si>
  <si>
    <t>ismael.lopez@puebla.gob.mx</t>
  </si>
  <si>
    <t>tentzo@hotmail.com</t>
  </si>
  <si>
    <t>224-105-2028</t>
  </si>
  <si>
    <t>CALLE FELIPE GARCIA # 14  TEPEXI TEPEXI DE RODRIGUEZ PUEBLA</t>
  </si>
  <si>
    <t>1298142505</t>
  </si>
  <si>
    <t>92700154</t>
  </si>
  <si>
    <t>00081</t>
  </si>
  <si>
    <t>00089</t>
  </si>
  <si>
    <t>MATAMOROS MONDRAGON DANIELA</t>
  </si>
  <si>
    <t>MAMD940706MPLTNN03</t>
  </si>
  <si>
    <t>MAMD940706BE5</t>
  </si>
  <si>
    <t>dano.-mondragon@gmail.com</t>
  </si>
  <si>
    <t>22-24-36-24-12</t>
  </si>
  <si>
    <t>Licenciatura en Comunicación</t>
  </si>
  <si>
    <t>92700155</t>
  </si>
  <si>
    <t>00085</t>
  </si>
  <si>
    <t>00278</t>
  </si>
  <si>
    <t>MARTINEZ CARRERA GLORIA</t>
  </si>
  <si>
    <t>MACG760715MOCRRL06</t>
  </si>
  <si>
    <t>MACG760715LV9</t>
  </si>
  <si>
    <t>gloria.martinez@puebla.gob.mx</t>
  </si>
  <si>
    <t>gkarrera1976@gmail.com</t>
  </si>
  <si>
    <t>551 225-9058</t>
  </si>
  <si>
    <t>CALLE BELEN MANZANA E LOTE 2  NUEVA SAN SALVADOR PUEBLA</t>
  </si>
  <si>
    <t>CALLE ECONOMISTAS NO. INTERIOR 21 EXT. 77 COL EL TIUNFO C.P. 09430</t>
  </si>
  <si>
    <t>Maestria en Lingüística Indoamericana</t>
  </si>
  <si>
    <t>462135671</t>
  </si>
  <si>
    <t>92700156</t>
  </si>
  <si>
    <t>00083</t>
  </si>
  <si>
    <t>000107-1</t>
  </si>
  <si>
    <t>VELASCO HUERTA MARLEN</t>
  </si>
  <si>
    <t>VEHM880919MPLLRR03</t>
  </si>
  <si>
    <t>VEHM880919BQ0</t>
  </si>
  <si>
    <t>marlen.velasco@puebla.gob.mx</t>
  </si>
  <si>
    <t>marvelasco38@gmail.com</t>
  </si>
  <si>
    <t>22-41-00-48-77</t>
  </si>
  <si>
    <t>Licenciatura en Administración</t>
  </si>
  <si>
    <t>92700157</t>
  </si>
  <si>
    <t>CANCELADO</t>
  </si>
  <si>
    <t>92700158</t>
  </si>
  <si>
    <t>CASTILLO MORALES IDALIA</t>
  </si>
  <si>
    <t>CAMI700922MTSSRD01</t>
  </si>
  <si>
    <t>CAMI700922</t>
  </si>
  <si>
    <t>JOSEFA ORTIZ DE DOIMGUEZ 5 INT. D-11, COL. INSURGENTES ORIENTE, PUEBLA, PUE CP 72540</t>
  </si>
  <si>
    <t>92700159</t>
  </si>
  <si>
    <t>00146</t>
  </si>
  <si>
    <t>00182</t>
  </si>
  <si>
    <t>BALTAZAR MARIN RAFAEL</t>
  </si>
  <si>
    <t>BAMR860105HPLLRF08</t>
  </si>
  <si>
    <t>BAMR860105UU3</t>
  </si>
  <si>
    <t>rafael.baltazar@puebla.gob.mx</t>
  </si>
  <si>
    <t>rafa_tlatolli@hotmail.com</t>
  </si>
  <si>
    <t>236-110-53-33</t>
  </si>
  <si>
    <t>CALLE NICOLAS BRAVO S/N, COL CENTRO SAN JOSE MIAHUATLAN CP  75970</t>
  </si>
  <si>
    <t>Licenciatura en educación Indígena</t>
  </si>
  <si>
    <t>00298</t>
  </si>
  <si>
    <t>236-110-5333</t>
  </si>
  <si>
    <t xml:space="preserve">CALLE NICOLAS BRAVO S/N, COL CENTRO SAN JOSE MIAHUATLAN </t>
  </si>
  <si>
    <t>CALLE NICOLAS BRAVO SN COL. CENTRO SAN JOSE MIAHUATLAN PUEBLA C.P. 75970</t>
  </si>
  <si>
    <t>1545348338</t>
  </si>
  <si>
    <t>92700160</t>
  </si>
  <si>
    <t>00148</t>
  </si>
  <si>
    <t>00153</t>
  </si>
  <si>
    <t>AGUILAR HERNANDEZ MARCOS</t>
  </si>
  <si>
    <t>AUHM921026HPLGRR03</t>
  </si>
  <si>
    <t>AUHM9210268B7</t>
  </si>
  <si>
    <t>marcos.aguilar.hist@gmail.com</t>
  </si>
  <si>
    <t>22-15-83-30-46</t>
  </si>
  <si>
    <t>AV. 11 PONIENTE NO. 109-1, CENTRO, PUEBLA, PUE. CP 72000</t>
  </si>
  <si>
    <t>Pasante Licenciatura en Historia</t>
  </si>
  <si>
    <t>92700161</t>
  </si>
  <si>
    <t>00149</t>
  </si>
  <si>
    <t>00173-2</t>
  </si>
  <si>
    <t>ALONSO PEREZ ROSA</t>
  </si>
  <si>
    <t>AOPR790830MPLLRS16</t>
  </si>
  <si>
    <t>AOPR7908308V5</t>
  </si>
  <si>
    <t>rosa.alonso@puebla.gob.mx</t>
  </si>
  <si>
    <t>rosy_2408a@hotmail.com</t>
  </si>
  <si>
    <t>222-533-6171</t>
  </si>
  <si>
    <t>CALLE TULIPANES EDIF 11 H 202, COL SAN RAMON, PUEBLA, PUE. CP 72490</t>
  </si>
  <si>
    <t>Doctorado en Ciencias Agrarias</t>
  </si>
  <si>
    <t>00206-1</t>
  </si>
  <si>
    <t>JEFA DE DEPARTAMENTO DE COMUNICACIÓN INDIGENA</t>
  </si>
  <si>
    <t>222 863-6057</t>
  </si>
  <si>
    <t xml:space="preserve">CALLE TULIPANES EDIF 11 H 202, COL SAN RAMON, PUEBLA, PUE. </t>
  </si>
  <si>
    <t>2668459916</t>
  </si>
  <si>
    <t>000252</t>
  </si>
  <si>
    <t>92700162</t>
  </si>
  <si>
    <t>00156</t>
  </si>
  <si>
    <t>00249</t>
  </si>
  <si>
    <t>DELGADO CASTILLO MARIA FERNANDA</t>
  </si>
  <si>
    <t>DECF931211MPLLSR04</t>
  </si>
  <si>
    <t>DECF9312114N4</t>
  </si>
  <si>
    <t>maria.delgado@puebla.gob.mx</t>
  </si>
  <si>
    <t>fernandadelcas@gmail.com</t>
  </si>
  <si>
    <t>221 197-3391</t>
  </si>
  <si>
    <t>AV 20 DE NOVIEMBRE 213 CASA 10, COL. VALLE DEL SOL, PUEBLA, PUE. CP. 72570</t>
  </si>
  <si>
    <t xml:space="preserve">20 DE NOVIEMBRE NO. INT. 5B EXT. 131 COL. VALLE DEL SOL C.P. 72530 </t>
  </si>
  <si>
    <t>Licenciatura  Antropología Social</t>
  </si>
  <si>
    <t>1561361640</t>
  </si>
  <si>
    <t>92700163</t>
  </si>
  <si>
    <t>00157</t>
  </si>
  <si>
    <t>00225</t>
  </si>
  <si>
    <t>UC SALAS YANET</t>
  </si>
  <si>
    <t>UXSY840208MPLCLN00</t>
  </si>
  <si>
    <t>UXSY840208FW1</t>
  </si>
  <si>
    <t>yanet.uc@puebla.gob.mx</t>
  </si>
  <si>
    <t>yan_uc@hotmail.com</t>
  </si>
  <si>
    <t>221-159-0402</t>
  </si>
  <si>
    <t>CALLE 6 SUR 6342, COLONIA LAGULENA, PUEBLA, PUE. CP 72580</t>
  </si>
  <si>
    <t>000267</t>
  </si>
  <si>
    <t>1536257666</t>
  </si>
  <si>
    <t>92700164</t>
  </si>
  <si>
    <t>92700165</t>
  </si>
  <si>
    <t>00164</t>
  </si>
  <si>
    <t>00198</t>
  </si>
  <si>
    <t>ARELLANO HUERTA MARIA GUADALUPE</t>
  </si>
  <si>
    <t>AEMG821110MPLRRD04</t>
  </si>
  <si>
    <t>AEHG821110QV6</t>
  </si>
  <si>
    <t>174 OFICINA REGIONAL TEZIUTLÁN</t>
  </si>
  <si>
    <t>maria.arellanog@puebla.gob.mx</t>
  </si>
  <si>
    <t>starblue_80@hotmail.com</t>
  </si>
  <si>
    <t>233-107-11-57</t>
  </si>
  <si>
    <t>AV 5 DE MAYO S/N COL CENTRO ZOQUIAPAN PÚEBLA</t>
  </si>
  <si>
    <t>Licenciatura en Ciencias de la Comunicación</t>
  </si>
  <si>
    <t>92700166</t>
  </si>
  <si>
    <t>00165</t>
  </si>
  <si>
    <t>00241</t>
  </si>
  <si>
    <t>GARCIA PEREZ CRISTOBAL</t>
  </si>
  <si>
    <t>GAPC861122HPLRRR06</t>
  </si>
  <si>
    <t>GAPC861122RK3</t>
  </si>
  <si>
    <t>cristobal.garcia@puebla.gob.mx</t>
  </si>
  <si>
    <t>cristobal.garciaa@gmail.com</t>
  </si>
  <si>
    <t>233-144-6862</t>
  </si>
  <si>
    <t>CONOCIDO S/N COLONIA LIPUNTAHUACA PUEBLA</t>
  </si>
  <si>
    <t>Licenciatura en Desarrollo Sustentable</t>
  </si>
  <si>
    <t>000270</t>
  </si>
  <si>
    <t>SIN CALLES SIN NUMERO LIPUNTAHUACA HUEHUETLA PUEBLAC.P. 73475</t>
  </si>
  <si>
    <t>1571931811</t>
  </si>
  <si>
    <t>92700167</t>
  </si>
  <si>
    <t>00163</t>
  </si>
  <si>
    <t>00173-1</t>
  </si>
  <si>
    <t>MONTIEL RAMIREZ SARAI</t>
  </si>
  <si>
    <t>MORS950821MPLNMR7</t>
  </si>
  <si>
    <t>MORS950821RY8</t>
  </si>
  <si>
    <t>sarai.montiel@ouebla.gob.mx</t>
  </si>
  <si>
    <t>saraimos.23@gmail.com</t>
  </si>
  <si>
    <t>222-383-98-64</t>
  </si>
  <si>
    <t>15 PTE 716 INT 4 COL CENTRO TEHUACAN PUEBLA</t>
  </si>
  <si>
    <t>92700168</t>
  </si>
  <si>
    <t>00171</t>
  </si>
  <si>
    <t>00235</t>
  </si>
  <si>
    <t>VARGAS ESTEBAN ADILENE</t>
  </si>
  <si>
    <t>VAEA961227MGRRSD08</t>
  </si>
  <si>
    <t>VAEA961227ND7</t>
  </si>
  <si>
    <t>adilene.vargas@puebla.gob.mx</t>
  </si>
  <si>
    <t>adilenevargas.e27@gmail.com</t>
  </si>
  <si>
    <t>222 853-7646</t>
  </si>
  <si>
    <t>PRIV PRIMERA DE MAYO 8,  STA CRUZ GUADALUPE, Puebla, Pue. C.P. 72170</t>
  </si>
  <si>
    <t>00341</t>
  </si>
  <si>
    <t>PIVADA PRIMERO DE MAYO NUM EXT 8 INT 72 CP COLONIA SANTA CRUZ GUADALUPE PUEBLA, PUE. CP. 72170</t>
  </si>
  <si>
    <t>1574807011</t>
  </si>
  <si>
    <t>00360</t>
  </si>
  <si>
    <t>00408</t>
  </si>
  <si>
    <t>Jefe de Departamento de Recursos Financieros</t>
  </si>
  <si>
    <t>92700169</t>
  </si>
  <si>
    <t>00172</t>
  </si>
  <si>
    <t>000274</t>
  </si>
  <si>
    <t>MOLINA JIMENEZ LABORA MARIA MARTHA</t>
  </si>
  <si>
    <t>MOJM700626MPLLMR06</t>
  </si>
  <si>
    <t>MOJM7006269N0</t>
  </si>
  <si>
    <t>JEFA DE DEPARTAMENTO CONTENCIOSO</t>
  </si>
  <si>
    <t>maria.molina@puebla.gob.mx</t>
  </si>
  <si>
    <t>marthamolinajl@gmail.com</t>
  </si>
  <si>
    <t>222 765-0949</t>
  </si>
  <si>
    <t>89 PTE CDA ALDAMA 720 9 87 Y LAS TORRES, COL.  PINOS MAYORAZGO C.P.72480</t>
  </si>
  <si>
    <t>83 PONIENTE  INTERIOR 9  EXTERIOR 720 INFONAVIT EL CARMEN C.P, 72470</t>
  </si>
  <si>
    <t>Mestria en Comunicación</t>
  </si>
  <si>
    <t>1581408493</t>
  </si>
  <si>
    <t>92700170</t>
  </si>
  <si>
    <t>00174</t>
  </si>
  <si>
    <t>00244</t>
  </si>
  <si>
    <t>LARA GALINDO EMILIA</t>
  </si>
  <si>
    <t>LAGE920602MPLRLM06</t>
  </si>
  <si>
    <t>LAGE920602LL2</t>
  </si>
  <si>
    <t>emilia.lara@puebla.gob.mx</t>
  </si>
  <si>
    <t>lara.g.emili63@gmail.com</t>
  </si>
  <si>
    <t>222-532-5216</t>
  </si>
  <si>
    <t>CALLE XICOTENCATL 20, SAN JUAN CUATLANCINGO , PUEBLA CP 72700</t>
  </si>
  <si>
    <t>Maestría en Desarrollo Regional</t>
  </si>
  <si>
    <t>00312</t>
  </si>
  <si>
    <t>1546010695</t>
  </si>
  <si>
    <t>92700171</t>
  </si>
  <si>
    <t>00179</t>
  </si>
  <si>
    <t>00291</t>
  </si>
  <si>
    <t>CALDERON ORTIZ ELIA</t>
  </si>
  <si>
    <t>CAOE760720MPLLRL07</t>
  </si>
  <si>
    <t>CAOE760720JU6</t>
  </si>
  <si>
    <t>JEFA DE DEPARTAMENTO DE PLANEACIÓN TERRITORIAL</t>
  </si>
  <si>
    <t>DIRECCIÓN DE DESARROLLO CON IDENTIDAD INDIGENA</t>
  </si>
  <si>
    <t>elia.calderon@puebla.gob.mx</t>
  </si>
  <si>
    <t>mvzeco@hotmail.com</t>
  </si>
  <si>
    <t>222 373-0001</t>
  </si>
  <si>
    <t>PROLONGACION 5 DE MAYO SUR 705-205, MANANTIALES, SAN PEDRO CHOLULA PUE. CP 72760</t>
  </si>
  <si>
    <t>CALLE PROLONGACION 5 DE MAYO SUR NO INT. 205 EXT. 705 COL. MANANTIALES SAN PEDRO CHOLULA PUEBLA C.P. 72760</t>
  </si>
  <si>
    <t>Maestría en Desarrollo Rural</t>
  </si>
  <si>
    <t>1592345401</t>
  </si>
  <si>
    <t>92700172</t>
  </si>
  <si>
    <t>00183</t>
  </si>
  <si>
    <t>00211</t>
  </si>
  <si>
    <t>VALENCIA GARCIA PEDRO</t>
  </si>
  <si>
    <t>VAGP780313HPLLRD06</t>
  </si>
  <si>
    <t>VAGP7803134W9</t>
  </si>
  <si>
    <t>DIRECCION DE DIÁLOGO Y CONCERTACIÓN</t>
  </si>
  <si>
    <t>pedro.valencia@puebla.gob.mx</t>
  </si>
  <si>
    <t>pedrovalenciagarcia971@gmail.com</t>
  </si>
  <si>
    <t>233 101-6615</t>
  </si>
  <si>
    <t>LEACAMAN S/N, HUEHUETLA, PUE. C.P.73477</t>
  </si>
  <si>
    <t>000216</t>
  </si>
  <si>
    <t>JEFE DE DEPARTAMENTO DE COMUNICACIÓN INDIGENA</t>
  </si>
  <si>
    <t>92700173</t>
  </si>
  <si>
    <t>00184</t>
  </si>
  <si>
    <t>00242</t>
  </si>
  <si>
    <t>REYES SANTOS LÁZARO JESUS ALEJO</t>
  </si>
  <si>
    <t>RESL970717HPLYNZ03</t>
  </si>
  <si>
    <t>RESL970717MQ4</t>
  </si>
  <si>
    <t>OFICINA REGIONAL ZACAPOAXTLA</t>
  </si>
  <si>
    <t>lazaro.alejo@puebla.gob. mx</t>
  </si>
  <si>
    <t>alerey320@gmail.com</t>
  </si>
  <si>
    <t>222-586-8502</t>
  </si>
  <si>
    <t>CALLE 16 DE SEPTIEMBRE NORTE 20, XALACAPAN, ZACAPOAXTLA, PUE. CP 73688</t>
  </si>
  <si>
    <t>Licenciatura en  Nutrición Clínica</t>
  </si>
  <si>
    <t>00309</t>
  </si>
  <si>
    <t>6 DE SEPTIEMBRE NO. EXT. 20 COL. XALACAPAN ZACAPOAXTLA PUEBLA C.P. 73688</t>
  </si>
  <si>
    <t>1596078369</t>
  </si>
  <si>
    <t>92700174</t>
  </si>
  <si>
    <t>00185</t>
  </si>
  <si>
    <t>00233</t>
  </si>
  <si>
    <t>SANCHEZ APARICIO FELICITAS</t>
  </si>
  <si>
    <t>SAAF970428MPLNPL04</t>
  </si>
  <si>
    <t>SAAF970428652</t>
  </si>
  <si>
    <t>felicitas.sanchez@puebla.gob.mx</t>
  </si>
  <si>
    <t>sanchez.aparicio.fely@gmail.com</t>
  </si>
  <si>
    <t>797-155-0579</t>
  </si>
  <si>
    <t>ANDADOR FORJADORES, COLONIA MEXICO, ZONGOZOTLA, PUE. CP 73380</t>
  </si>
  <si>
    <t>2725057612</t>
  </si>
  <si>
    <t>92700175</t>
  </si>
  <si>
    <t>92700176</t>
  </si>
  <si>
    <t>00187</t>
  </si>
  <si>
    <t>00188-1</t>
  </si>
  <si>
    <t>HERNANDEZ PEREZ OSCAR</t>
  </si>
  <si>
    <t>HEPO901102HPLRR05</t>
  </si>
  <si>
    <t>HEPO9011023X7</t>
  </si>
  <si>
    <t>N/A</t>
  </si>
  <si>
    <t>oscar.hernandezp@puebla.gob.mx</t>
  </si>
  <si>
    <t>oscarhdz.raf@gmail.com</t>
  </si>
  <si>
    <t>125 ORIENTE 1812-23 LOS HEROES  PUEBLA, PUE. CP 72590</t>
  </si>
  <si>
    <t>Técnico en Sistemas</t>
  </si>
  <si>
    <t>92700177</t>
  </si>
  <si>
    <t>00192</t>
  </si>
  <si>
    <t>00237</t>
  </si>
  <si>
    <t>GUERRERO VARELA MARCOS</t>
  </si>
  <si>
    <t>GUVM870420HPLRRR06</t>
  </si>
  <si>
    <t>GUVM8704207L9</t>
  </si>
  <si>
    <t>marcos.guerrero@puebla.gob.mx</t>
  </si>
  <si>
    <t>etnomarcos@gmail.com</t>
  </si>
  <si>
    <t>222-384-1408</t>
  </si>
  <si>
    <t xml:space="preserve">CALLE No. 6 LOTE 118 LAS CRUCES, AMOZOC DE MORA, PUE. </t>
  </si>
  <si>
    <t>Maestria en Educación con Especialidad en Docencia</t>
  </si>
  <si>
    <t>000253</t>
  </si>
  <si>
    <t>1503744731</t>
  </si>
  <si>
    <t>92700178</t>
  </si>
  <si>
    <t>00194</t>
  </si>
  <si>
    <t>00247</t>
  </si>
  <si>
    <t xml:space="preserve"> HERNANDEZ HERNANDEZ MARTHA MARIBEL</t>
  </si>
  <si>
    <t>HEHM920731MPLRRR06</t>
  </si>
  <si>
    <t>HEHM920731143</t>
  </si>
  <si>
    <t>martha.hernandezh@puebla.gob.mx</t>
  </si>
  <si>
    <t>maryleo66@hotmail.com</t>
  </si>
  <si>
    <t>221-134-9041</t>
  </si>
  <si>
    <t>19 B SUR #13506, GALAXIA CASTILLOTLA, CP 72498</t>
  </si>
  <si>
    <t>Pasante Licenciatura en Educación Preescolar par el Medio Indígena Plan 90</t>
  </si>
  <si>
    <t>1508145364</t>
  </si>
  <si>
    <t>92700179</t>
  </si>
  <si>
    <t>00195</t>
  </si>
  <si>
    <t>00207</t>
  </si>
  <si>
    <t>BENITEZ FELICIANO AURELIO</t>
  </si>
  <si>
    <t>BEFA810309HPLNLR08</t>
  </si>
  <si>
    <t>BEFA810309DN8</t>
  </si>
  <si>
    <t>aurelio.benitez@puebla.gob.mx</t>
  </si>
  <si>
    <t>aurelio@ti-abc.com</t>
  </si>
  <si>
    <t>EMILIO CARRANZA 310 CENTRO ALTEPEXI, PUEBLA CP 75950</t>
  </si>
  <si>
    <t>Ingenieria en Sistemas Computacionales</t>
  </si>
  <si>
    <t>00200</t>
  </si>
  <si>
    <t>OROPEZA RAMOS YAIR</t>
  </si>
  <si>
    <t>OORY910829HPLRMR08</t>
  </si>
  <si>
    <t>OORY910829UH2</t>
  </si>
  <si>
    <t>yair.oropeza@puebla.gob.mx</t>
  </si>
  <si>
    <t>yair.or_r@hotmail.com</t>
  </si>
  <si>
    <t>238-164-1780</t>
  </si>
  <si>
    <t>GLADIOLA 4003, COL SAN ANTONIO VIVEROS, TEHUACAN PUE. CP 75758</t>
  </si>
  <si>
    <t>Ingenia en Desarrollo de Negocios e innovación empresarial</t>
  </si>
  <si>
    <t>1559119132</t>
  </si>
  <si>
    <t>92700181</t>
  </si>
  <si>
    <t>00203</t>
  </si>
  <si>
    <t>00229</t>
  </si>
  <si>
    <t>MORALES CARRETERO JOSE ALBERTO</t>
  </si>
  <si>
    <t>MOCA980205HPLRRL01</t>
  </si>
  <si>
    <t>MOCA980205324</t>
  </si>
  <si>
    <t>jose.carretero@puebla.gob.mx</t>
  </si>
  <si>
    <t>alexmorales034@gmail.com</t>
  </si>
  <si>
    <t>223-121-2104</t>
  </si>
  <si>
    <t>CALLE 2 SUR 1528 TEPATLAXCO DE HIDALGO, PUE CP 75100</t>
  </si>
  <si>
    <t>00260</t>
  </si>
  <si>
    <t>00321</t>
  </si>
  <si>
    <t>1542689037</t>
  </si>
  <si>
    <t>92700182</t>
  </si>
  <si>
    <t>00208</t>
  </si>
  <si>
    <t>00216</t>
  </si>
  <si>
    <t>CABRERA MONTEALEGRE MIGUEL ALEJANDRO</t>
  </si>
  <si>
    <t>CAMM950824HPLBNG08</t>
  </si>
  <si>
    <t>CAMM950824EZ9</t>
  </si>
  <si>
    <t>DEPARTAMENTO DE TECNOLOGIAS DE LA INFORMACIÓN</t>
  </si>
  <si>
    <t>miguel.cabrera@puebla.gob.mx</t>
  </si>
  <si>
    <t>miguelalejandro9582@gmail.com</t>
  </si>
  <si>
    <t>222-207-8651</t>
  </si>
  <si>
    <t>SENDERO L MANZANA K 10, UNIDAD HABITACIONAL LA ROSA, PUE. 72260</t>
  </si>
  <si>
    <t>Licenciatura en Ingeniería en Tecnologías de la Información y Comunicación</t>
  </si>
  <si>
    <t>0477433387</t>
  </si>
  <si>
    <t>92700183</t>
  </si>
  <si>
    <t>00209</t>
  </si>
  <si>
    <t>00228</t>
  </si>
  <si>
    <t>FELIX FELIX ZULEYMA</t>
  </si>
  <si>
    <t>FEFZ950830MPLLLL07</t>
  </si>
  <si>
    <t>FEFZ9508303Z2</t>
  </si>
  <si>
    <t>zuleyma.felix@puebla.gob.mx</t>
  </si>
  <si>
    <t>zuleffx@gmail.com</t>
  </si>
  <si>
    <t>233-132-4842</t>
  </si>
  <si>
    <t>CAMINO REAL S/N, TATOXCAC, ZACAPOAXTLA, PUE</t>
  </si>
  <si>
    <t>Pasante Licenciatura en Abogado Notario y Actuario</t>
  </si>
  <si>
    <t>1563899647</t>
  </si>
  <si>
    <t>00390</t>
  </si>
  <si>
    <t>SUDIRECCION JURIDICA</t>
  </si>
  <si>
    <t>CAMINO REAL S/N, TATOXCAC, ZACAPOAXTLA, PUE CP. 73693</t>
  </si>
  <si>
    <t>92700184</t>
  </si>
  <si>
    <t>00212</t>
  </si>
  <si>
    <t>00219</t>
  </si>
  <si>
    <t xml:space="preserve">CASTELAN MARTINEZ EDWING ESAU </t>
  </si>
  <si>
    <t>CAME960131HPLSRD08</t>
  </si>
  <si>
    <t>CAME960131GL0</t>
  </si>
  <si>
    <t>DEPARTAMENTO DE COMUNICACIÓN INDIGENA</t>
  </si>
  <si>
    <t>edwin.castelan@puebla.gob.mx</t>
  </si>
  <si>
    <t>esaucastelanm@gmail.com</t>
  </si>
  <si>
    <t>222-435-2803</t>
  </si>
  <si>
    <t>PRIVADA 29 SUR 13828 B, FRACCIONAMIENTO HACIENDA SANTA CLARA  72498</t>
  </si>
  <si>
    <t>Licenciado en Comunicación</t>
  </si>
  <si>
    <t>1135769205</t>
  </si>
  <si>
    <t>92700185</t>
  </si>
  <si>
    <t>00217</t>
  </si>
  <si>
    <t>00224</t>
  </si>
  <si>
    <t>GOMEZ HERNANDEZ MIGUEL TRINIDAD</t>
  </si>
  <si>
    <t>GOHM971021HPLMRG03</t>
  </si>
  <si>
    <t>GOHM971021QT7</t>
  </si>
  <si>
    <t>miguel.gomez@puebla.gob. mx</t>
  </si>
  <si>
    <t>HDEZ.GO.MIGUEL@GMAIL.COM</t>
  </si>
  <si>
    <t>764-121-1154</t>
  </si>
  <si>
    <t>CALLE JUAN C. BONILLA, COLONIA EL CERRITO, CP 73310, ZACATLÁN PUEBLA</t>
  </si>
  <si>
    <t>Ingenieria en Tecnologia Informática</t>
  </si>
  <si>
    <t>000263</t>
  </si>
  <si>
    <t xml:space="preserve">GOMEZ HERNANDEZ MIGUEL TRINIDAD </t>
  </si>
  <si>
    <t>CAMBIO PLAZA</t>
  </si>
  <si>
    <t>miguel.gomez@puebla.gob. Mx</t>
  </si>
  <si>
    <t>OFICINA REGIONAL TEHUACAN</t>
  </si>
  <si>
    <t>92700186</t>
  </si>
  <si>
    <t>00218</t>
  </si>
  <si>
    <t>000251</t>
  </si>
  <si>
    <t>ALFONSO CASTILLO LUIS ANGEL</t>
  </si>
  <si>
    <t>AOCL930601HPLLSS06</t>
  </si>
  <si>
    <t>AOCL930601R94</t>
  </si>
  <si>
    <t>luis.castillo@puebla.gob.mx</t>
  </si>
  <si>
    <t>lic.luis.angel.alfonso@gmail.com</t>
  </si>
  <si>
    <t>238-105-3565</t>
  </si>
  <si>
    <t>CALLE DANIEL GONZALEZ ORIENTE 105 COLONIA CENTRO ALTEPEXI 75950</t>
  </si>
  <si>
    <t>1540742584</t>
  </si>
  <si>
    <t>92700187</t>
  </si>
  <si>
    <t>00220</t>
  </si>
  <si>
    <t>00255</t>
  </si>
  <si>
    <t>SILVA AGUILAR ARACELI</t>
  </si>
  <si>
    <t>SIAA960201MPLLGR00</t>
  </si>
  <si>
    <t>SIAA96020136A</t>
  </si>
  <si>
    <t>araceli.silva@puebla.gob.mx</t>
  </si>
  <si>
    <t>araceli.silvaguilar@gmail.com</t>
  </si>
  <si>
    <t>222-112-4322</t>
  </si>
  <si>
    <t>CALLE LIBERTAD 178, BARRIO SAN ANTONIO, ACATLAN DE OSORIO PUE.</t>
  </si>
  <si>
    <t>CALLE LIBERTAD 178, BARRIO SAN ANTONIO, ACATLAN DE OSORIO PUE. CP. 74949</t>
  </si>
  <si>
    <t>Licenciada en Pedagogia</t>
  </si>
  <si>
    <t>1548498426</t>
  </si>
  <si>
    <t>92700188</t>
  </si>
  <si>
    <t>00248</t>
  </si>
  <si>
    <t>00342</t>
  </si>
  <si>
    <t xml:space="preserve"> RIVERA VAZQUEZ DEMETRIO</t>
  </si>
  <si>
    <t>RIVD960511HPLVZM01</t>
  </si>
  <si>
    <t>RIVD9605119X6</t>
  </si>
  <si>
    <t>demetrio.rivera@puebla.gob.mx</t>
  </si>
  <si>
    <t>demetrioriveravazquez4@gmail.com</t>
  </si>
  <si>
    <t>CALLE MORELOS S/N IXTEPEC, PUEBLA</t>
  </si>
  <si>
    <t>CALLE S/N COLONIA CENTRO IXTEPEC, IXTEPEC PUEBLA  CP. 73480</t>
  </si>
  <si>
    <t>Lic en Ingenieria en Administración</t>
  </si>
  <si>
    <t>1510103084</t>
  </si>
  <si>
    <t>00449</t>
  </si>
  <si>
    <t>92700189</t>
  </si>
  <si>
    <t>00313</t>
  </si>
  <si>
    <t>AGUILAR HERNANDEZ EDUARDO</t>
  </si>
  <si>
    <t>AUHE931010HPLGRD17</t>
  </si>
  <si>
    <t>AUHE931010C75</t>
  </si>
  <si>
    <t>eduardo.aguilar@puebla.gob.mx</t>
  </si>
  <si>
    <t>eduah10105@icloud.com</t>
  </si>
  <si>
    <t>PRIVADA SANTA ROSA 6, COL LA CONCEPCIÓN, PUE</t>
  </si>
  <si>
    <t>Lic. En Ciencias Políticas</t>
  </si>
  <si>
    <t>1547405081</t>
  </si>
  <si>
    <t>92700190</t>
  </si>
  <si>
    <t>000257</t>
  </si>
  <si>
    <t>LUNA LÓPEZ ROCÍO</t>
  </si>
  <si>
    <t>LULR890829MPLNPC02</t>
  </si>
  <si>
    <t>LULR8908293L7</t>
  </si>
  <si>
    <t>JEFA DE DEPARTAMENTO DE PATRIMONIO CULTURAL</t>
  </si>
  <si>
    <t>rocio.luna@puebla.gob.mx</t>
  </si>
  <si>
    <t>XHIO.LUNAL@GMAIL.COM</t>
  </si>
  <si>
    <t>2 ORIENTE 2605 A 304 SANTA BARBARA, PUEBLA, PUE.</t>
  </si>
  <si>
    <t>2 ORIENTE 206 EDIFICIO A INTERIOR 304, COL SANTA BARBARA NORTE, HEROICA PUEBLA DE ZARAGOZA</t>
  </si>
  <si>
    <t>Maestria de Desarrollo regional</t>
  </si>
  <si>
    <t>1539725105</t>
  </si>
  <si>
    <t>00264</t>
  </si>
  <si>
    <t>92700191</t>
  </si>
  <si>
    <t>00297</t>
  </si>
  <si>
    <t>PÉREZ RAMOS CELSO</t>
  </si>
  <si>
    <t>PERC770406HOCRML05</t>
  </si>
  <si>
    <t>PERC770406298</t>
  </si>
  <si>
    <t>celso.perez@puebla.gob.mx</t>
  </si>
  <si>
    <t>celso3g@gmail.com</t>
  </si>
  <si>
    <t>INDEPENDENCIA 20 BARRIO GRANDE CUILAPAN DE GUERRERO OAXACA</t>
  </si>
  <si>
    <t>INDEPENDENCIA 20, SECCION PRIMERA, CUILAPAM DE GUERERO, OAXACA</t>
  </si>
  <si>
    <t>Licenciado en informatica</t>
  </si>
  <si>
    <t>1504378791</t>
  </si>
  <si>
    <t>92700192</t>
  </si>
  <si>
    <t>000258</t>
  </si>
  <si>
    <t>00304</t>
  </si>
  <si>
    <t>SÁNCHEZ PÉREZ JESUS</t>
  </si>
  <si>
    <t>SAPJ891029HPLNRS07</t>
  </si>
  <si>
    <t>SAPJ8910299R1</t>
  </si>
  <si>
    <t>sanp.j89@gmail.com</t>
  </si>
  <si>
    <t>SEGUNDA CERRADA 314, FRAC. SAN MARTIN 1, SAN JOSE VICTORIA, AMOZOC, PUEBLA</t>
  </si>
  <si>
    <t>2977815301</t>
  </si>
  <si>
    <t>92700193</t>
  </si>
  <si>
    <t>000259</t>
  </si>
  <si>
    <t>00294</t>
  </si>
  <si>
    <t>CUAUHTEMOC XICOTENCATL IRMA XOCHITL</t>
  </si>
  <si>
    <t>CUXI860820MPLHCR04</t>
  </si>
  <si>
    <t>CUXI8608204L6</t>
  </si>
  <si>
    <t>irma.cuauhtemoc@puebla.gob.mx</t>
  </si>
  <si>
    <t>irmaxochitl@gmail</t>
  </si>
  <si>
    <t>CALLE SAN FELIPE DE JESUS 8B SAN JUAN  CUAUTLANCINGO, PUEBLA</t>
  </si>
  <si>
    <t>Doctorado en Ciencias del Lenguaje</t>
  </si>
  <si>
    <t>2902809060</t>
  </si>
  <si>
    <t>000262</t>
  </si>
  <si>
    <t>00340</t>
  </si>
  <si>
    <t>CARRERA DACOSTA SANDRA</t>
  </si>
  <si>
    <t>CADS980512MPLRCN07</t>
  </si>
  <si>
    <t>CADS9805123T2</t>
  </si>
  <si>
    <t>sandra.carrera@puebla.gob.mx</t>
  </si>
  <si>
    <t>carreradacostasandra@gmail.com</t>
  </si>
  <si>
    <t>CAÑADA 174 BARRIO DE NUEVO LEON, CUAUTLANCINGO, PUE CP72700</t>
  </si>
  <si>
    <t>Pasante Licenciatura en Derecho</t>
  </si>
  <si>
    <t>1511721064</t>
  </si>
  <si>
    <t>00349</t>
  </si>
  <si>
    <t>DIRECCIÓN DE LA ACADEMIA DE LAS LENGUAS INDÍGENAS</t>
  </si>
  <si>
    <t>00447</t>
  </si>
  <si>
    <t>Jefa de Departamento de Consulta y Participación</t>
  </si>
  <si>
    <t>00265</t>
  </si>
  <si>
    <t>00279</t>
  </si>
  <si>
    <t>CASTRO LANDA JORGE DANIEL</t>
  </si>
  <si>
    <t>CALJ910911HPLSNR01</t>
  </si>
  <si>
    <t>CALJ910911734</t>
  </si>
  <si>
    <t>jorge.castrol@puebla.gob.mx</t>
  </si>
  <si>
    <t>d4n.c4stro@gmail.com</t>
  </si>
  <si>
    <t>CALLE CLAVELES , COL.  BUGAMBILIAS 65, PUEBLA, PUE. CP 72580</t>
  </si>
  <si>
    <t>Pasante de Antropologia Social.</t>
  </si>
  <si>
    <t>1513750223</t>
  </si>
  <si>
    <t>000266</t>
  </si>
  <si>
    <t>00286</t>
  </si>
  <si>
    <t>PONCIANO GARCIA MARIA DE LOS ANGELES</t>
  </si>
  <si>
    <t>POGA851102MPLNRN03</t>
  </si>
  <si>
    <t>POGA851102UE9</t>
  </si>
  <si>
    <t>mariang3les@gmail.com</t>
  </si>
  <si>
    <t>CALLE MIGUEL HIDALGO, SAN CRISTOBAL TEPETIOPAN, TEHUACAN, PUE.</t>
  </si>
  <si>
    <t>Liecenciatura en Administración de Empresas</t>
  </si>
  <si>
    <t>1514351818</t>
  </si>
  <si>
    <t>000271</t>
  </si>
  <si>
    <t>000272</t>
  </si>
  <si>
    <t>RAMIREZ HERNANDEZ YADIRA</t>
  </si>
  <si>
    <t>RAHY850330MPLMRD04</t>
  </si>
  <si>
    <t>RAHY850330UJ1</t>
  </si>
  <si>
    <t>more20na23@gmail.com</t>
  </si>
  <si>
    <t>MIGUEL HIDALGO S/N, COL . EL MAPACHE,  CAXHUACAN, 73520</t>
  </si>
  <si>
    <t>CALLE VICENTE GUERRERO No.7, COLONIA CENTRO, CAXHUACAN</t>
  </si>
  <si>
    <t>Pasante Licenciatura en educación primaria para el medio indígena plan 90</t>
  </si>
  <si>
    <t>1579545789</t>
  </si>
  <si>
    <t>000273</t>
  </si>
  <si>
    <t>00308</t>
  </si>
  <si>
    <t>MENDEZ RAMOS ADELINA</t>
  </si>
  <si>
    <t>MERA880330MPLNMD03</t>
  </si>
  <si>
    <t>MERA8803303X3</t>
  </si>
  <si>
    <t>desarrollosustentable88@gmail.com</t>
  </si>
  <si>
    <t>CHILOCOYO EL CARMEN S/N 73470, HUEHUETLA, PUE 73470</t>
  </si>
  <si>
    <t>CHILOCOYO  S/N , HUEHUETLA, PUE</t>
  </si>
  <si>
    <t>Liecenciatura en Desarrollo Sustentable</t>
  </si>
  <si>
    <t>1593817704</t>
  </si>
  <si>
    <t>00280</t>
  </si>
  <si>
    <t>MARTINEZ ARROYO APOLINARIA</t>
  </si>
  <si>
    <t>MAAA830209MPLRRP06</t>
  </si>
  <si>
    <t>MAAA830209PGA</t>
  </si>
  <si>
    <t>DIRECTORA GENERAL</t>
  </si>
  <si>
    <t>apolinaria.martinez@puebla.gob.mx</t>
  </si>
  <si>
    <t>mtz0902@icloud.com</t>
  </si>
  <si>
    <t>DOMICILIO CONOCIDO ALCOMUNGA S/N 75916, AJALPAN PUEBLA</t>
  </si>
  <si>
    <t>Licenciada en Derecho</t>
  </si>
  <si>
    <t>00281</t>
  </si>
  <si>
    <t>SALAS PEREZ LUCERO</t>
  </si>
  <si>
    <t>SAPL000720MPLLRCA3</t>
  </si>
  <si>
    <t>SAPL000720T5A</t>
  </si>
  <si>
    <t>lucero.salas@puebla.gob.mx</t>
  </si>
  <si>
    <t>salaslucero1310@gmail.com</t>
  </si>
  <si>
    <t>CALLE EMILIANO ZAPATA 137 SAN MIGUEL CANOA SECCION 6TA, 72900, PUEBLA</t>
  </si>
  <si>
    <t>CALLE EMILIANO ZAPATA 137 SAN MIGUEL CANOA , 72900, PUEBLA</t>
  </si>
  <si>
    <t>LIC EN LENGUAS MODERNAS Y APLICADAS</t>
  </si>
  <si>
    <t>0487935692</t>
  </si>
  <si>
    <t>00282</t>
  </si>
  <si>
    <t>00455-1</t>
  </si>
  <si>
    <t>RUIZ GONZALEZ PABLO</t>
  </si>
  <si>
    <t>RUGP910907HPLZNB03</t>
  </si>
  <si>
    <t>RUGP9109075KA</t>
  </si>
  <si>
    <t>DIRECTOR DE PATRIMONIO CULTURAL, INVESTIGACIÓN Y EDUCACIÓN PARA LA EQUIDAD</t>
  </si>
  <si>
    <t>pablo.ruiz@puebla.gob.mx</t>
  </si>
  <si>
    <t>katch_tamarindo@hotmail.com</t>
  </si>
  <si>
    <t>SANTO TOMAS TLAQUMPA S/N , TEPETZINTLA, PUE. 73340</t>
  </si>
  <si>
    <t>SIN NOMBRE, TEPETZINTLA, PUEBLA 73341</t>
  </si>
  <si>
    <t xml:space="preserve">LIC. EDUCACION SECUNDARIA </t>
  </si>
  <si>
    <t>1534062683</t>
  </si>
  <si>
    <t>00320</t>
  </si>
  <si>
    <t>MENDEZ SANTOS LUZ TERESA</t>
  </si>
  <si>
    <t>MESL790513MPLNNZ01</t>
  </si>
  <si>
    <t>MESL790513TZ4</t>
  </si>
  <si>
    <t>Directora de Desarrollo con Identidad Indígena</t>
  </si>
  <si>
    <t>luz.mendez@puebla.gob.mx</t>
  </si>
  <si>
    <t>lucy.1305@hotmail.com</t>
  </si>
  <si>
    <t>PONIENTE 1 EDIFICIO 310 INTE 7, JARDINES DE TEHUACAN, TEHUACAN, PUEBLA 75760</t>
  </si>
  <si>
    <t>PONIENTE 1 310 INT 7, COLONIA INFONAVIT JARDINES DE TEHUACAN , PUEBLA 75760</t>
  </si>
  <si>
    <t>MAESTRIA JUICIOS ORALES Y ARGUMENTACION JURIDICA</t>
  </si>
  <si>
    <t>127670013033785935</t>
  </si>
  <si>
    <t>00317</t>
  </si>
  <si>
    <t>ARCHUNDIA LÓPEZ DAVID</t>
  </si>
  <si>
    <t>AULD790114HPLRPV06</t>
  </si>
  <si>
    <t>AULD790114HT8</t>
  </si>
  <si>
    <t>SUBDIRECTOR JURÍDICO</t>
  </si>
  <si>
    <t>david.archundia@puebla.gob.mx</t>
  </si>
  <si>
    <t>Law.archy2024@com.mx</t>
  </si>
  <si>
    <t>CALLE 4 SUR  INT 5, TLACOTEPEC PRIMERA SECCIÓN, PUEBLA CP 75680</t>
  </si>
  <si>
    <t>CALLE 4 SUR 4, COL CENTRO TLACOTEPEC DE BENITO JUAREZ, PUEBLA CP 75680</t>
  </si>
  <si>
    <t>ABOGADO, NOTARIO Y ACTUARIO</t>
  </si>
  <si>
    <t>2381356217</t>
  </si>
  <si>
    <t>00314</t>
  </si>
  <si>
    <t>00376</t>
  </si>
  <si>
    <t>JIMENEZ VAZQUEZ MIGUEL ANGEL</t>
  </si>
  <si>
    <t>JIVM790929HPLMZG09</t>
  </si>
  <si>
    <t>JIVM790929AZ3</t>
  </si>
  <si>
    <t>miguel.jimenez@puebla.gob.mx</t>
  </si>
  <si>
    <t>teothokos@hotmail.com</t>
  </si>
  <si>
    <t>CALLE CAMINO REAL S/N SECCION TERCERA CHAPULCO, PUEBLA CP 75810</t>
  </si>
  <si>
    <t>LICENCIATURA EN DERECHO</t>
  </si>
  <si>
    <t>2978874875</t>
  </si>
  <si>
    <t>Secretario Técnico</t>
  </si>
  <si>
    <t>DIRECCION GENERAL</t>
  </si>
  <si>
    <t>00332</t>
  </si>
  <si>
    <t>00368</t>
  </si>
  <si>
    <t>ALVA ALVA JACOBO</t>
  </si>
  <si>
    <t>AAAJ930510HPLLLC06</t>
  </si>
  <si>
    <t>AAAJ930510F96</t>
  </si>
  <si>
    <t>Director de Administración y Finanzas</t>
  </si>
  <si>
    <t>jacobo.alva@puebla.gob.mx</t>
  </si>
  <si>
    <t>cp.jacoboalva@gmail.com</t>
  </si>
  <si>
    <t>PARAJE OCOTLA, CINCO SRES AJALPAN 031C, PUEBLA CP 75915</t>
  </si>
  <si>
    <t>CALLE CINCO SEÑORES, AJALPAN PUEBLA CP 75915</t>
  </si>
  <si>
    <t>LICENCIATURA EN CONTADURÍA PÚBLICA</t>
  </si>
  <si>
    <t>1560017078</t>
  </si>
  <si>
    <t>00331</t>
  </si>
  <si>
    <t>00347</t>
  </si>
  <si>
    <t>ALTA ZAQUEROZ YANEI</t>
  </si>
  <si>
    <t>AAZY970518MPLLQN09</t>
  </si>
  <si>
    <t>AAZY970518LP5</t>
  </si>
  <si>
    <t>yanei.alta@puebla.gob.mx</t>
  </si>
  <si>
    <t>zaqueroz.yan1@gmail.com</t>
  </si>
  <si>
    <t>BEBEJAPA SECCION 4TA S/N, ZOQUITLAN, PUEBLA, CP 75930</t>
  </si>
  <si>
    <t>LICENCIATURA CULTURA FISICA Y DEPORTES</t>
  </si>
  <si>
    <t>1536808265</t>
  </si>
  <si>
    <t>00440</t>
  </si>
  <si>
    <t>Jefe de Departamento de Desarrollo de Lenguas Indígenas</t>
  </si>
  <si>
    <t>00329</t>
  </si>
  <si>
    <t>00348</t>
  </si>
  <si>
    <t>AGUILAR MEDEL ROLANDO</t>
  </si>
  <si>
    <t>AUMR991014HPLGDL01</t>
  </si>
  <si>
    <t>AUMR9910147Z0</t>
  </si>
  <si>
    <t>rolandoaguilarmedel@gmail.com</t>
  </si>
  <si>
    <t>AV 5 DE MAYO 7 SAN FELIPE OTLALTEPEC, TEPEXI,  74699</t>
  </si>
  <si>
    <t>CALLE 5 DE FEBRERO 727, COL. EL PATRIMONIO, PUEBLA, 72450</t>
  </si>
  <si>
    <t>1567857303</t>
  </si>
  <si>
    <t>00353</t>
  </si>
  <si>
    <t>00324</t>
  </si>
  <si>
    <t>LOPEZ CORTES JUAN PABLO</t>
  </si>
  <si>
    <t>LOCJ900522HPLPRN06</t>
  </si>
  <si>
    <t>LOCJ900522KD1</t>
  </si>
  <si>
    <t>Jefe de Departamento de Investigación</t>
  </si>
  <si>
    <t>juan.lopezc@puebla.gob.mx</t>
  </si>
  <si>
    <t>juanpablo.lopez.cortes@hotmail.com</t>
  </si>
  <si>
    <t>CALLE ABASOLO 536 INTERIOR 3 V GUERRERO DE ALLENDE PATRIMONIO PUEBLA, 72450</t>
  </si>
  <si>
    <t>CALLE ABASOLO 536, INTERIOR 3 PUEBLA, 72450</t>
  </si>
  <si>
    <t>LICENCIATURA EN ADMINISTRACIÓN DE EMPRESAS</t>
  </si>
  <si>
    <t>1536702367</t>
  </si>
  <si>
    <t>00322</t>
  </si>
  <si>
    <t>CUADRADO GALEANO AMADEUZ</t>
  </si>
  <si>
    <t>CUGA941124HPLDLM05</t>
  </si>
  <si>
    <t>CUGA9411245S5</t>
  </si>
  <si>
    <t>amadeus.cuadrado@puebla.gob.mx</t>
  </si>
  <si>
    <t>amadeuzcuadradogaleano@gmail.com</t>
  </si>
  <si>
    <t>CALLE BARRANCA DE LAS FLORES, LEONA VICARIO S/N, SAN PABLO ANICANO, PUEBLA CP 74860</t>
  </si>
  <si>
    <t>CALLE BARRANCA DE LAS FLORES S/N, SAN PABLO ANICANO, PUEBLA CP 74860</t>
  </si>
  <si>
    <t>MAESTRIA EN GOBERNANZA Y GOBIERNOS LOCALES</t>
  </si>
  <si>
    <t>2985952913</t>
  </si>
  <si>
    <t>00323</t>
  </si>
  <si>
    <t>00379</t>
  </si>
  <si>
    <t>DIAZ MACARENO LENNICA</t>
  </si>
  <si>
    <t>DIML950624MPLZCN09</t>
  </si>
  <si>
    <t>DIML950624UQA</t>
  </si>
  <si>
    <t>lennica.diaz@puebla.gob.mx</t>
  </si>
  <si>
    <t>lennica.diaz@gmail.com</t>
  </si>
  <si>
    <t>EDF 17 DEPTO 105 PROLONGACIPN 54 NORTE VILLA VERDE, PUEBLA CP 72303</t>
  </si>
  <si>
    <t>CALLE INTERLOMAS 15 HIXQUILUCAN MEXICO COL LA HERRADURA 2A SECCIÓN CP 52784</t>
  </si>
  <si>
    <t xml:space="preserve">MAESTRIA </t>
  </si>
  <si>
    <t>1523374176</t>
  </si>
  <si>
    <t>00330</t>
  </si>
  <si>
    <t>00351</t>
  </si>
  <si>
    <t>FLORES MORALES LUIS GERARDO</t>
  </si>
  <si>
    <t>FOML980326HPLLRS03</t>
  </si>
  <si>
    <t>FOML980326PK3</t>
  </si>
  <si>
    <t>luis.floresmo@puebla.gob.mx</t>
  </si>
  <si>
    <t>luis_g_6574@hotmail.com</t>
  </si>
  <si>
    <t>5 PONIENTE S/N BARRIO SAN MATEO SANTA MARTIA LA ALTA, TLACOTEPEC DE BENITO JUAREZ, PUEBLA CP 75689</t>
  </si>
  <si>
    <t>CALLE 5 PONIENTE S/N BARRIO SAN MATEO SANTA MARTIA LA ALTA, TLACOTEPEC DE BENITO JUAREZ, PUEBLA CP 75689</t>
  </si>
  <si>
    <t>1535311870</t>
  </si>
  <si>
    <t>00372</t>
  </si>
  <si>
    <t>00439</t>
  </si>
  <si>
    <t>00455</t>
  </si>
  <si>
    <t>00333</t>
  </si>
  <si>
    <t>00361</t>
  </si>
  <si>
    <t>PEREZ MORALES ARENDY</t>
  </si>
  <si>
    <t>PEMA970822MPLRRR09</t>
  </si>
  <si>
    <t>PEMA970822RC7</t>
  </si>
  <si>
    <t>arendy.perez@puebla.gob.mx</t>
  </si>
  <si>
    <t>arendy.perez22@gmail.com</t>
  </si>
  <si>
    <t>CALLE 30 PONIENTE 1906 INT 11B JOSÉ MARIA MORELOS Y PAVON, PUEBLA CP 72080</t>
  </si>
  <si>
    <t>LICENCIATURA EN EDUCACIÓN PÚBLICA Y ADMINISTRACIÓN PÚBLICA</t>
  </si>
  <si>
    <t>1557399003</t>
  </si>
  <si>
    <t>92700212</t>
  </si>
  <si>
    <t>00416</t>
  </si>
  <si>
    <t>00327</t>
  </si>
  <si>
    <t>ZAMORA SILVA RODRIGO VALENTIN</t>
  </si>
  <si>
    <t>ZASR800314HPLMLD00</t>
  </si>
  <si>
    <t>ZASR800314E45</t>
  </si>
  <si>
    <t>rodrigo.zamora@puebla.gob.mx</t>
  </si>
  <si>
    <t>Roadfine14@hotmail.com</t>
  </si>
  <si>
    <t>PZA. EBÁNO EDF H 32 DTO 8, SAN BARTOLO INF, PUEBLA CP 72490</t>
  </si>
  <si>
    <t>CALLE PLAZA DE ALAMO EDIFICIO F 1 NUM 5 INFONAVIT SAN BARTOLO, PUEBLA CP 72490</t>
  </si>
  <si>
    <t>PREPARATORIO</t>
  </si>
  <si>
    <t>1500801181</t>
  </si>
  <si>
    <t>00326</t>
  </si>
  <si>
    <t>00344-1</t>
  </si>
  <si>
    <t>ROSALES DE JESUS GAUDENCIO</t>
  </si>
  <si>
    <t>ROJG840122HPLSSD00</t>
  </si>
  <si>
    <t>ROJG840122KN9</t>
  </si>
  <si>
    <t>gaudencio.rosales@puebla.gob.mx</t>
  </si>
  <si>
    <t>Gaudenciorosales540@gmail.com</t>
  </si>
  <si>
    <t>ALCOMUNGA AJALPAN, PUEBLA CP 75918</t>
  </si>
  <si>
    <t>BACHILLERATO</t>
  </si>
  <si>
    <t>1530942356</t>
  </si>
  <si>
    <t>00402</t>
  </si>
  <si>
    <t>Jefe de Departamento de Patrimonio Cultural</t>
  </si>
  <si>
    <t>00410</t>
  </si>
  <si>
    <t>00328</t>
  </si>
  <si>
    <t>00418</t>
  </si>
  <si>
    <t>PAISANO RAMIREZ BRAULIO ALBERTO</t>
  </si>
  <si>
    <t>PARB730326HPLSMR04</t>
  </si>
  <si>
    <t>PARB730326I5A</t>
  </si>
  <si>
    <t>Jefe de Departamento de Comunicación Indígena</t>
  </si>
  <si>
    <t>braulio.paisano@puebla.gob.mx</t>
  </si>
  <si>
    <t>paisanor6@gmail.com</t>
  </si>
  <si>
    <t>2DA CDA 315 FRACC SAN MARTIN  AMOZOC, PUE.CP 72980</t>
  </si>
  <si>
    <t>CLAVIJERO 24, LOCAL 3 COL HISTORIADORES, PUEBLA CP 72365</t>
  </si>
  <si>
    <t>SECUNDARIA</t>
  </si>
  <si>
    <t>1582676987</t>
  </si>
  <si>
    <t>92700216</t>
  </si>
  <si>
    <t>00325</t>
  </si>
  <si>
    <t>00344</t>
  </si>
  <si>
    <t>CHAVEZ RITO XOCHITL ERENDIRA</t>
  </si>
  <si>
    <t>CARX900806MPLHTC03</t>
  </si>
  <si>
    <t>CARX900806ID9</t>
  </si>
  <si>
    <t>xo.rito16@gmail.com</t>
  </si>
  <si>
    <t>ANDADOR JOSÉ MARIA PONCE 39 INT 3 COL INFONAVIT MANUEL RIVERA ANAYA CP 72309</t>
  </si>
  <si>
    <t>ING. EN PROCESOS ALIMENTARIOS</t>
  </si>
  <si>
    <t>2996742025</t>
  </si>
  <si>
    <t>00370</t>
  </si>
  <si>
    <t>00334</t>
  </si>
  <si>
    <t>00384</t>
  </si>
  <si>
    <t>GAMA MATEOS REYES</t>
  </si>
  <si>
    <t>GAMR930313HPLMTY06</t>
  </si>
  <si>
    <t>GAMR930313HD0</t>
  </si>
  <si>
    <t>Director de Oficinas de representacion</t>
  </si>
  <si>
    <t>reyes.gamma@puebla.gob.mx</t>
  </si>
  <si>
    <t>reyesmateos@gmail.com</t>
  </si>
  <si>
    <t>AND B 38 PONIENTE 1706 COL SAN MUGUEL HUEYOTLIPAN 72050 PUEBLA, PUE.</t>
  </si>
  <si>
    <t xml:space="preserve">MAESTRIA EN EVALUACIÓN DE POLITICAS Y PROGRAMAS PÚBLICOS </t>
  </si>
  <si>
    <t>072650013048666606</t>
  </si>
  <si>
    <t>00432</t>
  </si>
  <si>
    <t>Director de Diálogo y Concertación</t>
  </si>
  <si>
    <t xml:space="preserve">DIRECTOR DE OFICINAS DE REPRESENTACIÓN </t>
  </si>
  <si>
    <t>00319</t>
  </si>
  <si>
    <t>00357</t>
  </si>
  <si>
    <t>FERNANDEZ PEREZ LUIS OMAR</t>
  </si>
  <si>
    <t>FEPL810718HDFRRS01</t>
  </si>
  <si>
    <t>FEPL810718PV6</t>
  </si>
  <si>
    <t>Jefe de Departamento Contencioso</t>
  </si>
  <si>
    <t>luis.fernandez@puebla.gob.mx</t>
  </si>
  <si>
    <t>cezasa@yahoo.com.mx</t>
  </si>
  <si>
    <t>CALLE FRAY PEDRO DE GANTE S/N LOCAL 167 TEXCOCO DE MORA CENTRO TEXCOCO MEXICO CP 56100</t>
  </si>
  <si>
    <t>CALLE 3 PONIENTE NUM 510 DEP 1 TECAMACHALCO PUEBLA CP 75480</t>
  </si>
  <si>
    <t>1536698532</t>
  </si>
  <si>
    <t>00419</t>
  </si>
  <si>
    <t>463</t>
  </si>
  <si>
    <t>92700219</t>
  </si>
  <si>
    <t>00315</t>
  </si>
  <si>
    <t>00371</t>
  </si>
  <si>
    <t>FLORES PETRONILO JOSE ANGEL</t>
  </si>
  <si>
    <t>FOPA010127HPLLTNA4</t>
  </si>
  <si>
    <t>FOPA010127LF8</t>
  </si>
  <si>
    <t>j.ang.fp3@gmail.com</t>
  </si>
  <si>
    <t>CALLE 5 PONIENTE S/N BARRIO SAN MATEO SANTA MARIA LA ALTA TLACOTEPEC DE BENITO JUAREZ, PUE. CP 75689</t>
  </si>
  <si>
    <t>LICENCIADO EN DERECHO</t>
  </si>
  <si>
    <t>1518294272</t>
  </si>
  <si>
    <t>00316</t>
  </si>
  <si>
    <t>00384-1</t>
  </si>
  <si>
    <t>MARTINEZ BAEZ HECTOR ROMUALDO</t>
  </si>
  <si>
    <t>MABH640207HPLRZC08</t>
  </si>
  <si>
    <t>MABH640207BX0</t>
  </si>
  <si>
    <t>hector.baez@puebla.gob.mx</t>
  </si>
  <si>
    <t>hectmb1964@gmail.com</t>
  </si>
  <si>
    <t>REFUGIO RODRIGUEZ NUM 14 SANTA MARIA LA RIVERA PUEBLA. CP 72010</t>
  </si>
  <si>
    <t>92700220</t>
  </si>
  <si>
    <t>00398</t>
  </si>
  <si>
    <t>00441</t>
  </si>
  <si>
    <t>Jefe de Departamento</t>
  </si>
  <si>
    <t>92700221</t>
  </si>
  <si>
    <t>00345</t>
  </si>
  <si>
    <t>00356</t>
  </si>
  <si>
    <t>CECILIO MORENO VIVALDO</t>
  </si>
  <si>
    <t>CEMV920111HPLCRV00</t>
  </si>
  <si>
    <t>CEMV920111U41</t>
  </si>
  <si>
    <t>GO501</t>
  </si>
  <si>
    <t>ceciliovivaldo17@gmail.com</t>
  </si>
  <si>
    <t>C 3 NORTE 3631 COL LAS PALMAS 75720 TEHUACAN, PUE.</t>
  </si>
  <si>
    <t>00335</t>
  </si>
  <si>
    <t>00358</t>
  </si>
  <si>
    <t xml:space="preserve">HILARIO CRUZ MARCOS </t>
  </si>
  <si>
    <t>HICM710425HPLLRR01</t>
  </si>
  <si>
    <t>HICM710425RV5</t>
  </si>
  <si>
    <t>OFICINA DE REPRESENTACION XICOTEPEC</t>
  </si>
  <si>
    <t xml:space="preserve"> </t>
  </si>
  <si>
    <t>marcoshilario2504@gmail.com</t>
  </si>
  <si>
    <t>AV 5 DE MAYO 35 LOC AHUAXINTITLA 73080 XICOTEPEC, PUE.</t>
  </si>
  <si>
    <t>1505610229</t>
  </si>
  <si>
    <t>00339</t>
  </si>
  <si>
    <t>00369</t>
  </si>
  <si>
    <t xml:space="preserve">MARTINEZ CABANZO RODRIGO </t>
  </si>
  <si>
    <t>MACR020222HPLRBDA9</t>
  </si>
  <si>
    <t>MACR020222TX1</t>
  </si>
  <si>
    <t>altav693@gmail.com</t>
  </si>
  <si>
    <t>C 16 DE SEPTIEMBRE S/N SECC CUARTA 75930 ZOQUITLAN, PUE.</t>
  </si>
  <si>
    <t>1519060270</t>
  </si>
  <si>
    <t>00375</t>
  </si>
  <si>
    <t>92700224</t>
  </si>
  <si>
    <t>00336</t>
  </si>
  <si>
    <t>00386</t>
  </si>
  <si>
    <t>MONTERROSA CUEVAS BLANCA EMILIA</t>
  </si>
  <si>
    <t>MOCB890216MPLNVL07</t>
  </si>
  <si>
    <t>MOCB890216P33</t>
  </si>
  <si>
    <t>OFICINA DE REPRESENTACION DE TEHUACAN</t>
  </si>
  <si>
    <t>blnca1989cuevas@gmail.com</t>
  </si>
  <si>
    <t>C VERACRUZ ORIENTE S/N COL FRANCISCO I MADERO 75810 CHAPILCO, PUE.</t>
  </si>
  <si>
    <t>1536722620</t>
  </si>
  <si>
    <t>00337</t>
  </si>
  <si>
    <t>MORALES EVANGELISTA JUDITH</t>
  </si>
  <si>
    <t>MOEJ830614MPLRVD06</t>
  </si>
  <si>
    <t>MOEJ830614677</t>
  </si>
  <si>
    <t>OFICINA DE REPRESENTACION CALCHICOMULA DE SESMA</t>
  </si>
  <si>
    <t>judith.moralese@puebla.com</t>
  </si>
  <si>
    <t>judmorales@outlook.com</t>
  </si>
  <si>
    <t xml:space="preserve">FAROLES 2 COL LA GLORIA CIUDAD SERDAN PUEBLA CP  75520  </t>
  </si>
  <si>
    <t>1537041194</t>
  </si>
  <si>
    <t>92700226</t>
  </si>
  <si>
    <t>00338</t>
  </si>
  <si>
    <t>00374-1</t>
  </si>
  <si>
    <t>HERNANDEZ HERNANDEZ JUVENAL</t>
  </si>
  <si>
    <t>HEHJ710503HPLRRV04</t>
  </si>
  <si>
    <t>HEHJ710503R3A</t>
  </si>
  <si>
    <t>OFICINA DE REPRESENTACION DE ATLIXCO</t>
  </si>
  <si>
    <t>juherhe30000@gmail.com</t>
  </si>
  <si>
    <t>CALLE MORELOS 206 COL CENTRO CHAPULCO PUEBLA CP 75810</t>
  </si>
  <si>
    <t>2746754821</t>
  </si>
  <si>
    <t>92700227</t>
  </si>
  <si>
    <t>00346</t>
  </si>
  <si>
    <t>00355</t>
  </si>
  <si>
    <t>TOBON MENDEZ JOSSELYN</t>
  </si>
  <si>
    <t>TOMJ980805MPLBNS07</t>
  </si>
  <si>
    <t>TOMJ980805HU4</t>
  </si>
  <si>
    <t>tbnmndz@hotmail.com</t>
  </si>
  <si>
    <t>CALLE PONIENTE 1 310 INT 7 JARDINES DE TEHUACAN TEHUACAN, PUE. CP 75769</t>
  </si>
  <si>
    <t>1509962274</t>
  </si>
  <si>
    <t>92700228</t>
  </si>
  <si>
    <t>00350</t>
  </si>
  <si>
    <t>00354</t>
  </si>
  <si>
    <t>PIÑA MUÑOZ PAOLA YAXKIN</t>
  </si>
  <si>
    <t>PIMP011006MDFXXLA9</t>
  </si>
  <si>
    <t>PIMP0110065B1</t>
  </si>
  <si>
    <t>yax.piña@gmail.com</t>
  </si>
  <si>
    <t>AV 30 PONIENTE 106 COL MARTINEZ DEL TRABAJO 72260 PUEBLA, PUE.</t>
  </si>
  <si>
    <t>1502248605</t>
  </si>
  <si>
    <t>00362</t>
  </si>
  <si>
    <t>00400</t>
  </si>
  <si>
    <t xml:space="preserve">ARROYO SOLANO VICTOR HUGO </t>
  </si>
  <si>
    <t>AOSV960401HPLRLC00</t>
  </si>
  <si>
    <t>AOSV960401561</t>
  </si>
  <si>
    <t xml:space="preserve">	victor.arroyos@puebla.gob.mx</t>
  </si>
  <si>
    <t>vick_as1996@hotmail.com</t>
  </si>
  <si>
    <t xml:space="preserve">PLZ DL NOPAL EDIF E14 DP 5 INF SAN BARTOLO PUEBLA, PUE. CP 72490  </t>
  </si>
  <si>
    <t xml:space="preserve">PLZ DL NOPAL EDIF E14 D 5 INF SAN BARTOLO PUEBLA, PUE. CP 72490  </t>
  </si>
  <si>
    <t>LICENCIATURA EN CULTURA FISICA</t>
  </si>
  <si>
    <t>1531722940</t>
  </si>
  <si>
    <t>00363</t>
  </si>
  <si>
    <t>GARCIA BERISTAIN CARLOS</t>
  </si>
  <si>
    <t>GABC840731HPLRRR06</t>
  </si>
  <si>
    <t>GABC840731PQ3</t>
  </si>
  <si>
    <t>Jefe de Departamento de Factor Humano</t>
  </si>
  <si>
    <t>carlos.garciab@puebla.gob.mx</t>
  </si>
  <si>
    <t>charly10gb@outlook.com</t>
  </si>
  <si>
    <t>PV LAS ROSAS 16 A PALMAS TEPEYAC SN NICOLAS, PUE. CP 75726</t>
  </si>
  <si>
    <t>LICENCIATURA EN COMERCIALIZACION</t>
  </si>
  <si>
    <t>150078702</t>
  </si>
  <si>
    <t>00364</t>
  </si>
  <si>
    <t>00411</t>
  </si>
  <si>
    <t xml:space="preserve">ALTA VIVEROS MARIA SALUSTIA </t>
  </si>
  <si>
    <t>AAVS840914MPLLVL04</t>
  </si>
  <si>
    <t>AAVS8409146J6</t>
  </si>
  <si>
    <t>OFICINA DE REPRESENTACION DE AJALPAN</t>
  </si>
  <si>
    <t>maria.alta@puebla.gob.mx</t>
  </si>
  <si>
    <t>marisaluz850@gmail.com</t>
  </si>
  <si>
    <t>CALLE ZACATLA SIN NUMERO ZOQUITLAN ZOQUITLAN PUEBLA CP 75930</t>
  </si>
  <si>
    <t>1522613475</t>
  </si>
  <si>
    <t>00365</t>
  </si>
  <si>
    <t>00401</t>
  </si>
  <si>
    <t>SABINO SERRANO MARIA DE LA LUZ GUADALUPE</t>
  </si>
  <si>
    <t>SASL970519MPLBRZ07</t>
  </si>
  <si>
    <t>SASL970519KG5</t>
  </si>
  <si>
    <t>maria.sabino@puebla.gob.mx</t>
  </si>
  <si>
    <t>luzsabinos@gmail.com</t>
  </si>
  <si>
    <t>CARRET A LOPEZ MATEOS 23 REFORMA Y 20 DE NOVIEMBRE RESURRECCION LA 8 CP 72227 RESURRECCION, PUE.</t>
  </si>
  <si>
    <t>CARR. ADOLFO LOPEZ MATEOS 25 LA RESURRECCION PUEBLA CP 72227</t>
  </si>
  <si>
    <t xml:space="preserve">TECNICO- BACHILLER EN MAQUINAS HERRAMIENTAS </t>
  </si>
  <si>
    <t>1538054915</t>
  </si>
  <si>
    <t>00423</t>
  </si>
  <si>
    <t xml:space="preserve">SABINO SERRANO MARIA DE LA LUZ GUADALUPE </t>
  </si>
  <si>
    <t>00468</t>
  </si>
  <si>
    <t>00366</t>
  </si>
  <si>
    <t>00385</t>
  </si>
  <si>
    <t xml:space="preserve"> ALVARADO ROSAS JESSICA</t>
  </si>
  <si>
    <t>AARJ940621MPLLSS02</t>
  </si>
  <si>
    <t>AARJ940621U83</t>
  </si>
  <si>
    <t>jessica.alvarado@puebla.gob.mx</t>
  </si>
  <si>
    <t>jessicaalro94@gmail.com</t>
  </si>
  <si>
    <t>19 PTE 1304 15 SUR Y 13 SUR TECAMACHALCO R 062 CP 75480 TECAMACHALCO R, PUE.</t>
  </si>
  <si>
    <t>19 PONIENTE 1304 SAN ANTONIO TECAMACHALCO PUEBLA CP 75480</t>
  </si>
  <si>
    <t>1537858204</t>
  </si>
  <si>
    <t>00367</t>
  </si>
  <si>
    <t>MARTINEZ HERNANDEZ NAYELI</t>
  </si>
  <si>
    <t>MAHN960119MPLRRY00</t>
  </si>
  <si>
    <t>MAHN960119TU4</t>
  </si>
  <si>
    <t>OFICINA DE REPRESENTACION ZACATLAN</t>
  </si>
  <si>
    <t>nayeli.martinezh@puebla.gob.mx</t>
  </si>
  <si>
    <t>naye63160@gmail.com</t>
  </si>
  <si>
    <t>7 DE OCTUBRE 86 TIENDA ATOLUCA CP 73967 ATOLUCA, PUE.</t>
  </si>
  <si>
    <t>7 DE OCTUBRE 86 ATOLUCA ATOLUCA TEZIUTLAN CP 73967</t>
  </si>
  <si>
    <t>LICENCIATURA EN GESTION EMPRESARIAL</t>
  </si>
  <si>
    <t>1561232085</t>
  </si>
  <si>
    <t>00373</t>
  </si>
  <si>
    <t>00381</t>
  </si>
  <si>
    <t>PEREZ FLORENTINO UZIEL</t>
  </si>
  <si>
    <t>PEFU900128HPLRLZ04</t>
  </si>
  <si>
    <t>PEFU900128T85</t>
  </si>
  <si>
    <t>uziel.perez@puebla.gob.mx</t>
  </si>
  <si>
    <t>uziel.perez.mx@gmail.com</t>
  </si>
  <si>
    <t>CALLE ACATITA DE BAJAN  5926 LOS ANGELES MAYORAZGO PUEBLA CP 72440</t>
  </si>
  <si>
    <t xml:space="preserve">LICENCIATURA EN FILOSOFIA Y LETRAS </t>
  </si>
  <si>
    <t>1538757991</t>
  </si>
  <si>
    <t>00403</t>
  </si>
  <si>
    <t>00377</t>
  </si>
  <si>
    <t>00409</t>
  </si>
  <si>
    <t>PEREZ JUAREZ BAUDELIO</t>
  </si>
  <si>
    <t>PEJB580501HPLRRD02</t>
  </si>
  <si>
    <t>PEJB580501N67</t>
  </si>
  <si>
    <t>baudelio.perez@puebla.gob.mx</t>
  </si>
  <si>
    <t>baudelioperez733@gmail.com</t>
  </si>
  <si>
    <t>16 DE SEPTIEMBRE 13 CENTRO ZACATLAN PUEBLA CP 73310</t>
  </si>
  <si>
    <t>16 DE SEPTIEMBRE 13 CENTRO  ZACATLAN PUEBLA CP 73310</t>
  </si>
  <si>
    <t xml:space="preserve">LICENCIATURA EN EDUCACION MEDIA </t>
  </si>
  <si>
    <t>1538733386</t>
  </si>
  <si>
    <t>00436</t>
  </si>
  <si>
    <t>00382</t>
  </si>
  <si>
    <t>GONZALEZ JUAREZ JOSE CARLOS</t>
  </si>
  <si>
    <t>GOJC881118HMCNRR09</t>
  </si>
  <si>
    <t>GOJC881118R12</t>
  </si>
  <si>
    <t>jose.gonzalez@puebla.gob.mx</t>
  </si>
  <si>
    <t>josecarlosgj@hotmail.com</t>
  </si>
  <si>
    <t xml:space="preserve">AV 131 PTE 2713 C FRACC HACIENDA SANTA CLARA 72498 PUEBLA </t>
  </si>
  <si>
    <t>CALLE ABASOLO 38 PRIMERO DE SEPTIEMBRE ATIZAPAN DE ZARAGOZA 52910</t>
  </si>
  <si>
    <t>1523834062</t>
  </si>
  <si>
    <t>00383</t>
  </si>
  <si>
    <t>SANCHEZ ROLDAN KARIME ELVIRA</t>
  </si>
  <si>
    <t>SARK950511MPLNLR08</t>
  </si>
  <si>
    <t>SARK950511I96</t>
  </si>
  <si>
    <t>karime.sanchez@puebla.gob.mx</t>
  </si>
  <si>
    <t>karimesnr@gmail.com</t>
  </si>
  <si>
    <t>C CABERNET 9 FRACC RINCON DE ATLIXCAYOTL 72821 SAN ANDRES CHOLULA PUEBLA</t>
  </si>
  <si>
    <t>AV DEFENSORES DE LA REPUBLICA 9411 INT 1 COL MIGUEL HIDALGO PUEBLA CP 72314</t>
  </si>
  <si>
    <t>LICENCIATURA EN COMUNICACIÓN</t>
  </si>
  <si>
    <t>1571531430</t>
  </si>
  <si>
    <t>00387</t>
  </si>
  <si>
    <t>00452</t>
  </si>
  <si>
    <t>SERRANO MONROY LESLY ABIGAIL</t>
  </si>
  <si>
    <t>SEML991109MHGRNS06</t>
  </si>
  <si>
    <t>SEML9911095R6</t>
  </si>
  <si>
    <t>lesly.serrano@puebla.gob.mx</t>
  </si>
  <si>
    <t>abigail.monroy293@gmail.com</t>
  </si>
  <si>
    <t>C JACARANDA 2 BARR EL CARMEN FRACC LA PURISIMA 42300 IXMIQUILPAN HGO</t>
  </si>
  <si>
    <t>CALLE JACARANDA NUM 2 COL LA PURISIMA IXMIQUILPAN HIDALGO CP 42302</t>
  </si>
  <si>
    <t xml:space="preserve">LICENCIATURA EN PSICOLOGIA </t>
  </si>
  <si>
    <t>1542700448</t>
  </si>
  <si>
    <t>00388</t>
  </si>
  <si>
    <t>ABURTO RODRIGUEZ JESSICA</t>
  </si>
  <si>
    <t>AURJ960422MPLBDS06</t>
  </si>
  <si>
    <t>AURJ960422H34</t>
  </si>
  <si>
    <t>Directora de Administración y Finanzas</t>
  </si>
  <si>
    <t>jessica.aburto@puebla.gob.mx</t>
  </si>
  <si>
    <t>Jess.aburto04@gmail.com</t>
  </si>
  <si>
    <t>JOSE MA. MORELOS Y PAVON NUM 28 COL. SAN CRISTOBAL CALERAS CP 72100 PUEBLA</t>
  </si>
  <si>
    <t>AV CAMINO AL ITESO 8350 EL MANTE SAN PEDRO TLAQUEPAQUE JALISCO 45609</t>
  </si>
  <si>
    <t>1547693532</t>
  </si>
  <si>
    <t>00394</t>
  </si>
  <si>
    <t>00406</t>
  </si>
  <si>
    <t>CECILIO MORENO CRISTIAN ALEJANDRO</t>
  </si>
  <si>
    <t>CEMC901211HPLCRR05</t>
  </si>
  <si>
    <t>CEMC901211FT2</t>
  </si>
  <si>
    <t>cristian.cecilio@puebla.com</t>
  </si>
  <si>
    <t>wolr_sda@hotmail.com</t>
  </si>
  <si>
    <t>C ADOLFO LOPEZ MATEOS 2615 COL SANTIAGO TULA 75720 TEHUACAN PUEBLA</t>
  </si>
  <si>
    <t>ADOLFO LOPEZ MATEOS 2615EJIDO DE TULA TEHUACAN PUEBLA CP 75720</t>
  </si>
  <si>
    <t>PASANTE LICENCIATURA EN EDUCACION PRIMARIA PARA EL MEDIO INDIGENA</t>
  </si>
  <si>
    <t>1537358620</t>
  </si>
  <si>
    <t>462</t>
  </si>
  <si>
    <t>00395</t>
  </si>
  <si>
    <t>00415</t>
  </si>
  <si>
    <t>LOPEZ PEREZ MARTHA</t>
  </si>
  <si>
    <t>LOPM961024MPLPRR09</t>
  </si>
  <si>
    <t>LOPM961024MB2</t>
  </si>
  <si>
    <t>martha.lopez@puebla.gob.mx</t>
  </si>
  <si>
    <t>martharhinpode@gmail.com</t>
  </si>
  <si>
    <t>AND SANTO TOMAS 3 202 FRACC MUI HOGAR SANTO 72595 PUEBLA</t>
  </si>
  <si>
    <t>CALLE ANDADOR SANTA MARIA EDF 3 202 SANTO TOMAS CHAUTLA PUEBLA CP 72595</t>
  </si>
  <si>
    <t>LICENCIATURA EN INGENIERIA FINANCIERA, FISCAL Y CONTADOR PUBLICO</t>
  </si>
  <si>
    <t>1541220855</t>
  </si>
  <si>
    <t>00454</t>
  </si>
  <si>
    <t>Jefa de Departamento de Recursos Financieros</t>
  </si>
  <si>
    <t>144416</t>
  </si>
  <si>
    <t>00396</t>
  </si>
  <si>
    <t>00426</t>
  </si>
  <si>
    <t>GARCIA TRUEBA GUADALUPE SANDY</t>
  </si>
  <si>
    <t>GATG851123MPLRRD00</t>
  </si>
  <si>
    <t>GATG8511236A9</t>
  </si>
  <si>
    <t>Directora de Oficinas de Representacion</t>
  </si>
  <si>
    <t>Sandy_Trueba@hotmail.com</t>
  </si>
  <si>
    <t>CALLE IGNACIO ZARAGOZA 48 COL FRANCISCO I MADERO 72123 PUEBLA</t>
  </si>
  <si>
    <t>CALLE IGNACIO ZARAGOZA 48 FRANCISCO I MADERO PUEBLA CP 72130</t>
  </si>
  <si>
    <t>1513611878</t>
  </si>
  <si>
    <t>00404</t>
  </si>
  <si>
    <t>MELENDEZ PEREZ SUSANA</t>
  </si>
  <si>
    <t>MEPS840408MPLLRS07</t>
  </si>
  <si>
    <t>MEPS840408H88</t>
  </si>
  <si>
    <t>susana.melendez@puebla.gob.mx</t>
  </si>
  <si>
    <t>melendezsusana8@gmail.com</t>
  </si>
  <si>
    <t>C GUILLERMO GONZALEZ S/N LOC HUEYTLALPAN 73430 HUEYTLALPAN, PUE.</t>
  </si>
  <si>
    <t xml:space="preserve"> CALLE 5 DE MAYO EXTERIOR 2 COL CENTRO TEZIUTLAN PUEBLA CP 73800</t>
  </si>
  <si>
    <t>PASANTE EN CIENCIAS POLITICAS</t>
  </si>
  <si>
    <t>1526504972</t>
  </si>
  <si>
    <t>00405</t>
  </si>
  <si>
    <t>00422</t>
  </si>
  <si>
    <t>VARILLAS SANCHEZ JUDITH</t>
  </si>
  <si>
    <t>VASJ810823MPLRND00</t>
  </si>
  <si>
    <t>VASJ810823HT3</t>
  </si>
  <si>
    <t>judith.varillas@puebla.gob.mx</t>
  </si>
  <si>
    <t>jvasan_81@outlook.com</t>
  </si>
  <si>
    <t>CALLE SEDESOL 24 COL JUAN PABLO ll 75855 TEHUACAN, PUE.</t>
  </si>
  <si>
    <t>CALLE SEDESOL LOTE 24 S/N TEHUACAN PUEBLA CP 75750</t>
  </si>
  <si>
    <t>1554462351</t>
  </si>
  <si>
    <t>00437</t>
  </si>
  <si>
    <t>00412</t>
  </si>
  <si>
    <t>BALDERAS HERNANDEZ ANA KAREN</t>
  </si>
  <si>
    <t>BAHA900124MPLLRN07</t>
  </si>
  <si>
    <t>BAHA900124QA6</t>
  </si>
  <si>
    <t>ana.balderas@puebla.gob.mx</t>
  </si>
  <si>
    <t>kren_ana@hotmail.com</t>
  </si>
  <si>
    <t>C13 B 26-6 FRACC GALAXIA BOSQUES DE AMALUCAN 72310 PUEBLA, PUE.</t>
  </si>
  <si>
    <t>CALLE 13 B EXT 26 INT 6 BOSQUES DE AMALUCAN 2DA SECCION PUEBLA CP 72310</t>
  </si>
  <si>
    <t>PASANTE LICENCIATURA DERECHO</t>
  </si>
  <si>
    <t>1540558976</t>
  </si>
  <si>
    <t>00414</t>
  </si>
  <si>
    <t>MARTINEZ DIAZ GABRIEL</t>
  </si>
  <si>
    <t>MADG821227HPLRZB00</t>
  </si>
  <si>
    <t>MADG821227RH7</t>
  </si>
  <si>
    <t>gabriel.martinezd@puebla.gob.mx</t>
  </si>
  <si>
    <t>gatogabriel_27@hotmail.com</t>
  </si>
  <si>
    <t>PROL 9 NORTE EDIF 10016 F U HAB VILLA FONTERA 72200 PUEBLA, PUE.</t>
  </si>
  <si>
    <t>ALFONSO REYES 115 HIPODROMO DE LA CONDESA CUAUHTEMOC CUIDAD DE MEXICO CP 06170</t>
  </si>
  <si>
    <t>TECNICO PROGRAMACION</t>
  </si>
  <si>
    <t>1522422321</t>
  </si>
  <si>
    <t>00413</t>
  </si>
  <si>
    <t>00431</t>
  </si>
  <si>
    <t>MARTINEZ REYES MELISSA YARETZI</t>
  </si>
  <si>
    <t>MARM000121MPLRYLA9</t>
  </si>
  <si>
    <t>MARM0001215Q0</t>
  </si>
  <si>
    <t>melissa.martinez@puebla.gob.mx</t>
  </si>
  <si>
    <t>melissayaretzi.martinezreyes@gmail.com</t>
  </si>
  <si>
    <t xml:space="preserve">AV 5 DE MAYO 48 COL CENTRO 75980 COXCATLAN, PUE. </t>
  </si>
  <si>
    <t>AV 5 DE MAYO 48 CENTRO COXCATLAN CP 75980</t>
  </si>
  <si>
    <t>1516662750</t>
  </si>
  <si>
    <t>00438</t>
  </si>
  <si>
    <t>00420</t>
  </si>
  <si>
    <t>00457</t>
  </si>
  <si>
    <t>HERRERIAS GARZON MARIO ARTURO</t>
  </si>
  <si>
    <t>HEGM000103HPLRRRA2</t>
  </si>
  <si>
    <t>HEGM000103E88</t>
  </si>
  <si>
    <t>DEPARTAMENTO DE ADMINISTRACIÓN Y FINANZAS</t>
  </si>
  <si>
    <t>arturo.herrerias@puebla.gob.mx</t>
  </si>
  <si>
    <t>marioherrerias2000@gmail.com</t>
  </si>
  <si>
    <t>AND EJE 11 NORTE 10002 A U HAB VILLA FRONTERA 72220 PUEBLA, PUE.</t>
  </si>
  <si>
    <t>ANDADOR EJE 11 NORTE 10002 A INFONAVIT VILLA FRONTERA PUEBLA CP 72016</t>
  </si>
  <si>
    <t>LICENCIADNO EN ADMINISTRACION DE EMPRESAS</t>
  </si>
  <si>
    <t>1544269479</t>
  </si>
  <si>
    <t>00421</t>
  </si>
  <si>
    <t>SANCHEZ CESARIO EFREN</t>
  </si>
  <si>
    <t>SACE000108HPLNSFA3</t>
  </si>
  <si>
    <t>SACE000108F14</t>
  </si>
  <si>
    <t>efren.sanchez@puebla.gob.mx</t>
  </si>
  <si>
    <t>x|efrensanchez686@gmail.com</t>
  </si>
  <si>
    <t>LOC TLAXITLA S/N LOC TLAXITLA 75910 AJALPAN, PUEBLA</t>
  </si>
  <si>
    <t>CALLE ZACATLAMANIC S/N BARRIO TEOPUXCO CUIDAD DE AJALPAN PUEVLA CP 75910</t>
  </si>
  <si>
    <t>PASANTE EN LICENCIATURA EN INGENIERIA EN AGRONOMIA</t>
  </si>
  <si>
    <t>1572607894</t>
  </si>
  <si>
    <t>00425</t>
  </si>
  <si>
    <t>00433</t>
  </si>
  <si>
    <t>SANCHEZ HERNANDEZ HECTOR MARTIN</t>
  </si>
  <si>
    <t>SAHH881117HPLNRC025</t>
  </si>
  <si>
    <t>SAHH881117JD3</t>
  </si>
  <si>
    <t>hector.sanchez@puebla.gob.mx</t>
  </si>
  <si>
    <t>ing.zechnas@live.com.mx</t>
  </si>
  <si>
    <t>C PUEBLA 4 LOC METLALTOYUCA 73000 FRANCISCO Z MENA, PUE.</t>
  </si>
  <si>
    <t>CALLE PUEBLA NUM 4 FRANCISCO Z MENA PUEBLA CP 73000</t>
  </si>
  <si>
    <t>LICENCIADO EN CRIMINILOGIA Y CRIMINALISTICA</t>
  </si>
  <si>
    <t>1583295286</t>
  </si>
  <si>
    <t>00451</t>
  </si>
  <si>
    <t>00427</t>
  </si>
  <si>
    <t>ROSETE DAVALOS ANGELA MARIANA</t>
  </si>
  <si>
    <t>RODA970315MTLSVN04</t>
  </si>
  <si>
    <t>RODA970315UM8</t>
  </si>
  <si>
    <t>angela.rosete@puebla.gob.mx</t>
  </si>
  <si>
    <t>amariana.roseted@gmail.com</t>
  </si>
  <si>
    <t>C HIDALGO SUR 19 BARR LA CONCHA 90800 CHIAUTEMPAN, TLAX.</t>
  </si>
  <si>
    <t>CALLE HIDLAGOSUR 19 LA CONCEPCION TLAXCALA CP 90800</t>
  </si>
  <si>
    <t>LICENCIATURA EN CIENCIAS DE LA FAMILIA</t>
  </si>
  <si>
    <t>1528252462</t>
  </si>
  <si>
    <t>00428</t>
  </si>
  <si>
    <t>00453</t>
  </si>
  <si>
    <t>LUNA HERNANDEZ RENE</t>
  </si>
  <si>
    <t>LUHR670814HPLNRN04</t>
  </si>
  <si>
    <t>LUHR6708149D9</t>
  </si>
  <si>
    <t>rene.luna@puebla.gob.mx</t>
  </si>
  <si>
    <t>renelunah@hotmail.com</t>
  </si>
  <si>
    <t>C LAZARO CARDENAS 12 BARR SAN JUAN 72590 PUEBLA, PUE.</t>
  </si>
  <si>
    <t>CALLE LAZARO CARDENAS NUM 12 BARRIO DE SAN JUAN SAN FRANCISCO TOTIMEHUACAN PUEBLA CP 72590</t>
  </si>
  <si>
    <t>1581837331</t>
  </si>
  <si>
    <t>00429</t>
  </si>
  <si>
    <t>00446</t>
  </si>
  <si>
    <t>JUAREZ MONTIEL VICENTE NICOLAS</t>
  </si>
  <si>
    <t>JUMV560911HPLRNC01</t>
  </si>
  <si>
    <t>JUMV560911RR8</t>
  </si>
  <si>
    <t>vicente.juarez@puebla.gob.mx</t>
  </si>
  <si>
    <t>comunicacionplural1@hotmail.com</t>
  </si>
  <si>
    <t>AV DE LAS FLORES EDIF 12 DEPTO B U HAB SAN JOSE XILOTZINGO 72590 PUEBLA, PUE.</t>
  </si>
  <si>
    <t>6533402967</t>
  </si>
  <si>
    <t>460</t>
  </si>
  <si>
    <t>JIMENEZ CANO JOSE</t>
  </si>
  <si>
    <t>JICJ750712HVZMNS02</t>
  </si>
  <si>
    <t>JICJ750712G42</t>
  </si>
  <si>
    <t>jose.jimenezc@puebla.gob.mx</t>
  </si>
  <si>
    <t>josejc9736@gmail.com</t>
  </si>
  <si>
    <t>C JILGUERO 144 COL LOS LLANOS 74220 ATLIXCO, PUE.</t>
  </si>
  <si>
    <t>CALLE JILGUERO NUM 144 COL BENITO JUAREZ ATLIXCO PUEBLA CP 742220</t>
  </si>
  <si>
    <t>INGENIERO AGRONOMO</t>
  </si>
  <si>
    <t>1546358070</t>
  </si>
  <si>
    <t>00442</t>
  </si>
  <si>
    <t>TEOYOTL MORALES REYNA LAURA</t>
  </si>
  <si>
    <t>TEMR721229MPLYRY05</t>
  </si>
  <si>
    <t>TEMR721229TM6</t>
  </si>
  <si>
    <t>reyna.teoyotl@puebla.gob.mx</t>
  </si>
  <si>
    <t>lauratmorales29@gmail.com</t>
  </si>
  <si>
    <t>C 14 DE FEBRERO 11127 COL TRES CERRITOS 72480 PUEBLA, PUE.</t>
  </si>
  <si>
    <t>CALLE 14 DE FEBRERO 11127 COL TRES CERRITOS PUEBLA CP 72480</t>
  </si>
  <si>
    <t>1549384105</t>
  </si>
  <si>
    <t>00443</t>
  </si>
  <si>
    <t>00444</t>
  </si>
  <si>
    <t>RAMOS DIEGO JOSE LUIS</t>
  </si>
  <si>
    <t>RADL940902HDFMGS00</t>
  </si>
  <si>
    <t>RADL9409029W6</t>
  </si>
  <si>
    <t>josehplord@gmail.com</t>
  </si>
  <si>
    <t>AV AQUILES SERDAN 211 BARR ZENTLAPATL 75960 ZINACATEPEC, PUE.</t>
  </si>
  <si>
    <t>AVENIDA AQUILES DE SERDAN 221 COL ZENTLAPALT CP 75960</t>
  </si>
  <si>
    <t>LICENCIATURA EN ENSEÑANZA DEL INGLES</t>
  </si>
  <si>
    <t>2876458238</t>
  </si>
  <si>
    <t>00448</t>
  </si>
  <si>
    <t>00467</t>
  </si>
  <si>
    <t>OLIVARES MEDINA GENESIS</t>
  </si>
  <si>
    <t>OIMG901114MPLLDN07</t>
  </si>
  <si>
    <t>OIMG9011141W6</t>
  </si>
  <si>
    <t>genesis.olivares@puebla.gob.mx</t>
  </si>
  <si>
    <t>genoli1490@gmail.com</t>
  </si>
  <si>
    <t>AV VERACRUZ 22 SAN HIPOLITO XOCHILTENANGO 75219 TEPEACA,PUE.</t>
  </si>
  <si>
    <t>CALLE AVENIDA COLON PONIENTE 203 CENTRO TEPEACA PUEBLA CP 75200</t>
  </si>
  <si>
    <t>PASANTE LICENCIATURA EN COMINICACION</t>
  </si>
  <si>
    <t>1551175745</t>
  </si>
  <si>
    <t>00450</t>
  </si>
  <si>
    <t>ROJAS ZARATE PEDRO YEHOSHUA</t>
  </si>
  <si>
    <t>ROZP961030HTLJRD01</t>
  </si>
  <si>
    <t>ROZP961030TL3</t>
  </si>
  <si>
    <t>pedro.rojas@puebla.gob.mx</t>
  </si>
  <si>
    <t>pedrorojaszar96@gmail.com</t>
  </si>
  <si>
    <t>AV 139B PTE 2506 13 FRACC SAN ISIDRO CASTILLOTLA 72496 PUEBLA,PUE.</t>
  </si>
  <si>
    <t>CERRADA 139 B PONIENTE 13 2506 PUEBLA  CP 72496</t>
  </si>
  <si>
    <t>1527529688</t>
  </si>
  <si>
    <t>00456</t>
  </si>
  <si>
    <t>BUSTAMANTE SOLIS SILVIA</t>
  </si>
  <si>
    <t>BUSS900905MPLSLL00</t>
  </si>
  <si>
    <t>BUSS900905E42</t>
  </si>
  <si>
    <t>silvia.bustamante@puebla.gob.mx</t>
  </si>
  <si>
    <t>bustamantesolissilvia52@gmail.com</t>
  </si>
  <si>
    <t>AV NACIONAL ORIENTE 70-JOSE MARIA PINO SUAREZ 75809 TEPANCO DE LOPEZ, PUE.</t>
  </si>
  <si>
    <t>CARR KM 15 CARRET FED TEH PUE JOSE MARIA PINO SUAREZ 2 CP 75809</t>
  </si>
  <si>
    <t>LICENCIATURA EN DERECHO CORPORATIVO</t>
  </si>
  <si>
    <t>1585388468</t>
  </si>
  <si>
    <t>00458</t>
  </si>
  <si>
    <t>MEZA ALONSO ANGEL</t>
  </si>
  <si>
    <t>MEAA980618HPLZLN01</t>
  </si>
  <si>
    <t>MEAA980618EZ5</t>
  </si>
  <si>
    <t>angel.meza@puebla.gob.mx</t>
  </si>
  <si>
    <t>amezaalonso@gmail.com</t>
  </si>
  <si>
    <t>AV 1RO DE MAYO 1407 C COL HOGAR DEL OBRERO 74260 ATLIXCO, PUE.</t>
  </si>
  <si>
    <t>1 DE MAYO 1407 C HOGAR DEL OBRERO ATLIXCO CP 74260</t>
  </si>
  <si>
    <t>LICENCIATURA EN CIENCIAS POLITICAS</t>
  </si>
  <si>
    <t>1236762283</t>
  </si>
  <si>
    <t>461</t>
  </si>
  <si>
    <t>BLANCO GONZALEZ ALEJANDRO</t>
  </si>
  <si>
    <t>BAGA930212HPLLNL07</t>
  </si>
  <si>
    <t>BAGA930212TB0</t>
  </si>
  <si>
    <t>alejandro.blanco.g@puebla.gob.mx</t>
  </si>
  <si>
    <t>sxe_alex_sxe@hotmail.com</t>
  </si>
  <si>
    <t>FRACCINAMIENTO RANCHO VIEJO 1308 B 75857 TEHUACAN, PUE.</t>
  </si>
  <si>
    <t xml:space="preserve">19 1621 B FRACCIONAMIENTO SANTA MARIA CP 75857 TEHUACAN </t>
  </si>
  <si>
    <t>LICENCIATURA EN LENGUAS EXTRANJERAS</t>
  </si>
  <si>
    <t>1176209246</t>
  </si>
  <si>
    <t>464</t>
  </si>
  <si>
    <t>RAMIREZ VAZQUEZ IRMA</t>
  </si>
  <si>
    <t>RAVI720214MPLMZR00</t>
  </si>
  <si>
    <t>RAVI720214Q95</t>
  </si>
  <si>
    <t>Directora de Diálogo y Concertación</t>
  </si>
  <si>
    <t>irma.ramirez@puebla.gob.mx</t>
  </si>
  <si>
    <t>irma_ramirez_v@hotmail.com</t>
  </si>
  <si>
    <t>U HAB XEL-HUA ll 72730 CUAUTLANCINGO, PUE.</t>
  </si>
  <si>
    <t>U HAB XEL-HUA ll 72730 CUAUTLANCINGO,PUE.</t>
  </si>
  <si>
    <t>1563476645</t>
  </si>
  <si>
    <t>465</t>
  </si>
  <si>
    <t>LOPEZ CASTRO MA. ISABEL</t>
  </si>
  <si>
    <t>LOCI610523MPLPSS17</t>
  </si>
  <si>
    <t>LOCI6105239C6</t>
  </si>
  <si>
    <t>ma.lopez@puebla.gob.mx</t>
  </si>
  <si>
    <t>iloma2325.5@gmail.com</t>
  </si>
  <si>
    <t>C17 SUR 1103 COL LA PURISIMA 75784 TEHUACAN, PUE.</t>
  </si>
  <si>
    <t>CALLE 17 SUR 1103 LA PURISICA TEHUACAN,PUEBLA CP 75784</t>
  </si>
  <si>
    <t xml:space="preserve">LICENCIATURA EN DERECHO CORPORATIVO </t>
  </si>
  <si>
    <t>1558336791</t>
  </si>
  <si>
    <t xml:space="preserve">DANIEL </t>
  </si>
  <si>
    <t>TORIBIO TECPIL MARIA GUADALUPE</t>
  </si>
  <si>
    <t>TOTG970124MPLRCD00</t>
  </si>
  <si>
    <t>TOTG970124RJ3</t>
  </si>
  <si>
    <t>maria.toribio@puebla.gob.mx</t>
  </si>
  <si>
    <t>lupitatoribio76@gmail.com</t>
  </si>
  <si>
    <t>C NARCISO MENDOZA S/N BARR FATIMA 75910 AJALPAN, PUE.</t>
  </si>
  <si>
    <t>CALLE NARCIZO MENDOZA S/N BARRIO LA FATIMA AJALPAN PUEBLA CP 75910</t>
  </si>
  <si>
    <t>PASANTE LICENCIATURA EN ADMINISTRACION DE EMPRESAS TURISTICAS</t>
  </si>
  <si>
    <t>1340141815</t>
  </si>
  <si>
    <t>PLAZA</t>
  </si>
  <si>
    <t>NOMBRE</t>
  </si>
  <si>
    <t>ADSCRIPCIÓN</t>
  </si>
  <si>
    <t>CATEGORIA</t>
  </si>
  <si>
    <t>PERCEPCION MENSUAL</t>
  </si>
  <si>
    <t>STATUS</t>
  </si>
  <si>
    <t xml:space="preserve">ANALISTA ESPECIALIZADO </t>
  </si>
  <si>
    <t>ACTIVA</t>
  </si>
  <si>
    <t>ANALISTA ESPECIALIZADO UTI</t>
  </si>
  <si>
    <t>UNIDAD DE DESARROLLO DE TECNOLOGIAS DE LA INFORMACIÓN</t>
  </si>
  <si>
    <t>CONGELADA</t>
  </si>
  <si>
    <t>ANALISTA ESPECIALIZADO DT</t>
  </si>
  <si>
    <t>DIRECCION DE DESARROLLO CON IDENTIDAD INDIGENA</t>
  </si>
  <si>
    <t>DIRECTOR OFICINAS REGIONALES</t>
  </si>
  <si>
    <t>ANALISTA ESPECIALIZADO HUAHUCHINANGO</t>
  </si>
  <si>
    <t>ANALISTA ESPECIALIZADO TETELA  DE OCAMPO</t>
  </si>
  <si>
    <t>ANALISTA ESPECIALIZADO RF</t>
  </si>
  <si>
    <t>MAS J6</t>
  </si>
  <si>
    <t>SECRETARIA TECNICA</t>
  </si>
  <si>
    <t xml:space="preserve">ANALISTA ESPECIALIZADO CONSULTIVO B </t>
  </si>
  <si>
    <t>SECRETARIO TECNICO</t>
  </si>
  <si>
    <t>SUDIRECTOR UNIDAD DE DESARROLLO DE TECNOLOGIAS DE LA INFORMACIÓN</t>
  </si>
  <si>
    <t>SUBDIRECTOR UNIDAD JURÍDICA</t>
  </si>
  <si>
    <t>ANALISTA ESPECIALIZADO CONSULTIVO</t>
  </si>
  <si>
    <t>DIRECTOR DE DESARROLLO CON IDENTIDAD INDIGENA</t>
  </si>
  <si>
    <t>SECRETARIA</t>
  </si>
  <si>
    <t>ANALISTA ESPECIALIZADO DPT</t>
  </si>
  <si>
    <t>ANALISTA ESPECIALIZADO DFE</t>
  </si>
  <si>
    <t>ANALISTA ESPECIALIZADO MSG</t>
  </si>
  <si>
    <t>LUNA LÓPEZ ROCIO</t>
  </si>
  <si>
    <t>ANALISTA ESPECIALIZADO DPC</t>
  </si>
  <si>
    <t>ANALISTA ESPECIALIZADO TEHUACAN</t>
  </si>
  <si>
    <t>ANALISTA ESPECIALIZADO DI</t>
  </si>
  <si>
    <t>DIRECCION DE DIALOGO Y CONCERTACIÓN</t>
  </si>
  <si>
    <t>VACANTE</t>
  </si>
  <si>
    <t xml:space="preserve">SECRETARIA </t>
  </si>
  <si>
    <t>xº</t>
  </si>
  <si>
    <t>ANALISTA ESPECIALIZADO DDI</t>
  </si>
  <si>
    <t>DIRECTOR ACADEMIA DE LAS LENGUAS INDÍGENAS</t>
  </si>
  <si>
    <t>DIRECCIÓN DE ACADEMIA DE LENGUAS INDIGENAS</t>
  </si>
  <si>
    <t>RUFINA SOLANO LUNA</t>
  </si>
  <si>
    <t>ANALISTA ESPECIALIZADO FACTOR HUMANO</t>
  </si>
  <si>
    <t>ANALISTA ESPECIALIZADO FH</t>
  </si>
  <si>
    <t>ANALISTA ESPECIALIZADO LA FRAGUA</t>
  </si>
  <si>
    <t>ANALISTA ESPECIALIZADO COMUNICACIÓN INDÍGENA</t>
  </si>
  <si>
    <t>RIVERA VAZQUEZ DEMETRIO</t>
  </si>
  <si>
    <t xml:space="preserve">OFICIAL A </t>
  </si>
  <si>
    <t>TRASFERENCIA</t>
  </si>
  <si>
    <t>ANALISTA ESPECIALIZADO HUEHUETLA</t>
  </si>
  <si>
    <t>ANALISTA ESPECIALIZADO RECURSOS FINANCIEROS</t>
  </si>
  <si>
    <t>ANALISTA  TEHUACAN</t>
  </si>
  <si>
    <t>ANALISTA ESPECIALIZADO ZACAPOAXTLA</t>
  </si>
  <si>
    <t>ANALISTA ESPECIALIZADO TEZIUTLAN</t>
  </si>
  <si>
    <t>ANALISTA ESPECIALIZADO CONSULTIVO B TEZIUTLAN</t>
  </si>
  <si>
    <t>ANALISTA ESPECIALIZADO CP</t>
  </si>
  <si>
    <t>ANALISTA ESPECIALIZADO TEPEXI DE RODRIGUEZ</t>
  </si>
  <si>
    <t>ANALISTA ESPECIALIZADO DERECHOS INDÍGENAS</t>
  </si>
  <si>
    <t>ANALISTA ESPECIALIZADO DDC</t>
  </si>
  <si>
    <t>Columna1</t>
  </si>
  <si>
    <t>Columna2</t>
  </si>
  <si>
    <t>Columna3</t>
  </si>
  <si>
    <t>180</t>
  </si>
  <si>
    <t>190</t>
  </si>
  <si>
    <t>1902</t>
  </si>
  <si>
    <t>1903</t>
  </si>
  <si>
    <t>1904</t>
  </si>
  <si>
    <t>1905</t>
  </si>
  <si>
    <t>1906</t>
  </si>
  <si>
    <t>1907</t>
  </si>
  <si>
    <t>1908</t>
  </si>
  <si>
    <t>1909</t>
  </si>
  <si>
    <t xml:space="preserve">CATEGORÍA 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</si>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</sst>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540A]dd\-mmm\-yy;@"/>
    <numFmt numFmtId="165" formatCode="#,##0.00\ _€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theme="0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0" fontId="1" fillId="0" borderId="0"/>
  </cellStyleXfs>
  <cellXfs count="127">
    <xf numFmtId="0" fontId="0" fillId="0" borderId="0" xfId="0"/>
    <xf numFmtId="0" fontId="3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2" applyFont="1" applyAlignment="1">
      <alignment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vertical="center"/>
    </xf>
    <xf numFmtId="0" fontId="1" fillId="0" borderId="0" xfId="2" applyAlignment="1">
      <alignment horizontal="left" vertical="center" wrapText="1"/>
    </xf>
    <xf numFmtId="49" fontId="1" fillId="0" borderId="0" xfId="2" applyNumberFormat="1" applyAlignment="1">
      <alignment vertical="center"/>
    </xf>
    <xf numFmtId="0" fontId="1" fillId="0" borderId="0" xfId="2" applyAlignment="1">
      <alignment horizontal="left" vertical="center"/>
    </xf>
    <xf numFmtId="0" fontId="1" fillId="0" borderId="0" xfId="2" applyAlignment="1">
      <alignment vertical="center" wrapText="1"/>
    </xf>
    <xf numFmtId="0" fontId="1" fillId="0" borderId="0" xfId="2" applyAlignment="1">
      <alignment horizontal="center" vertical="center" wrapText="1"/>
    </xf>
    <xf numFmtId="43" fontId="1" fillId="0" borderId="0" xfId="3" applyFont="1" applyBorder="1" applyAlignment="1">
      <alignment vertical="center"/>
    </xf>
    <xf numFmtId="49" fontId="1" fillId="0" borderId="0" xfId="2" applyNumberFormat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0" fillId="4" borderId="1" xfId="0" applyFill="1" applyBorder="1"/>
    <xf numFmtId="0" fontId="9" fillId="4" borderId="1" xfId="0" applyFont="1" applyFill="1" applyBorder="1" applyAlignment="1">
      <alignment horizontal="center" wrapText="1"/>
    </xf>
    <xf numFmtId="0" fontId="9" fillId="4" borderId="1" xfId="0" applyFont="1" applyFill="1" applyBorder="1"/>
    <xf numFmtId="0" fontId="0" fillId="0" borderId="1" xfId="0" applyBorder="1"/>
    <xf numFmtId="43" fontId="0" fillId="0" borderId="1" xfId="0" applyNumberFormat="1" applyBorder="1"/>
    <xf numFmtId="0" fontId="0" fillId="3" borderId="1" xfId="0" applyFill="1" applyBorder="1"/>
    <xf numFmtId="43" fontId="0" fillId="3" borderId="1" xfId="0" applyNumberFormat="1" applyFill="1" applyBorder="1"/>
    <xf numFmtId="0" fontId="1" fillId="0" borderId="0" xfId="2" applyFill="1" applyAlignment="1">
      <alignment horizontal="left" vertical="center"/>
    </xf>
    <xf numFmtId="0" fontId="10" fillId="2" borderId="2" xfId="2" applyNumberFormat="1" applyFont="1" applyFill="1" applyBorder="1" applyAlignment="1" applyProtection="1">
      <alignment horizontal="center" vertical="center" wrapText="1"/>
      <protection locked="0"/>
    </xf>
    <xf numFmtId="0" fontId="10" fillId="2" borderId="2" xfId="2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0" fontId="10" fillId="5" borderId="2" xfId="2" applyNumberFormat="1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43" fontId="7" fillId="0" borderId="1" xfId="0" applyNumberFormat="1" applyFont="1" applyFill="1" applyBorder="1" applyAlignment="1">
      <alignment horizontal="center" vertical="center"/>
    </xf>
    <xf numFmtId="43" fontId="7" fillId="0" borderId="1" xfId="0" applyNumberFormat="1" applyFont="1" applyFill="1" applyBorder="1" applyAlignment="1">
      <alignment vertical="center"/>
    </xf>
    <xf numFmtId="43" fontId="5" fillId="0" borderId="1" xfId="0" applyNumberFormat="1" applyFont="1" applyFill="1" applyBorder="1" applyAlignment="1">
      <alignment vertical="center"/>
    </xf>
    <xf numFmtId="43" fontId="7" fillId="0" borderId="1" xfId="3" applyFont="1" applyFill="1" applyBorder="1" applyAlignment="1">
      <alignment horizontal="center" vertical="center"/>
    </xf>
    <xf numFmtId="43" fontId="8" fillId="0" borderId="1" xfId="2" applyNumberFormat="1" applyFont="1" applyFill="1" applyBorder="1" applyAlignment="1">
      <alignment horizontal="center" vertical="center"/>
    </xf>
    <xf numFmtId="43" fontId="7" fillId="0" borderId="1" xfId="3" applyFont="1" applyFill="1" applyBorder="1" applyAlignment="1">
      <alignment vertical="center"/>
    </xf>
    <xf numFmtId="43" fontId="7" fillId="0" borderId="1" xfId="2" applyNumberFormat="1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11" fillId="0" borderId="1" xfId="2" applyNumberFormat="1" applyFont="1" applyFill="1" applyBorder="1" applyAlignment="1">
      <alignment horizontal="center" vertical="center"/>
    </xf>
    <xf numFmtId="49" fontId="11" fillId="0" borderId="1" xfId="2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3" fontId="5" fillId="0" borderId="1" xfId="0" applyNumberFormat="1" applyFont="1" applyFill="1" applyBorder="1" applyAlignment="1">
      <alignment horizontal="center" vertical="center"/>
    </xf>
    <xf numFmtId="43" fontId="5" fillId="0" borderId="1" xfId="3" applyFont="1" applyFill="1" applyBorder="1" applyAlignment="1">
      <alignment horizontal="center" vertical="center"/>
    </xf>
    <xf numFmtId="43" fontId="13" fillId="0" borderId="1" xfId="2" applyNumberFormat="1" applyFont="1" applyFill="1" applyBorder="1" applyAlignment="1">
      <alignment horizontal="center" vertical="center"/>
    </xf>
    <xf numFmtId="165" fontId="11" fillId="0" borderId="1" xfId="4" applyNumberFormat="1" applyFont="1" applyFill="1" applyBorder="1" applyAlignment="1">
      <alignment horizontal="center" vertical="center" wrapText="1" shrinkToFit="1"/>
    </xf>
    <xf numFmtId="43" fontId="5" fillId="0" borderId="1" xfId="2" applyNumberFormat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 wrapText="1"/>
    </xf>
    <xf numFmtId="49" fontId="5" fillId="0" borderId="1" xfId="2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65" fontId="5" fillId="0" borderId="1" xfId="4" applyNumberFormat="1" applyFont="1" applyFill="1" applyBorder="1" applyAlignment="1">
      <alignment horizontal="center" vertical="center" wrapText="1" shrinkToFit="1"/>
    </xf>
    <xf numFmtId="165" fontId="5" fillId="0" borderId="1" xfId="4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/>
    </xf>
    <xf numFmtId="165" fontId="11" fillId="0" borderId="1" xfId="4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3" fontId="15" fillId="0" borderId="1" xfId="3" applyFont="1" applyFill="1" applyBorder="1" applyAlignment="1">
      <alignment horizontal="center" vertical="center"/>
    </xf>
    <xf numFmtId="0" fontId="14" fillId="0" borderId="1" xfId="1" applyFont="1" applyFill="1" applyBorder="1"/>
    <xf numFmtId="0" fontId="11" fillId="0" borderId="1" xfId="5" applyFont="1" applyFill="1" applyBorder="1"/>
    <xf numFmtId="15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11" fillId="0" borderId="1" xfId="4" quotePrefix="1" applyNumberFormat="1" applyFont="1" applyFill="1" applyBorder="1" applyAlignment="1">
      <alignment horizontal="center" vertical="center" wrapText="1"/>
    </xf>
    <xf numFmtId="49" fontId="11" fillId="0" borderId="1" xfId="4" quotePrefix="1" applyNumberFormat="1" applyFont="1" applyFill="1" applyBorder="1" applyAlignment="1">
      <alignment horizontal="center" vertical="center" wrapText="1"/>
    </xf>
    <xf numFmtId="43" fontId="11" fillId="0" borderId="1" xfId="3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11" fillId="0" borderId="1" xfId="2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4" applyFont="1" applyFill="1" applyBorder="1" applyAlignment="1">
      <alignment horizontal="center" vertical="center" wrapText="1"/>
    </xf>
    <xf numFmtId="49" fontId="5" fillId="0" borderId="1" xfId="4" quotePrefix="1" applyNumberFormat="1" applyFont="1" applyFill="1" applyBorder="1" applyAlignment="1">
      <alignment horizontal="center" vertical="center" wrapText="1"/>
    </xf>
    <xf numFmtId="0" fontId="5" fillId="0" borderId="1" xfId="4" quotePrefix="1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16" fillId="0" borderId="1" xfId="2" applyNumberFormat="1" applyFont="1" applyFill="1" applyBorder="1" applyAlignment="1">
      <alignment horizontal="center" vertical="center"/>
    </xf>
    <xf numFmtId="49" fontId="16" fillId="0" borderId="1" xfId="2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164" fontId="7" fillId="0" borderId="1" xfId="0" applyNumberFormat="1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5" fontId="6" fillId="0" borderId="1" xfId="4" applyNumberFormat="1" applyFont="1" applyFill="1" applyBorder="1" applyAlignment="1">
      <alignment horizontal="center" vertical="center" wrapText="1" shrinkToFit="1"/>
    </xf>
    <xf numFmtId="165" fontId="17" fillId="0" borderId="1" xfId="4" applyNumberFormat="1" applyFont="1" applyFill="1" applyBorder="1" applyAlignment="1">
      <alignment horizontal="center" vertical="center" wrapText="1" shrinkToFit="1"/>
    </xf>
    <xf numFmtId="165" fontId="17" fillId="0" borderId="1" xfId="4" applyNumberFormat="1" applyFont="1" applyFill="1" applyBorder="1" applyAlignment="1">
      <alignment horizontal="center" vertical="center" wrapText="1"/>
    </xf>
    <xf numFmtId="49" fontId="7" fillId="0" borderId="1" xfId="2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5" fontId="6" fillId="0" borderId="1" xfId="4" applyNumberFormat="1" applyFont="1" applyFill="1" applyBorder="1" applyAlignment="1">
      <alignment horizontal="center" vertical="center" wrapText="1"/>
    </xf>
    <xf numFmtId="15" fontId="7" fillId="0" borderId="1" xfId="0" applyNumberFormat="1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left" vertical="center" wrapText="1"/>
    </xf>
    <xf numFmtId="0" fontId="7" fillId="0" borderId="1" xfId="4" quotePrefix="1" applyNumberFormat="1" applyFont="1" applyFill="1" applyBorder="1" applyAlignment="1">
      <alignment horizontal="center" vertical="center" wrapText="1"/>
    </xf>
    <xf numFmtId="49" fontId="7" fillId="0" borderId="1" xfId="4" quotePrefix="1" applyNumberFormat="1" applyFont="1" applyFill="1" applyBorder="1" applyAlignment="1">
      <alignment horizontal="center" vertical="center" wrapText="1"/>
    </xf>
    <xf numFmtId="0" fontId="16" fillId="0" borderId="1" xfId="4" quotePrefix="1" applyNumberFormat="1" applyFont="1" applyFill="1" applyBorder="1" applyAlignment="1">
      <alignment horizontal="center" vertical="center" wrapText="1"/>
    </xf>
    <xf numFmtId="49" fontId="16" fillId="0" borderId="1" xfId="4" quotePrefix="1" applyNumberFormat="1" applyFont="1" applyFill="1" applyBorder="1" applyAlignment="1">
      <alignment horizontal="center" vertical="center" wrapText="1"/>
    </xf>
    <xf numFmtId="15" fontId="7" fillId="0" borderId="1" xfId="0" applyNumberFormat="1" applyFont="1" applyFill="1" applyBorder="1" applyAlignment="1">
      <alignment vertical="center"/>
    </xf>
    <xf numFmtId="0" fontId="16" fillId="0" borderId="1" xfId="4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wrapText="1"/>
    </xf>
    <xf numFmtId="0" fontId="14" fillId="0" borderId="1" xfId="1" applyFont="1" applyFill="1" applyBorder="1" applyAlignment="1">
      <alignment horizontal="center" vertical="center"/>
    </xf>
    <xf numFmtId="0" fontId="7" fillId="0" borderId="1" xfId="2" applyFont="1" applyFill="1" applyBorder="1" applyAlignment="1">
      <alignment vertical="center"/>
    </xf>
    <xf numFmtId="0" fontId="7" fillId="0" borderId="1" xfId="2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/>
    </xf>
    <xf numFmtId="15" fontId="7" fillId="0" borderId="1" xfId="2" applyNumberFormat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left" vertical="center" wrapText="1" indent="1"/>
    </xf>
    <xf numFmtId="0" fontId="7" fillId="0" borderId="1" xfId="2" applyNumberFormat="1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quotePrefix="1" applyNumberFormat="1"/>
    <xf numFmtId="0" fontId="7" fillId="0" borderId="2" xfId="2" applyFont="1" applyFill="1" applyBorder="1" applyAlignment="1">
      <alignment horizontal="left" vertical="center" wrapText="1"/>
    </xf>
    <xf numFmtId="0" fontId="7" fillId="0" borderId="3" xfId="2" applyFont="1" applyFill="1" applyBorder="1" applyAlignment="1">
      <alignment horizontal="left" vertical="center" wrapText="1"/>
    </xf>
  </cellXfs>
  <cellStyles count="7">
    <cellStyle name="Hipervínculo" xfId="1" builtinId="8"/>
    <cellStyle name="Millares 2" xfId="3" xr:uid="{71DC9F22-BDAD-4F5C-8F57-01E28E10EF97}"/>
    <cellStyle name="Normal" xfId="0" builtinId="0"/>
    <cellStyle name="Normal 3" xfId="2" xr:uid="{EA343F63-1EFE-4EFF-A053-B70886800CA3}"/>
    <cellStyle name="Normal 3 8" xfId="6" xr:uid="{68E78D2B-041C-4FD5-A649-24F082015FF0}"/>
    <cellStyle name="Normal 56 2" xfId="5" xr:uid="{78206DE9-D528-4C4A-BC20-D69BF13C6C6C}"/>
    <cellStyle name="Normal_Hoja1" xfId="4" xr:uid="{DF659AC0-5120-4414-9280-AF93D0C814A2}"/>
  </cellStyles>
  <dxfs count="70"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70CBC-63D1-448D-B5B8-8F6C94EC3D5A}" name="Tabla1" displayName="Tabla1" ref="A1:BN326" totalsRowShown="0" headerRowDxfId="69" dataDxfId="67" headerRowBorderDxfId="68" tableBorderDxfId="66" headerRowCellStyle="Normal 3" dataCellStyle="Normal 3">
  <autoFilter ref="A1:BN326" xr:uid="{60570CBC-63D1-448D-B5B8-8F6C94EC3D5A}">
    <filterColumn colId="11">
      <filters>
        <filter val="ACTIVO"/>
      </filters>
    </filterColumn>
  </autoFilter>
  <tableColumns count="66">
    <tableColumn id="1" xr3:uid="{39ADAAFA-48E1-4345-856B-4D3B0E7B0397}" name="EXPEDIENTE" dataDxfId="65" dataCellStyle="Normal 3"/>
    <tableColumn id="2" xr3:uid="{F1FF441F-0F11-41E2-8DA0-62F9C8A90988}" name="No. PLAZA" dataDxfId="64" dataCellStyle="Normal 3"/>
    <tableColumn id="3" xr3:uid="{C4EB8793-2B7D-45E3-8F3B-D2F876BE7ED3}" name="NO. DE MOVIMIENO DE PERSONAL " dataDxfId="63" dataCellStyle="Normal 3"/>
    <tableColumn id="4" xr3:uid="{249FA547-98A2-4BFA-9439-1D2A7750D660}" name="Columna1" dataDxfId="62" dataCellStyle="Normal 3"/>
    <tableColumn id="5" xr3:uid="{11189D97-218E-4788-AEC8-29F8137E3F92}" name="NOMBRE" dataDxfId="61" dataCellStyle="Normal 3"/>
    <tableColumn id="6" xr3:uid="{B50DB44A-D70C-4FA1-8308-740D35175DE6}" name="CURP" dataDxfId="60" dataCellStyle="Normal 3"/>
    <tableColumn id="7" xr3:uid="{55E48833-EF35-4A4D-A864-2E435174F639}" name="RFC" dataDxfId="59" dataCellStyle="Normal 3"/>
    <tableColumn id="8" xr3:uid="{7263FC09-4CE0-4782-BD05-7FF34FF61BF0}" name="CATEGORIA" dataDxfId="58" dataCellStyle="Normal 3"/>
    <tableColumn id="9" xr3:uid="{F6E0161C-E250-44F3-A03E-27AEE816686C}" name="DESCRIPCION DEL PUESTO" dataDxfId="57" dataCellStyle="Normal 3"/>
    <tableColumn id="10" xr3:uid="{66B1B4A9-2FF9-4FC7-8407-0A5BBAD675A6}" name="AREA" dataDxfId="56" dataCellStyle="Normal 3"/>
    <tableColumn id="11" xr3:uid="{9828C5C7-0D1B-493B-BC27-4A02A1EAAB8E}" name="ADSCRIPCIÓN FÍSICA" dataDxfId="55" dataCellStyle="Normal 3"/>
    <tableColumn id="12" xr3:uid="{6937F488-249C-4EF6-BA30-40A37F931889}" name="ESTATUS" dataDxfId="54" dataCellStyle="Normal 3"/>
    <tableColumn id="13" xr3:uid="{8F613E6B-4C39-481F-AEE8-56BE5F319D6A}" name="FECHA DE INGRESO" dataDxfId="53" dataCellStyle="Normal 3"/>
    <tableColumn id="14" xr3:uid="{1BFF8B17-31EE-410C-A3B2-86FC3B212DEC}" name="CAMBIO DE CATEGORIA" dataDxfId="52" dataCellStyle="Normal 3"/>
    <tableColumn id="15" xr3:uid="{AC621029-ED30-4D21-A0EF-5D4AFD16CE5F}" name="BAJA" dataDxfId="51" dataCellStyle="Normal 3"/>
    <tableColumn id="16" xr3:uid="{06D4608B-6F6D-4817-8B26-F8FCD7BCB4CF}" name="FECHA DE REINGRESO" dataDxfId="50" dataCellStyle="Normal 3"/>
    <tableColumn id="17" xr3:uid="{B630DDA3-AB0C-41B9-B5D3-5B515F942AA8}" name="RÉGIMEN DE CONTRATACIÓN" dataDxfId="49" dataCellStyle="Normal 3"/>
    <tableColumn id="18" xr3:uid="{FABE71DA-EBE0-498E-8886-3AA2889B64CB}" name="Columna2" dataDxfId="48" dataCellStyle="Normal 3"/>
    <tableColumn id="19" xr3:uid="{684FCC6E-35ED-4B2B-8BBF-ED11A7E46360}" name="SEXO" dataDxfId="47" dataCellStyle="Normal 3"/>
    <tableColumn id="20" xr3:uid="{EF57BE10-E370-416E-95D3-425C2B594BA8}" name="CUMPLEAÑOS" dataDxfId="46" dataCellStyle="Normal 3"/>
    <tableColumn id="21" xr3:uid="{19790762-E7B8-4D88-8CE5-F9E4AC40679C}" name="Columna3" dataDxfId="45" dataCellStyle="Normal 3"/>
    <tableColumn id="22" xr3:uid="{6FDBC7B6-2802-4C1B-ADDF-B038E72141D8}" name="EDAD" dataDxfId="44"/>
    <tableColumn id="23" xr3:uid="{DF0EA22F-1312-4F4B-B561-FC6035DD82B9}" name="AFILIACIÓN ISSSTEP" dataDxfId="43" dataCellStyle="Normal 3"/>
    <tableColumn id="24" xr3:uid="{9E5FCC2D-6504-4D83-BBBB-46C8F2BF17B2}" name="CENTRO DE COSTOS" dataDxfId="42" dataCellStyle="Normal 3"/>
    <tableColumn id="25" xr3:uid="{32F87FF4-E66D-4724-9801-0D6A30AA78F9}" name="SALARIO DIARIO" dataDxfId="41" dataCellStyle="Normal 3"/>
    <tableColumn id="26" xr3:uid="{C80547CE-E0F2-4A3A-9053-C9F6425AFF02}" name="SUELDO QUINCENAL" dataDxfId="40" dataCellStyle="Normal 3"/>
    <tableColumn id="27" xr3:uid="{BF3C9787-0135-4B1D-9F2B-610F35822041}" name="SUELDO p-07 (1132)" dataDxfId="39" dataCellStyle="Normal 3"/>
    <tableColumn id="28" xr3:uid="{F1BB0BDE-2BE7-4A8E-865D-C43ACE1366CA}" name="DESPENSA (38)" dataDxfId="38" dataCellStyle="Normal 3"/>
    <tableColumn id="29" xr3:uid="{9BAFB633-B847-4DB1-B38E-9405F53457B7}" name="COMPENSACIÓN ESPECIAL (51)" dataDxfId="37" dataCellStyle="Normal 3"/>
    <tableColumn id="30" xr3:uid="{1813D8AE-FD8F-4DAA-ADFC-E72F9C4894C3}" name="AYUDA DE VARIOS (56)" dataDxfId="36" dataCellStyle="Normal 3"/>
    <tableColumn id="31" xr3:uid="{2445D102-B29E-45C5-B971-936AB57F4193}" name="PUNTUALIDAD Y ASISTENCIA (69)" dataDxfId="35" dataCellStyle="Normal 3"/>
    <tableColumn id="32" xr3:uid="{947387FA-7164-4826-8034-0FF4E80CA5FD}" name="QUINQUENIO (C1/C6)" dataDxfId="34" dataCellStyle="Normal 3"/>
    <tableColumn id="33" xr3:uid="{090A493F-C0B2-4675-B46B-68A932386D8D}" name="APOYO A LA ECONOMÍA(EM)" dataDxfId="33" dataCellStyle="Normal 3"/>
    <tableColumn id="34" xr3:uid="{4764767A-32DD-414A-9114-D7A5D278D021}" name="APOYO AL TRANSPORTE(TR)" dataDxfId="32" dataCellStyle="Normal 3"/>
    <tableColumn id="35" xr3:uid="{C5F16B07-4AED-442C-9BB9-0340F96222A0}" name="COMPENSACIÓN (J5)" dataDxfId="31" dataCellStyle="Normal 3"/>
    <tableColumn id="36" xr3:uid="{A20FBDA9-1BA3-4170-9984-9DF365D4BE5D}" name="TOTAL PERCEPCIONES MENSUALES" dataDxfId="30" dataCellStyle="Normal 3"/>
    <tableColumn id="37" xr3:uid="{22EAB820-171C-4246-9564-74D5EF37A4DD}" name="ISR" dataDxfId="29" dataCellStyle="Normal 3"/>
    <tableColumn id="38" xr3:uid="{4986657C-8166-433C-94BE-43170F9D4E42}" name="ISSSTEP CUOTA QUINCENAL 13%" dataDxfId="28" dataCellStyle="Normal 3"/>
    <tableColumn id="39" xr3:uid="{F4BEFF1E-896D-4C98-91C9-23007B189B9E}" name="ISSSTEP CUOTA MENSUAL 13%" dataDxfId="27" dataCellStyle="Normal 3"/>
    <tableColumn id="40" xr3:uid="{9138AB37-8234-4C1F-9EC2-A9920D5E3495}" name="TOTAL DEDUCCCIONES MENSUALES" dataDxfId="26" dataCellStyle="Normal 3"/>
    <tableColumn id="41" xr3:uid="{C268CE6C-3D36-4480-B305-E3EFA9ABEE6E}" name="NETO MENSUAL" dataDxfId="25" dataCellStyle="Normal 3"/>
    <tableColumn id="42" xr3:uid="{F78E824B-B31E-4B9C-B482-07CD999A0E99}" name="GRATIFICACIÓN DE FIN DE AÑO (24)" dataDxfId="24" dataCellStyle="Millares 2"/>
    <tableColumn id="43" xr3:uid="{885828D7-E7E8-43F0-9642-924BEF004E69}" name="AGUINALDO (J5)" dataDxfId="23" dataCellStyle="Normal 3"/>
    <tableColumn id="44" xr3:uid="{416447DD-F337-4898-AEA1-F7E3BEC0CA9D}" name="PRIMA VACACIONAL PARCIAL(32)" dataDxfId="22" dataCellStyle="Millares 2"/>
    <tableColumn id="45" xr3:uid="{F01B56AB-4079-4601-AB3F-1FFDB614D4E7}" name="ÚTILES ESCOLARES (55)" dataDxfId="21" dataCellStyle="Millares 2"/>
    <tableColumn id="46" xr3:uid="{C29DFCFE-C364-4E1B-9269-1672CAAAD497}" name="ESTIMULOS (BE)" dataDxfId="20" dataCellStyle="Millares 2"/>
    <tableColumn id="47" xr3:uid="{A0EF1BE3-22E3-4E7A-8271-AC1DC3488EBB}" name="ESTIMULO DÍA DEL SERV. PÚBLICO (77)" dataDxfId="19" dataCellStyle="Millares 2"/>
    <tableColumn id="48" xr3:uid="{CAA052F7-19D2-4AEE-BCD6-DE612F8BB208}" name="BONO SINDICAL (SI)" dataDxfId="18" dataCellStyle="Normal 3"/>
    <tableColumn id="49" xr3:uid="{0334EE49-B944-47FD-B938-97331E6AC5D4}" name="PREMIO AL MERITO (ME)" dataDxfId="17" dataCellStyle="Normal 3"/>
    <tableColumn id="50" xr3:uid="{CF17F482-20E4-4DA9-AB13-BFBCC3DC677E}" name="FESTEJOS DEL SINDICATO (FS)" dataDxfId="16" dataCellStyle="Normal 3"/>
    <tableColumn id="51" xr3:uid="{346285DA-040D-4693-8859-0CD2C82B2419}" name="PRIMA VACACIONAL (32) ANUAL" dataDxfId="15" dataCellStyle="Millares 2"/>
    <tableColumn id="52" xr3:uid="{8AE2880D-EB56-49F5-97A8-2C7DC8D037B1}" name=" ISSSTEP % APORTACIÓN" dataDxfId="14" dataCellStyle="Normal 3"/>
    <tableColumn id="53" xr3:uid="{AE80C1AB-DA6B-4879-85DF-1FFFB17A7A37}" name="ISSSTEP APORTACIÓN QUINCENAL" dataDxfId="13" dataCellStyle="Normal 3"/>
    <tableColumn id="54" xr3:uid="{C916C3C6-1301-40E2-9136-DEDE4DCC3C14}" name="ISSSTEP APORTACION MENSUAL" dataDxfId="12" dataCellStyle="Normal 3"/>
    <tableColumn id="55" xr3:uid="{E7475823-B77D-4785-A158-F749FADFAB11}" name="SAR QUINCENAL" dataDxfId="11" dataCellStyle="Normal 3"/>
    <tableColumn id="56" xr3:uid="{481A43E3-8BB3-4727-A576-BD60927F11F4}" name="SAR MENSUAL" dataDxfId="10" dataCellStyle="Normal 3"/>
    <tableColumn id="57" xr3:uid="{BE1DB80D-7A3F-465A-A323-1F4C452BAC0A}" name="ISN_PM" dataDxfId="9" dataCellStyle="Normal 3"/>
    <tableColumn id="58" xr3:uid="{00154650-AEBE-40E7-8CEF-AEDA5955578F}" name="ISN_PA" dataDxfId="8" dataCellStyle="Normal 3"/>
    <tableColumn id="59" xr3:uid="{80BCCCBD-2960-4365-8E12-EBB1C794751E}" name="CORREO INSTITUCIONAL" dataDxfId="7" dataCellStyle="Normal 3"/>
    <tableColumn id="60" xr3:uid="{E0141EEA-91F6-4C32-B2C2-8D3E68A09CFE}" name="CORREO PERSONAL" dataDxfId="6" dataCellStyle="Normal 3"/>
    <tableColumn id="61" xr3:uid="{37760479-9527-432B-9E08-97C155E820ED}" name="TELEFONO" dataDxfId="5" dataCellStyle="Normal 3"/>
    <tableColumn id="62" xr3:uid="{D5DAFDCE-50B2-4446-8633-B6CD37686D0E}" name="DIRECCION" dataDxfId="4" dataCellStyle="Normal 3"/>
    <tableColumn id="63" xr3:uid="{0FCD5AE4-9D9A-447D-999D-58684AE34A99}" name="DOMICILIO FISCAL" dataDxfId="3" dataCellStyle="Normal 3"/>
    <tableColumn id="64" xr3:uid="{CCF53FAE-74BA-4C7D-BD54-C23450A4B379}" name="ESCOLARIDAD" dataDxfId="2" dataCellStyle="Normal 3"/>
    <tableColumn id="65" xr3:uid="{49046BB9-B6B3-4065-91DD-6C9543EBB6C1}" name="CUENTA BANCARIA" dataDxfId="1" dataCellStyle="Normal 3"/>
    <tableColumn id="66" xr3:uid="{80243867-C56F-4DA7-9F48-72B4706DEC2C}" name="temp" dataDxfId="0" dataCellStyle="Normal 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zahira.aldana@puebla.gob.mx" TargetMode="External"/><Relationship Id="rId299" Type="http://schemas.openxmlformats.org/officeDocument/2006/relationships/hyperlink" Target="mailto:martharhinpode@gmail.com" TargetMode="External"/><Relationship Id="rId21" Type="http://schemas.openxmlformats.org/officeDocument/2006/relationships/hyperlink" Target="mailto:marisela.lechuga@puebla.gob.mx" TargetMode="External"/><Relationship Id="rId63" Type="http://schemas.openxmlformats.org/officeDocument/2006/relationships/hyperlink" Target="mailto:al_nay06@hotmail.com" TargetMode="External"/><Relationship Id="rId159" Type="http://schemas.openxmlformats.org/officeDocument/2006/relationships/hyperlink" Target="mailto:zuleyma.felix@puebla.gob.mx" TargetMode="External"/><Relationship Id="rId324" Type="http://schemas.openxmlformats.org/officeDocument/2006/relationships/hyperlink" Target="mailto:maria.alta@puebla.gob.mx" TargetMode="External"/><Relationship Id="rId366" Type="http://schemas.openxmlformats.org/officeDocument/2006/relationships/hyperlink" Target="mailto:zahiraaldanaramirez@gmail.com" TargetMode="External"/><Relationship Id="rId170" Type="http://schemas.openxmlformats.org/officeDocument/2006/relationships/hyperlink" Target="mailto:fernanda.gomez0496@gmail.com" TargetMode="External"/><Relationship Id="rId226" Type="http://schemas.openxmlformats.org/officeDocument/2006/relationships/hyperlink" Target="mailto:luzsabinos@gmail.com" TargetMode="External"/><Relationship Id="rId268" Type="http://schemas.openxmlformats.org/officeDocument/2006/relationships/hyperlink" Target="mailto:xo.rito16@gmail.com" TargetMode="External"/><Relationship Id="rId32" Type="http://schemas.openxmlformats.org/officeDocument/2006/relationships/hyperlink" Target="mailto:maryleo66@hotmail.com" TargetMode="External"/><Relationship Id="rId74" Type="http://schemas.openxmlformats.org/officeDocument/2006/relationships/hyperlink" Target="mailto:felixnarciso16@hotmail.com" TargetMode="External"/><Relationship Id="rId128" Type="http://schemas.openxmlformats.org/officeDocument/2006/relationships/hyperlink" Target="mailto:araceli.silvaguilar@gmail.com" TargetMode="External"/><Relationship Id="rId335" Type="http://schemas.openxmlformats.org/officeDocument/2006/relationships/hyperlink" Target="mailto:jvasan_81@outlook.com" TargetMode="External"/><Relationship Id="rId377" Type="http://schemas.openxmlformats.org/officeDocument/2006/relationships/hyperlink" Target="mailto:zaqueroz.yan1@gmail.com" TargetMode="External"/><Relationship Id="rId5" Type="http://schemas.openxmlformats.org/officeDocument/2006/relationships/hyperlink" Target="mailto:yeimi.arroyo93@gmail.com" TargetMode="External"/><Relationship Id="rId181" Type="http://schemas.openxmlformats.org/officeDocument/2006/relationships/hyperlink" Target="mailto:carreradacostasandra@gmail.com" TargetMode="External"/><Relationship Id="rId237" Type="http://schemas.openxmlformats.org/officeDocument/2006/relationships/hyperlink" Target="mailto:arendy.perez@puebla.gob.mx" TargetMode="External"/><Relationship Id="rId402" Type="http://schemas.openxmlformats.org/officeDocument/2006/relationships/hyperlink" Target="mailto:josejc9736@gmail.com" TargetMode="External"/><Relationship Id="rId279" Type="http://schemas.openxmlformats.org/officeDocument/2006/relationships/hyperlink" Target="mailto:adilene.vargas@puebla.gob.mx" TargetMode="External"/><Relationship Id="rId43" Type="http://schemas.openxmlformats.org/officeDocument/2006/relationships/hyperlink" Target="mailto:aniee.campos@puebla.gob.mx" TargetMode="External"/><Relationship Id="rId139" Type="http://schemas.openxmlformats.org/officeDocument/2006/relationships/hyperlink" Target="mailto:angelacuapan@hotmail.com" TargetMode="External"/><Relationship Id="rId290" Type="http://schemas.openxmlformats.org/officeDocument/2006/relationships/hyperlink" Target="mailto:lennica.diaz@gmail.com" TargetMode="External"/><Relationship Id="rId304" Type="http://schemas.openxmlformats.org/officeDocument/2006/relationships/hyperlink" Target="mailto:yeimi.arroyo93@gmail.com" TargetMode="External"/><Relationship Id="rId346" Type="http://schemas.openxmlformats.org/officeDocument/2006/relationships/hyperlink" Target="mailto:uziel.perez@puebla.gob.mx" TargetMode="External"/><Relationship Id="rId388" Type="http://schemas.openxmlformats.org/officeDocument/2006/relationships/hyperlink" Target="mailto:bustamantesolissilvia52@gmail.com" TargetMode="External"/><Relationship Id="rId85" Type="http://schemas.openxmlformats.org/officeDocument/2006/relationships/hyperlink" Target="mailto:alberto.carrillo@puebla.gob.mx" TargetMode="External"/><Relationship Id="rId150" Type="http://schemas.openxmlformats.org/officeDocument/2006/relationships/hyperlink" Target="mailto:lara.g.emili63@gmail.com" TargetMode="External"/><Relationship Id="rId192" Type="http://schemas.openxmlformats.org/officeDocument/2006/relationships/hyperlink" Target="mailto:desarrollosustentable88@gmail.com" TargetMode="External"/><Relationship Id="rId206" Type="http://schemas.openxmlformats.org/officeDocument/2006/relationships/hyperlink" Target="mailto:rolandoaguilarmedel@gmail.com" TargetMode="External"/><Relationship Id="rId248" Type="http://schemas.openxmlformats.org/officeDocument/2006/relationships/hyperlink" Target="mailto:luz.mendez@puebla.gob.mx" TargetMode="External"/><Relationship Id="rId12" Type="http://schemas.openxmlformats.org/officeDocument/2006/relationships/hyperlink" Target="mailto:cruz.lucas@puebla.gob.mx" TargetMode="External"/><Relationship Id="rId108" Type="http://schemas.openxmlformats.org/officeDocument/2006/relationships/hyperlink" Target="mailto:alerey320@gmail.com" TargetMode="External"/><Relationship Id="rId315" Type="http://schemas.openxmlformats.org/officeDocument/2006/relationships/hyperlink" Target="mailto:Gaudenciorosales540@gmail.com" TargetMode="External"/><Relationship Id="rId357" Type="http://schemas.openxmlformats.org/officeDocument/2006/relationships/hyperlink" Target="mailto:yeimi.arroyo@puebla.gob.mx" TargetMode="External"/><Relationship Id="rId54" Type="http://schemas.openxmlformats.org/officeDocument/2006/relationships/hyperlink" Target="mailto:yeimi.arroyo@puebla.gob.mx" TargetMode="External"/><Relationship Id="rId96" Type="http://schemas.openxmlformats.org/officeDocument/2006/relationships/hyperlink" Target="mailto:martha.hernandezh@puebla.gob.mx" TargetMode="External"/><Relationship Id="rId161" Type="http://schemas.openxmlformats.org/officeDocument/2006/relationships/hyperlink" Target="mailto:yan_uc@hotmail.com" TargetMode="External"/><Relationship Id="rId217" Type="http://schemas.openxmlformats.org/officeDocument/2006/relationships/hyperlink" Target="mailto:juherhe30000@gmail.com" TargetMode="External"/><Relationship Id="rId399" Type="http://schemas.openxmlformats.org/officeDocument/2006/relationships/hyperlink" Target="mailto:zahiraaldanaramirez@gmail.com" TargetMode="External"/><Relationship Id="rId259" Type="http://schemas.openxmlformats.org/officeDocument/2006/relationships/hyperlink" Target="mailto:alexmorales034@gmail.com" TargetMode="External"/><Relationship Id="rId23" Type="http://schemas.openxmlformats.org/officeDocument/2006/relationships/hyperlink" Target="mailto:marlen.velasco@puebla.gob.mx" TargetMode="External"/><Relationship Id="rId119" Type="http://schemas.openxmlformats.org/officeDocument/2006/relationships/hyperlink" Target="mailto:zuleyma.felix@puebla.gob.mx" TargetMode="External"/><Relationship Id="rId270" Type="http://schemas.openxmlformats.org/officeDocument/2006/relationships/hyperlink" Target="mailto:gaudencio.rosales@puebla.gob.mx" TargetMode="External"/><Relationship Id="rId326" Type="http://schemas.openxmlformats.org/officeDocument/2006/relationships/hyperlink" Target="mailto:cristian.cecilio@puebla.com" TargetMode="External"/><Relationship Id="rId65" Type="http://schemas.openxmlformats.org/officeDocument/2006/relationships/hyperlink" Target="mailto:tentzo@hotmail.com" TargetMode="External"/><Relationship Id="rId130" Type="http://schemas.openxmlformats.org/officeDocument/2006/relationships/hyperlink" Target="mailto:eduah10105@icloud.com" TargetMode="External"/><Relationship Id="rId368" Type="http://schemas.openxmlformats.org/officeDocument/2006/relationships/hyperlink" Target="mailto:angela.rosete@puebla.gob.mx" TargetMode="External"/><Relationship Id="rId172" Type="http://schemas.openxmlformats.org/officeDocument/2006/relationships/hyperlink" Target="mailto:rocio.luna@puebla.gob.mx" TargetMode="External"/><Relationship Id="rId228" Type="http://schemas.openxmlformats.org/officeDocument/2006/relationships/hyperlink" Target="mailto:uziel.perez.mx@gmail.com" TargetMode="External"/><Relationship Id="rId281" Type="http://schemas.openxmlformats.org/officeDocument/2006/relationships/hyperlink" Target="mailto:arendy.perez@puebla.gob.mx" TargetMode="External"/><Relationship Id="rId337" Type="http://schemas.openxmlformats.org/officeDocument/2006/relationships/hyperlink" Target="mailto:maria.sabino@puebla.gob.mx" TargetMode="External"/><Relationship Id="rId34" Type="http://schemas.openxmlformats.org/officeDocument/2006/relationships/hyperlink" Target="mailto:zoilo.guzman@puebla.gob.mx" TargetMode="External"/><Relationship Id="rId76" Type="http://schemas.openxmlformats.org/officeDocument/2006/relationships/hyperlink" Target="mailto:rosa.alonso@puebla.gob.mx" TargetMode="External"/><Relationship Id="rId141" Type="http://schemas.openxmlformats.org/officeDocument/2006/relationships/hyperlink" Target="mailto:zahiraaldanaramirez@gmail.com" TargetMode="External"/><Relationship Id="rId379" Type="http://schemas.openxmlformats.org/officeDocument/2006/relationships/hyperlink" Target="mailto:hectmb1964@gmail.com" TargetMode="External"/><Relationship Id="rId7" Type="http://schemas.openxmlformats.org/officeDocument/2006/relationships/hyperlink" Target="mailto:veronicalto@hotmail.com" TargetMode="External"/><Relationship Id="rId183" Type="http://schemas.openxmlformats.org/officeDocument/2006/relationships/hyperlink" Target="mailto:miguel.gomez@puebla.gob.%20mx" TargetMode="External"/><Relationship Id="rId239" Type="http://schemas.openxmlformats.org/officeDocument/2006/relationships/hyperlink" Target="mailto:yanei.alta@puebla.gob.mx" TargetMode="External"/><Relationship Id="rId390" Type="http://schemas.openxmlformats.org/officeDocument/2006/relationships/hyperlink" Target="mailto:ing.zechnas@live.com.mx" TargetMode="External"/><Relationship Id="rId404" Type="http://schemas.openxmlformats.org/officeDocument/2006/relationships/hyperlink" Target="mailto:pedro.rojas@puebla.gob.mx" TargetMode="External"/><Relationship Id="rId250" Type="http://schemas.openxmlformats.org/officeDocument/2006/relationships/hyperlink" Target="mailto:hector.baez@puebla.gob.mx" TargetMode="External"/><Relationship Id="rId292" Type="http://schemas.openxmlformats.org/officeDocument/2006/relationships/hyperlink" Target="mailto:zahiraaldanaramirez@gmail.com" TargetMode="External"/><Relationship Id="rId306" Type="http://schemas.openxmlformats.org/officeDocument/2006/relationships/hyperlink" Target="mailto:hectmb1964@gmail.com" TargetMode="External"/><Relationship Id="rId45" Type="http://schemas.openxmlformats.org/officeDocument/2006/relationships/hyperlink" Target="mailto:andoni.san@gmail.com" TargetMode="External"/><Relationship Id="rId87" Type="http://schemas.openxmlformats.org/officeDocument/2006/relationships/hyperlink" Target="mailto:nancy.acuapan@puebla.gob.mx" TargetMode="External"/><Relationship Id="rId110" Type="http://schemas.openxmlformats.org/officeDocument/2006/relationships/hyperlink" Target="mailto:zuleffx@gmail.com" TargetMode="External"/><Relationship Id="rId348" Type="http://schemas.openxmlformats.org/officeDocument/2006/relationships/hyperlink" Target="mailto:arturo.herrerias@puebla.gob.mx" TargetMode="External"/><Relationship Id="rId152" Type="http://schemas.openxmlformats.org/officeDocument/2006/relationships/hyperlink" Target="mailto:alerey320@gmail.com" TargetMode="External"/><Relationship Id="rId194" Type="http://schemas.openxmlformats.org/officeDocument/2006/relationships/hyperlink" Target="mailto:salaslucero1310@gmail.com" TargetMode="External"/><Relationship Id="rId208" Type="http://schemas.openxmlformats.org/officeDocument/2006/relationships/hyperlink" Target="mailto:xo.rito16@gmail.com" TargetMode="External"/><Relationship Id="rId261" Type="http://schemas.openxmlformats.org/officeDocument/2006/relationships/hyperlink" Target="mailto:sandra.carrera@puebla.gob.mx" TargetMode="External"/><Relationship Id="rId14" Type="http://schemas.openxmlformats.org/officeDocument/2006/relationships/hyperlink" Target="mailto:jorge.alejo@puebla.gob.mx" TargetMode="External"/><Relationship Id="rId56" Type="http://schemas.openxmlformats.org/officeDocument/2006/relationships/hyperlink" Target="mailto:ramon.pineiro@puebla.gob.mx" TargetMode="External"/><Relationship Id="rId317" Type="http://schemas.openxmlformats.org/officeDocument/2006/relationships/hyperlink" Target="mailto:uziel.perez.mx@gmail.com" TargetMode="External"/><Relationship Id="rId359" Type="http://schemas.openxmlformats.org/officeDocument/2006/relationships/hyperlink" Target="mailto:melissa.martinez@puebla.gob.mx" TargetMode="External"/><Relationship Id="rId98" Type="http://schemas.openxmlformats.org/officeDocument/2006/relationships/hyperlink" Target="mailto:adilenevargas.e27@gmail.com" TargetMode="External"/><Relationship Id="rId121" Type="http://schemas.openxmlformats.org/officeDocument/2006/relationships/hyperlink" Target="mailto:pedrovalenciagarcia971@gmail.com" TargetMode="External"/><Relationship Id="rId163" Type="http://schemas.openxmlformats.org/officeDocument/2006/relationships/hyperlink" Target="mailto:cristobal.garcia@puebla.gob.mx" TargetMode="External"/><Relationship Id="rId219" Type="http://schemas.openxmlformats.org/officeDocument/2006/relationships/hyperlink" Target="mailto:vick_as1996@hotmail.com" TargetMode="External"/><Relationship Id="rId370" Type="http://schemas.openxmlformats.org/officeDocument/2006/relationships/hyperlink" Target="mailto:lauratmorales29@gmail.com" TargetMode="External"/><Relationship Id="rId230" Type="http://schemas.openxmlformats.org/officeDocument/2006/relationships/hyperlink" Target="mailto:josecarlosgj@hotmail.com" TargetMode="External"/><Relationship Id="rId25" Type="http://schemas.openxmlformats.org/officeDocument/2006/relationships/hyperlink" Target="mailto:manuel.viveros@puebla.gob.mx" TargetMode="External"/><Relationship Id="rId67" Type="http://schemas.openxmlformats.org/officeDocument/2006/relationships/hyperlink" Target="mailto:luis.tecanhuey@puebla.gob.mx" TargetMode="External"/><Relationship Id="rId272" Type="http://schemas.openxmlformats.org/officeDocument/2006/relationships/hyperlink" Target="mailto:yanei.alta@puebla.gob.mx" TargetMode="External"/><Relationship Id="rId328" Type="http://schemas.openxmlformats.org/officeDocument/2006/relationships/hyperlink" Target="mailto:marioherrerias2000@gmail.com" TargetMode="External"/><Relationship Id="rId132" Type="http://schemas.openxmlformats.org/officeDocument/2006/relationships/hyperlink" Target="mailto:felix.narciso@puebla.gob.mx" TargetMode="External"/><Relationship Id="rId174" Type="http://schemas.openxmlformats.org/officeDocument/2006/relationships/hyperlink" Target="mailto:XHIO.LUNAL@GMAIL.COM" TargetMode="External"/><Relationship Id="rId381" Type="http://schemas.openxmlformats.org/officeDocument/2006/relationships/hyperlink" Target="mailto:josehplord@gmail.com" TargetMode="External"/><Relationship Id="rId241" Type="http://schemas.openxmlformats.org/officeDocument/2006/relationships/hyperlink" Target="mailto:rodrigo.zamora@puebla.gob.mx" TargetMode="External"/><Relationship Id="rId36" Type="http://schemas.openxmlformats.org/officeDocument/2006/relationships/hyperlink" Target="mailto:alexmorales034@gmail.com" TargetMode="External"/><Relationship Id="rId283" Type="http://schemas.openxmlformats.org/officeDocument/2006/relationships/hyperlink" Target="mailto:jacobo.alva@puebla.gob.mx" TargetMode="External"/><Relationship Id="rId339" Type="http://schemas.openxmlformats.org/officeDocument/2006/relationships/hyperlink" Target="mailto:yeimi.arroyo@puebla.gob.mx" TargetMode="External"/><Relationship Id="rId78" Type="http://schemas.openxmlformats.org/officeDocument/2006/relationships/hyperlink" Target="mailto:gkarrera1976@gmail.com" TargetMode="External"/><Relationship Id="rId101" Type="http://schemas.openxmlformats.org/officeDocument/2006/relationships/hyperlink" Target="mailto:marthamolinajl@gmail.com" TargetMode="External"/><Relationship Id="rId143" Type="http://schemas.openxmlformats.org/officeDocument/2006/relationships/hyperlink" Target="mailto:lubetec39@gmail.com" TargetMode="External"/><Relationship Id="rId185" Type="http://schemas.openxmlformats.org/officeDocument/2006/relationships/hyperlink" Target="mailto:mariang3les@gmail.com" TargetMode="External"/><Relationship Id="rId350" Type="http://schemas.openxmlformats.org/officeDocument/2006/relationships/hyperlink" Target="mailto:judith.varillas@puebla.gob.mx" TargetMode="External"/><Relationship Id="rId406" Type="http://schemas.openxmlformats.org/officeDocument/2006/relationships/hyperlink" Target="mailto:angel.meza@puebla.gob.mx" TargetMode="External"/><Relationship Id="rId9" Type="http://schemas.openxmlformats.org/officeDocument/2006/relationships/hyperlink" Target="mailto:pedro.valencia@puebla.gob.mx" TargetMode="External"/><Relationship Id="rId210" Type="http://schemas.openxmlformats.org/officeDocument/2006/relationships/hyperlink" Target="mailto:cezasa@yahoo.com.mx" TargetMode="External"/><Relationship Id="rId392" Type="http://schemas.openxmlformats.org/officeDocument/2006/relationships/hyperlink" Target="mailto:arturo.herrerias@puebla.gob.mx" TargetMode="External"/><Relationship Id="rId252" Type="http://schemas.openxmlformats.org/officeDocument/2006/relationships/hyperlink" Target="mailto:maria.sabino@puebla.gob.mx" TargetMode="External"/><Relationship Id="rId294" Type="http://schemas.openxmlformats.org/officeDocument/2006/relationships/hyperlink" Target="mailto:uziel.perez.mx@gmail.com" TargetMode="External"/><Relationship Id="rId308" Type="http://schemas.openxmlformats.org/officeDocument/2006/relationships/hyperlink" Target="mailto:ruben_pina@yahoo.com" TargetMode="External"/><Relationship Id="rId47" Type="http://schemas.openxmlformats.org/officeDocument/2006/relationships/hyperlink" Target="mailto:viry.rc@gmail.com" TargetMode="External"/><Relationship Id="rId89" Type="http://schemas.openxmlformats.org/officeDocument/2006/relationships/hyperlink" Target="mailto:ignacio.alvarez@puebla.gob.mx" TargetMode="External"/><Relationship Id="rId112" Type="http://schemas.openxmlformats.org/officeDocument/2006/relationships/hyperlink" Target="mailto:luis.tecanhuey@puebla.gob.mx" TargetMode="External"/><Relationship Id="rId154" Type="http://schemas.openxmlformats.org/officeDocument/2006/relationships/hyperlink" Target="mailto:sanchez.aparicio.fely@gmail.com" TargetMode="External"/><Relationship Id="rId361" Type="http://schemas.openxmlformats.org/officeDocument/2006/relationships/hyperlink" Target="mailto:reyes.gamma@puebla.gob.mx" TargetMode="External"/><Relationship Id="rId196" Type="http://schemas.openxmlformats.org/officeDocument/2006/relationships/hyperlink" Target="mailto:lucy.1305@hotmail.com" TargetMode="External"/><Relationship Id="rId16" Type="http://schemas.openxmlformats.org/officeDocument/2006/relationships/hyperlink" Target="mailto:alejandro.ariasf@puebla.gob.mx" TargetMode="External"/><Relationship Id="rId221" Type="http://schemas.openxmlformats.org/officeDocument/2006/relationships/hyperlink" Target="mailto:jessicaalro94@gmail.com" TargetMode="External"/><Relationship Id="rId263" Type="http://schemas.openxmlformats.org/officeDocument/2006/relationships/hyperlink" Target="mailto:adilene.vargas@puebla.gob.mx" TargetMode="External"/><Relationship Id="rId319" Type="http://schemas.openxmlformats.org/officeDocument/2006/relationships/hyperlink" Target="mailto:judith.moralese@puebla.com" TargetMode="External"/><Relationship Id="rId58" Type="http://schemas.openxmlformats.org/officeDocument/2006/relationships/hyperlink" Target="mailto:angel.acuapan@puebla.gob.mx" TargetMode="External"/><Relationship Id="rId123" Type="http://schemas.openxmlformats.org/officeDocument/2006/relationships/hyperlink" Target="mailto:yeimi.arroyo@puebla.gob.mx" TargetMode="External"/><Relationship Id="rId330" Type="http://schemas.openxmlformats.org/officeDocument/2006/relationships/hyperlink" Target="mailto:arendy.perez22@gmail.com" TargetMode="External"/><Relationship Id="rId165" Type="http://schemas.openxmlformats.org/officeDocument/2006/relationships/hyperlink" Target="mailto:luis.castillo@puebla.gob.mx" TargetMode="External"/><Relationship Id="rId372" Type="http://schemas.openxmlformats.org/officeDocument/2006/relationships/hyperlink" Target="mailto:luis.fernandez@puebla.gob.mx" TargetMode="External"/><Relationship Id="rId232" Type="http://schemas.openxmlformats.org/officeDocument/2006/relationships/hyperlink" Target="mailto:jessica.alvarado@puebla.gob.mx" TargetMode="External"/><Relationship Id="rId274" Type="http://schemas.openxmlformats.org/officeDocument/2006/relationships/hyperlink" Target="mailto:carreradacostasandra@gmail.com" TargetMode="External"/><Relationship Id="rId27" Type="http://schemas.openxmlformats.org/officeDocument/2006/relationships/hyperlink" Target="mailto:oscar.hernandezp@puebla.gob.mx" TargetMode="External"/><Relationship Id="rId48" Type="http://schemas.openxmlformats.org/officeDocument/2006/relationships/hyperlink" Target="mailto:yanet.uc@puebla.gob.mx" TargetMode="External"/><Relationship Id="rId69" Type="http://schemas.openxmlformats.org/officeDocument/2006/relationships/hyperlink" Target="mailto:edgar.reyes@puebla.gob.mx" TargetMode="External"/><Relationship Id="rId113" Type="http://schemas.openxmlformats.org/officeDocument/2006/relationships/hyperlink" Target="mailto:maria.paredesf@puebla.gob.mx" TargetMode="External"/><Relationship Id="rId134" Type="http://schemas.openxmlformats.org/officeDocument/2006/relationships/hyperlink" Target="mailto:yeimi.arroyo93@gmail.com" TargetMode="External"/><Relationship Id="rId320" Type="http://schemas.openxmlformats.org/officeDocument/2006/relationships/hyperlink" Target="mailto:kren_ana@hotmail.com" TargetMode="External"/><Relationship Id="rId80" Type="http://schemas.openxmlformats.org/officeDocument/2006/relationships/hyperlink" Target="mailto:rafael.baltazar@puebla.gob.mx" TargetMode="External"/><Relationship Id="rId155" Type="http://schemas.openxmlformats.org/officeDocument/2006/relationships/hyperlink" Target="mailto:etnomarcos@gmail.com" TargetMode="External"/><Relationship Id="rId176" Type="http://schemas.openxmlformats.org/officeDocument/2006/relationships/hyperlink" Target="mailto:sanp.j89@gmail.com" TargetMode="External"/><Relationship Id="rId197" Type="http://schemas.openxmlformats.org/officeDocument/2006/relationships/hyperlink" Target="mailto:zaqueroz.yan1@gmail.com" TargetMode="External"/><Relationship Id="rId341" Type="http://schemas.openxmlformats.org/officeDocument/2006/relationships/hyperlink" Target="mailto:amariana.roseted@gmail.com" TargetMode="External"/><Relationship Id="rId362" Type="http://schemas.openxmlformats.org/officeDocument/2006/relationships/hyperlink" Target="mailto:ing.zechnas@live.com.mx" TargetMode="External"/><Relationship Id="rId383" Type="http://schemas.openxmlformats.org/officeDocument/2006/relationships/hyperlink" Target="mailto:josejc9736@gmail.com" TargetMode="External"/><Relationship Id="rId201" Type="http://schemas.openxmlformats.org/officeDocument/2006/relationships/hyperlink" Target="mailto:cp.jacoboalva@gmail.com" TargetMode="External"/><Relationship Id="rId222" Type="http://schemas.openxmlformats.org/officeDocument/2006/relationships/hyperlink" Target="mailto:naye63160@gmail.com" TargetMode="External"/><Relationship Id="rId243" Type="http://schemas.openxmlformats.org/officeDocument/2006/relationships/hyperlink" Target="mailto:juan.lopezc@puebla.gob.mx" TargetMode="External"/><Relationship Id="rId264" Type="http://schemas.openxmlformats.org/officeDocument/2006/relationships/hyperlink" Target="mailto:demetrioriveravazquez4@gmail.com" TargetMode="External"/><Relationship Id="rId285" Type="http://schemas.openxmlformats.org/officeDocument/2006/relationships/hyperlink" Target="mailto:luis_g_6574@hotmail.com" TargetMode="External"/><Relationship Id="rId17" Type="http://schemas.openxmlformats.org/officeDocument/2006/relationships/hyperlink" Target="mailto:gloria.soancatl@puebla.gob.mx" TargetMode="External"/><Relationship Id="rId38" Type="http://schemas.openxmlformats.org/officeDocument/2006/relationships/hyperlink" Target="mailto:fisaac2468@gmail.com" TargetMode="External"/><Relationship Id="rId59" Type="http://schemas.openxmlformats.org/officeDocument/2006/relationships/hyperlink" Target="mailto:kathy_solis21@hotmail.com" TargetMode="External"/><Relationship Id="rId103" Type="http://schemas.openxmlformats.org/officeDocument/2006/relationships/hyperlink" Target="mailto:cristobal.garcia@puebla.gob.mx" TargetMode="External"/><Relationship Id="rId124" Type="http://schemas.openxmlformats.org/officeDocument/2006/relationships/hyperlink" Target="mailto:starblue_80@hotmail.com" TargetMode="External"/><Relationship Id="rId310" Type="http://schemas.openxmlformats.org/officeDocument/2006/relationships/hyperlink" Target="mailto:melendezsusana8@gmail.com" TargetMode="External"/><Relationship Id="rId70" Type="http://schemas.openxmlformats.org/officeDocument/2006/relationships/hyperlink" Target="mailto:francisco.hernandezm@puebla.gob.mx" TargetMode="External"/><Relationship Id="rId91" Type="http://schemas.openxmlformats.org/officeDocument/2006/relationships/hyperlink" Target="mailto:daniel.cuaxiloa@puebla.gob.mx" TargetMode="External"/><Relationship Id="rId145" Type="http://schemas.openxmlformats.org/officeDocument/2006/relationships/hyperlink" Target="mailto:kathy_solis21@hotmail.com" TargetMode="External"/><Relationship Id="rId166" Type="http://schemas.openxmlformats.org/officeDocument/2006/relationships/hyperlink" Target="mailto:demetrio.rivera@puebla.gob.mx" TargetMode="External"/><Relationship Id="rId187" Type="http://schemas.openxmlformats.org/officeDocument/2006/relationships/hyperlink" Target="mailto:jorge.castrol@puebla.gob.mx" TargetMode="External"/><Relationship Id="rId331" Type="http://schemas.openxmlformats.org/officeDocument/2006/relationships/hyperlink" Target="mailto:arendy.perez@puebla.gob.mx" TargetMode="External"/><Relationship Id="rId352" Type="http://schemas.openxmlformats.org/officeDocument/2006/relationships/hyperlink" Target="mailto:susana.melendez@puebla.gob.mx" TargetMode="External"/><Relationship Id="rId373" Type="http://schemas.openxmlformats.org/officeDocument/2006/relationships/hyperlink" Target="mailto:vicente.juarez@puebla.gob.mx" TargetMode="External"/><Relationship Id="rId394" Type="http://schemas.openxmlformats.org/officeDocument/2006/relationships/hyperlink" Target="mailto:hector.sanchez@puebla.gob.mx" TargetMode="External"/><Relationship Id="rId408" Type="http://schemas.openxmlformats.org/officeDocument/2006/relationships/hyperlink" Target="mailto:irma.ramirez@puebla.gob.mx" TargetMode="External"/><Relationship Id="rId1" Type="http://schemas.openxmlformats.org/officeDocument/2006/relationships/hyperlink" Target="mailto:isai.guzman@puebla.gob.mx" TargetMode="External"/><Relationship Id="rId212" Type="http://schemas.openxmlformats.org/officeDocument/2006/relationships/hyperlink" Target="mailto:j.ang.fp3@gmail.com" TargetMode="External"/><Relationship Id="rId233" Type="http://schemas.openxmlformats.org/officeDocument/2006/relationships/hyperlink" Target="mailto:carlos.garciab@puebla.gob.mx" TargetMode="External"/><Relationship Id="rId254" Type="http://schemas.openxmlformats.org/officeDocument/2006/relationships/hyperlink" Target="mailto:karimesnr@gmail.com" TargetMode="External"/><Relationship Id="rId28" Type="http://schemas.openxmlformats.org/officeDocument/2006/relationships/hyperlink" Target="mailto:pedrovalenciagarcia971@gmail.com" TargetMode="External"/><Relationship Id="rId49" Type="http://schemas.openxmlformats.org/officeDocument/2006/relationships/hyperlink" Target="mailto:yan_uc@hotmail.com" TargetMode="External"/><Relationship Id="rId114" Type="http://schemas.openxmlformats.org/officeDocument/2006/relationships/hyperlink" Target="mailto:felicitas.sanchez@puebla.gob.mx" TargetMode="External"/><Relationship Id="rId275" Type="http://schemas.openxmlformats.org/officeDocument/2006/relationships/hyperlink" Target="mailto:sandra.carrera@puebla.gob.mx" TargetMode="External"/><Relationship Id="rId296" Type="http://schemas.openxmlformats.org/officeDocument/2006/relationships/hyperlink" Target="mailto:reyes.gamma@puebla.gob.mx" TargetMode="External"/><Relationship Id="rId300" Type="http://schemas.openxmlformats.org/officeDocument/2006/relationships/hyperlink" Target="mailto:Sandy_Trueba@hotmail.com" TargetMode="External"/><Relationship Id="rId60" Type="http://schemas.openxmlformats.org/officeDocument/2006/relationships/hyperlink" Target="mailto:hilario.ramirez@puebla.gob.mx" TargetMode="External"/><Relationship Id="rId81" Type="http://schemas.openxmlformats.org/officeDocument/2006/relationships/hyperlink" Target="mailto:ngiva_mx@outlook.com" TargetMode="External"/><Relationship Id="rId135" Type="http://schemas.openxmlformats.org/officeDocument/2006/relationships/hyperlink" Target="mailto:yeimi.arroyo@puebla.gob.mx" TargetMode="External"/><Relationship Id="rId156" Type="http://schemas.openxmlformats.org/officeDocument/2006/relationships/hyperlink" Target="mailto:marcos.guerrero@puebla.gob.mx" TargetMode="External"/><Relationship Id="rId177" Type="http://schemas.openxmlformats.org/officeDocument/2006/relationships/hyperlink" Target="mailto:irmaxochitl@gmail" TargetMode="External"/><Relationship Id="rId198" Type="http://schemas.openxmlformats.org/officeDocument/2006/relationships/hyperlink" Target="mailto:juanpablo.lopez.cortes@hotmail.com" TargetMode="External"/><Relationship Id="rId321" Type="http://schemas.openxmlformats.org/officeDocument/2006/relationships/hyperlink" Target="mailto:gatogabriel_27@hotmail.com" TargetMode="External"/><Relationship Id="rId342" Type="http://schemas.openxmlformats.org/officeDocument/2006/relationships/hyperlink" Target="mailto:renelunah@hotmail.com" TargetMode="External"/><Relationship Id="rId363" Type="http://schemas.openxmlformats.org/officeDocument/2006/relationships/hyperlink" Target="mailto:baudelioperez733@gmail.com" TargetMode="External"/><Relationship Id="rId384" Type="http://schemas.openxmlformats.org/officeDocument/2006/relationships/hyperlink" Target="mailto:genoli1490@gmail.com" TargetMode="External"/><Relationship Id="rId202" Type="http://schemas.openxmlformats.org/officeDocument/2006/relationships/hyperlink" Target="mailto:lennica.diaz@gmail.com" TargetMode="External"/><Relationship Id="rId223" Type="http://schemas.openxmlformats.org/officeDocument/2006/relationships/hyperlink" Target="mailto:ceciliovivaldo17@gmail.com" TargetMode="External"/><Relationship Id="rId244" Type="http://schemas.openxmlformats.org/officeDocument/2006/relationships/hyperlink" Target="mailto:lennica.diaz@puebla.gob.mx" TargetMode="External"/><Relationship Id="rId18" Type="http://schemas.openxmlformats.org/officeDocument/2006/relationships/hyperlink" Target="mailto:nadia.blas@puebla.gob.mx" TargetMode="External"/><Relationship Id="rId39" Type="http://schemas.openxmlformats.org/officeDocument/2006/relationships/hyperlink" Target="mailto:lubetec39@gmail.com" TargetMode="External"/><Relationship Id="rId265" Type="http://schemas.openxmlformats.org/officeDocument/2006/relationships/hyperlink" Target="mailto:demetrio.rivera@puebla.gob.mx" TargetMode="External"/><Relationship Id="rId286" Type="http://schemas.openxmlformats.org/officeDocument/2006/relationships/hyperlink" Target="mailto:luis.floresmo@puebla.gob.mx" TargetMode="External"/><Relationship Id="rId50" Type="http://schemas.openxmlformats.org/officeDocument/2006/relationships/hyperlink" Target="mailto:coyomeatl63@gmail.com" TargetMode="External"/><Relationship Id="rId104" Type="http://schemas.openxmlformats.org/officeDocument/2006/relationships/hyperlink" Target="mailto:emilia.lara@puebla.gob.mx" TargetMode="External"/><Relationship Id="rId125" Type="http://schemas.openxmlformats.org/officeDocument/2006/relationships/hyperlink" Target="mailto:lic.luis.angel.alfonso@gmail.com" TargetMode="External"/><Relationship Id="rId146" Type="http://schemas.openxmlformats.org/officeDocument/2006/relationships/hyperlink" Target="mailto:maria.paredesf@puebla.gob.mx" TargetMode="External"/><Relationship Id="rId167" Type="http://schemas.openxmlformats.org/officeDocument/2006/relationships/hyperlink" Target="mailto:eduardo.aguilar@puebla.gob.mx" TargetMode="External"/><Relationship Id="rId188" Type="http://schemas.openxmlformats.org/officeDocument/2006/relationships/hyperlink" Target="mailto:irma.cuauhtemoc@puebla.gob.mx" TargetMode="External"/><Relationship Id="rId311" Type="http://schemas.openxmlformats.org/officeDocument/2006/relationships/hyperlink" Target="mailto:jvasan_81@outlook.com" TargetMode="External"/><Relationship Id="rId332" Type="http://schemas.openxmlformats.org/officeDocument/2006/relationships/hyperlink" Target="mailto:yeimi.arroyo93@gmail.com" TargetMode="External"/><Relationship Id="rId353" Type="http://schemas.openxmlformats.org/officeDocument/2006/relationships/hyperlink" Target="mailto:martha.lopez@puebla.gob.mx" TargetMode="External"/><Relationship Id="rId374" Type="http://schemas.openxmlformats.org/officeDocument/2006/relationships/hyperlink" Target="mailto:jose.jimenezc@puebla.gob.mx" TargetMode="External"/><Relationship Id="rId395" Type="http://schemas.openxmlformats.org/officeDocument/2006/relationships/hyperlink" Target="mailto:reyna.teoyotl@puebla.gob.mx" TargetMode="External"/><Relationship Id="rId409" Type="http://schemas.openxmlformats.org/officeDocument/2006/relationships/hyperlink" Target="mailto:alejandro.blanco.g@puebla.gob.mx" TargetMode="External"/><Relationship Id="rId71" Type="http://schemas.openxmlformats.org/officeDocument/2006/relationships/hyperlink" Target="mailto:maria.delgado@puebla.gob.mx" TargetMode="External"/><Relationship Id="rId92" Type="http://schemas.openxmlformats.org/officeDocument/2006/relationships/hyperlink" Target="mailto:robertoregino65@gmail.com" TargetMode="External"/><Relationship Id="rId213" Type="http://schemas.openxmlformats.org/officeDocument/2006/relationships/hyperlink" Target="mailto:marcoshilario2504@gmail.com" TargetMode="External"/><Relationship Id="rId234" Type="http://schemas.openxmlformats.org/officeDocument/2006/relationships/hyperlink" Target="mailto:nayeli.martinezh@puebla.gob.mx" TargetMode="External"/><Relationship Id="rId2" Type="http://schemas.openxmlformats.org/officeDocument/2006/relationships/hyperlink" Target="mailto:isai.guzman@puebla.gob.mx" TargetMode="External"/><Relationship Id="rId29" Type="http://schemas.openxmlformats.org/officeDocument/2006/relationships/hyperlink" Target="mailto:oscarhdz.raf@gmail.com" TargetMode="External"/><Relationship Id="rId255" Type="http://schemas.openxmlformats.org/officeDocument/2006/relationships/hyperlink" Target="mailto:abigail.monroy293@gmail.com" TargetMode="External"/><Relationship Id="rId276" Type="http://schemas.openxmlformats.org/officeDocument/2006/relationships/hyperlink" Target="mailto:luis_g_6574@hotmail.com" TargetMode="External"/><Relationship Id="rId297" Type="http://schemas.openxmlformats.org/officeDocument/2006/relationships/hyperlink" Target="mailto:hectmb1964@gmail.com" TargetMode="External"/><Relationship Id="rId40" Type="http://schemas.openxmlformats.org/officeDocument/2006/relationships/hyperlink" Target="mailto:manzanofh@hotmail.com" TargetMode="External"/><Relationship Id="rId115" Type="http://schemas.openxmlformats.org/officeDocument/2006/relationships/hyperlink" Target="mailto:sanchez.aparicio.fely@gmail.com" TargetMode="External"/><Relationship Id="rId136" Type="http://schemas.openxmlformats.org/officeDocument/2006/relationships/hyperlink" Target="mailto:cesar-cruz88@hotmail.com" TargetMode="External"/><Relationship Id="rId157" Type="http://schemas.openxmlformats.org/officeDocument/2006/relationships/hyperlink" Target="mailto:alexmorales034@gmail.com" TargetMode="External"/><Relationship Id="rId178" Type="http://schemas.openxmlformats.org/officeDocument/2006/relationships/hyperlink" Target="mailto:jaal25@yahoo.com" TargetMode="External"/><Relationship Id="rId301" Type="http://schemas.openxmlformats.org/officeDocument/2006/relationships/hyperlink" Target="mailto:jessica.aburto@puebla.gob.mx" TargetMode="External"/><Relationship Id="rId322" Type="http://schemas.openxmlformats.org/officeDocument/2006/relationships/hyperlink" Target="mailto:melissayaretzi.martinezreyes@gmail.com" TargetMode="External"/><Relationship Id="rId343" Type="http://schemas.openxmlformats.org/officeDocument/2006/relationships/hyperlink" Target="mailto:gabriel.martinezd@puebla.gob.mx" TargetMode="External"/><Relationship Id="rId364" Type="http://schemas.openxmlformats.org/officeDocument/2006/relationships/hyperlink" Target="mailto:baudelio.perez@puebla.gob.mx" TargetMode="External"/><Relationship Id="rId61" Type="http://schemas.openxmlformats.org/officeDocument/2006/relationships/hyperlink" Target="mailto:hilarioramirezrojas1952@gmail.com" TargetMode="External"/><Relationship Id="rId82" Type="http://schemas.openxmlformats.org/officeDocument/2006/relationships/hyperlink" Target="mailto:miguel.solis@puebla.gob.mx" TargetMode="External"/><Relationship Id="rId199" Type="http://schemas.openxmlformats.org/officeDocument/2006/relationships/hyperlink" Target="mailto:amadeuzcuadradogaleano@gmail.com" TargetMode="External"/><Relationship Id="rId203" Type="http://schemas.openxmlformats.org/officeDocument/2006/relationships/hyperlink" Target="mailto:luis_g_6574@hotmail.com" TargetMode="External"/><Relationship Id="rId385" Type="http://schemas.openxmlformats.org/officeDocument/2006/relationships/hyperlink" Target="mailto:carreradacostasandra@gmail.com" TargetMode="External"/><Relationship Id="rId19" Type="http://schemas.openxmlformats.org/officeDocument/2006/relationships/hyperlink" Target="mailto:armando.alfonso@puebla.gob.mx" TargetMode="External"/><Relationship Id="rId224" Type="http://schemas.openxmlformats.org/officeDocument/2006/relationships/hyperlink" Target="mailto:hectmb1964@gmail.com" TargetMode="External"/><Relationship Id="rId245" Type="http://schemas.openxmlformats.org/officeDocument/2006/relationships/hyperlink" Target="mailto:amadeus.cuadrado@puebla.gob.mx" TargetMode="External"/><Relationship Id="rId266" Type="http://schemas.openxmlformats.org/officeDocument/2006/relationships/hyperlink" Target="mailto:zahiraaldanaramirez@gmail.com" TargetMode="External"/><Relationship Id="rId287" Type="http://schemas.openxmlformats.org/officeDocument/2006/relationships/hyperlink" Target="mailto:teothokos@hotmail.com" TargetMode="External"/><Relationship Id="rId410" Type="http://schemas.openxmlformats.org/officeDocument/2006/relationships/hyperlink" Target="mailto:ma.lopez@puebla.gob.mx" TargetMode="External"/><Relationship Id="rId30" Type="http://schemas.openxmlformats.org/officeDocument/2006/relationships/hyperlink" Target="mailto:araceli.santos@puebla.gob.mx" TargetMode="External"/><Relationship Id="rId105" Type="http://schemas.openxmlformats.org/officeDocument/2006/relationships/hyperlink" Target="mailto:lara.g.emili63@gmail.com" TargetMode="External"/><Relationship Id="rId126" Type="http://schemas.openxmlformats.org/officeDocument/2006/relationships/hyperlink" Target="mailto:esaucastelanm@gmail.com" TargetMode="External"/><Relationship Id="rId147" Type="http://schemas.openxmlformats.org/officeDocument/2006/relationships/hyperlink" Target="mailto:adilenevargas.e27@gmail.com" TargetMode="External"/><Relationship Id="rId168" Type="http://schemas.openxmlformats.org/officeDocument/2006/relationships/hyperlink" Target="mailto:XHIO.LUNAL@GMAIL.COM" TargetMode="External"/><Relationship Id="rId312" Type="http://schemas.openxmlformats.org/officeDocument/2006/relationships/hyperlink" Target="mailto:uziel.perez@puebla.gob.mx" TargetMode="External"/><Relationship Id="rId333" Type="http://schemas.openxmlformats.org/officeDocument/2006/relationships/hyperlink" Target="mailto:yeimi.arroyo@puebla.gob.mx" TargetMode="External"/><Relationship Id="rId354" Type="http://schemas.openxmlformats.org/officeDocument/2006/relationships/hyperlink" Target="mailto:martha.lopez@puebla.gob.mx" TargetMode="External"/><Relationship Id="rId51" Type="http://schemas.openxmlformats.org/officeDocument/2006/relationships/hyperlink" Target="mailto:serafin.solis@puebla.gob.mx" TargetMode="External"/><Relationship Id="rId72" Type="http://schemas.openxmlformats.org/officeDocument/2006/relationships/hyperlink" Target="mailto:fernandadelcas@gmail.com" TargetMode="External"/><Relationship Id="rId93" Type="http://schemas.openxmlformats.org/officeDocument/2006/relationships/hyperlink" Target="mailto:roberto.regino@puebla.gob.mx" TargetMode="External"/><Relationship Id="rId189" Type="http://schemas.openxmlformats.org/officeDocument/2006/relationships/hyperlink" Target="mailto:sandra.carrera@puebla.gob.mx" TargetMode="External"/><Relationship Id="rId375" Type="http://schemas.openxmlformats.org/officeDocument/2006/relationships/hyperlink" Target="mailto:luis_g_6574@hotmail.com" TargetMode="External"/><Relationship Id="rId396" Type="http://schemas.openxmlformats.org/officeDocument/2006/relationships/hyperlink" Target="mailto:sxe_alex_sxe@hotmail.com" TargetMode="External"/><Relationship Id="rId3" Type="http://schemas.openxmlformats.org/officeDocument/2006/relationships/hyperlink" Target="mailto:201420061@icipuebla.edu" TargetMode="External"/><Relationship Id="rId214" Type="http://schemas.openxmlformats.org/officeDocument/2006/relationships/hyperlink" Target="mailto:altav693@gmail.com" TargetMode="External"/><Relationship Id="rId235" Type="http://schemas.openxmlformats.org/officeDocument/2006/relationships/hyperlink" Target="mailto:jacobo.alva@puebla.gob.mx" TargetMode="External"/><Relationship Id="rId256" Type="http://schemas.openxmlformats.org/officeDocument/2006/relationships/hyperlink" Target="mailto:Jess.aburto04@gmail.com" TargetMode="External"/><Relationship Id="rId277" Type="http://schemas.openxmlformats.org/officeDocument/2006/relationships/hyperlink" Target="mailto:luis.floresmo@puebla.gob.mx" TargetMode="External"/><Relationship Id="rId298" Type="http://schemas.openxmlformats.org/officeDocument/2006/relationships/hyperlink" Target="mailto:hector.baez@puebla.gob.mx" TargetMode="External"/><Relationship Id="rId400" Type="http://schemas.openxmlformats.org/officeDocument/2006/relationships/hyperlink" Target="mailto:zahira.aldana@puebla.gob.mx" TargetMode="External"/><Relationship Id="rId116" Type="http://schemas.openxmlformats.org/officeDocument/2006/relationships/hyperlink" Target="mailto:zahiraaldanaramirez@gmail.com" TargetMode="External"/><Relationship Id="rId137" Type="http://schemas.openxmlformats.org/officeDocument/2006/relationships/hyperlink" Target="mailto:migamo29@hotmail.com" TargetMode="External"/><Relationship Id="rId158" Type="http://schemas.openxmlformats.org/officeDocument/2006/relationships/hyperlink" Target="mailto:zuleffx@gmail.com" TargetMode="External"/><Relationship Id="rId302" Type="http://schemas.openxmlformats.org/officeDocument/2006/relationships/hyperlink" Target="mailto:karime.sanchez@puebla.gob.mx" TargetMode="External"/><Relationship Id="rId323" Type="http://schemas.openxmlformats.org/officeDocument/2006/relationships/hyperlink" Target="mailto:baudelio.perez@puebla.gob.mx" TargetMode="External"/><Relationship Id="rId344" Type="http://schemas.openxmlformats.org/officeDocument/2006/relationships/hyperlink" Target="mailto:melissa.martinez@puebla.gob.mx" TargetMode="External"/><Relationship Id="rId20" Type="http://schemas.openxmlformats.org/officeDocument/2006/relationships/hyperlink" Target="mailto:sonia.avila@puebla.gob.mx" TargetMode="External"/><Relationship Id="rId41" Type="http://schemas.openxmlformats.org/officeDocument/2006/relationships/hyperlink" Target="mailto:rafael.bringas@puebla.gob.mx" TargetMode="External"/><Relationship Id="rId62" Type="http://schemas.openxmlformats.org/officeDocument/2006/relationships/hyperlink" Target="mailto:jcatonj@hotmail.com" TargetMode="External"/><Relationship Id="rId83" Type="http://schemas.openxmlformats.org/officeDocument/2006/relationships/hyperlink" Target="mailto:descendientes4t@outlook.es" TargetMode="External"/><Relationship Id="rId179" Type="http://schemas.openxmlformats.org/officeDocument/2006/relationships/hyperlink" Target="mailto:ignacio.alvarez@puebla.gob.mx" TargetMode="External"/><Relationship Id="rId365" Type="http://schemas.openxmlformats.org/officeDocument/2006/relationships/hyperlink" Target="mailto:comunicacionplural1@hotmail.com" TargetMode="External"/><Relationship Id="rId386" Type="http://schemas.openxmlformats.org/officeDocument/2006/relationships/hyperlink" Target="mailto:sandra.carrera@puebla.gob.mx" TargetMode="External"/><Relationship Id="rId190" Type="http://schemas.openxmlformats.org/officeDocument/2006/relationships/hyperlink" Target="mailto:ruben_pina@yahoo.com" TargetMode="External"/><Relationship Id="rId204" Type="http://schemas.openxmlformats.org/officeDocument/2006/relationships/hyperlink" Target="mailto:arendy.perez22@gmail.com" TargetMode="External"/><Relationship Id="rId225" Type="http://schemas.openxmlformats.org/officeDocument/2006/relationships/hyperlink" Target="mailto:yax.pi&#241;a@gmail.com" TargetMode="External"/><Relationship Id="rId246" Type="http://schemas.openxmlformats.org/officeDocument/2006/relationships/hyperlink" Target="mailto:lucero.salas@puebla.gob.mx" TargetMode="External"/><Relationship Id="rId267" Type="http://schemas.openxmlformats.org/officeDocument/2006/relationships/hyperlink" Target="mailto:zahira.aldana@puebla.gob.mx" TargetMode="External"/><Relationship Id="rId288" Type="http://schemas.openxmlformats.org/officeDocument/2006/relationships/hyperlink" Target="mailto:miguel.jimenez@puebla.gob.mx" TargetMode="External"/><Relationship Id="rId411" Type="http://schemas.openxmlformats.org/officeDocument/2006/relationships/printerSettings" Target="../printerSettings/printerSettings1.bin"/><Relationship Id="rId106" Type="http://schemas.openxmlformats.org/officeDocument/2006/relationships/hyperlink" Target="mailto:elia.calderon@puebla.gob.mx" TargetMode="External"/><Relationship Id="rId127" Type="http://schemas.openxmlformats.org/officeDocument/2006/relationships/hyperlink" Target="mailto:edwin.castelan@puebla.gob.mx" TargetMode="External"/><Relationship Id="rId313" Type="http://schemas.openxmlformats.org/officeDocument/2006/relationships/hyperlink" Target="mailto:luzsabinos@gmail.com" TargetMode="External"/><Relationship Id="rId10" Type="http://schemas.openxmlformats.org/officeDocument/2006/relationships/hyperlink" Target="mailto:lazaro.alejo@puebla.gob.%20mx" TargetMode="External"/><Relationship Id="rId31" Type="http://schemas.openxmlformats.org/officeDocument/2006/relationships/hyperlink" Target="mailto:etnomarcos@gmail.com" TargetMode="External"/><Relationship Id="rId52" Type="http://schemas.openxmlformats.org/officeDocument/2006/relationships/hyperlink" Target="mailto:jcatonj@hotmail.com" TargetMode="External"/><Relationship Id="rId73" Type="http://schemas.openxmlformats.org/officeDocument/2006/relationships/hyperlink" Target="mailto:felix.narciso@puebla.gob.mx" TargetMode="External"/><Relationship Id="rId94" Type="http://schemas.openxmlformats.org/officeDocument/2006/relationships/hyperlink" Target="mailto:yair.oropeza@puebla.gob.mx" TargetMode="External"/><Relationship Id="rId148" Type="http://schemas.openxmlformats.org/officeDocument/2006/relationships/hyperlink" Target="mailto:adilene.vargas@puebla.gob.mx" TargetMode="External"/><Relationship Id="rId169" Type="http://schemas.openxmlformats.org/officeDocument/2006/relationships/hyperlink" Target="mailto:judithchinamorena@gmail.com" TargetMode="External"/><Relationship Id="rId334" Type="http://schemas.openxmlformats.org/officeDocument/2006/relationships/hyperlink" Target="mailto:cezasa@yahoo.com.mx" TargetMode="External"/><Relationship Id="rId355" Type="http://schemas.openxmlformats.org/officeDocument/2006/relationships/hyperlink" Target="mailto:uziel.perez@puebla.gob.mx" TargetMode="External"/><Relationship Id="rId376" Type="http://schemas.openxmlformats.org/officeDocument/2006/relationships/hyperlink" Target="mailto:luis.floresmo@puebla.gob.mx" TargetMode="External"/><Relationship Id="rId397" Type="http://schemas.openxmlformats.org/officeDocument/2006/relationships/hyperlink" Target="mailto:irma_ramirez_v@hotmail.com" TargetMode="External"/><Relationship Id="rId4" Type="http://schemas.openxmlformats.org/officeDocument/2006/relationships/hyperlink" Target="mailto:yeimi.arroyo93@gmail.com" TargetMode="External"/><Relationship Id="rId180" Type="http://schemas.openxmlformats.org/officeDocument/2006/relationships/hyperlink" Target="mailto:alexmorales034@gmail.com" TargetMode="External"/><Relationship Id="rId215" Type="http://schemas.openxmlformats.org/officeDocument/2006/relationships/hyperlink" Target="mailto:blnca1989cuevas@gmail.com" TargetMode="External"/><Relationship Id="rId236" Type="http://schemas.openxmlformats.org/officeDocument/2006/relationships/hyperlink" Target="mailto:reyes.gamma@puebla.gob.mx" TargetMode="External"/><Relationship Id="rId257" Type="http://schemas.openxmlformats.org/officeDocument/2006/relationships/hyperlink" Target="mailto:wolr_sda@hotmail.com" TargetMode="External"/><Relationship Id="rId278" Type="http://schemas.openxmlformats.org/officeDocument/2006/relationships/hyperlink" Target="mailto:adilenevargas.e27@gmail.com" TargetMode="External"/><Relationship Id="rId401" Type="http://schemas.openxmlformats.org/officeDocument/2006/relationships/hyperlink" Target="mailto:jose.jimenezc@puebla.gob.mx" TargetMode="External"/><Relationship Id="rId303" Type="http://schemas.openxmlformats.org/officeDocument/2006/relationships/hyperlink" Target="mailto:jose.gonzalez@puebla.gob.mx" TargetMode="External"/><Relationship Id="rId42" Type="http://schemas.openxmlformats.org/officeDocument/2006/relationships/hyperlink" Target="mailto:franiep3@hotmail.com" TargetMode="External"/><Relationship Id="rId84" Type="http://schemas.openxmlformats.org/officeDocument/2006/relationships/hyperlink" Target="mailto:ramon.vergara@puebla.gob.mx" TargetMode="External"/><Relationship Id="rId138" Type="http://schemas.openxmlformats.org/officeDocument/2006/relationships/hyperlink" Target="mailto:jcatonj@hotmail.com" TargetMode="External"/><Relationship Id="rId345" Type="http://schemas.openxmlformats.org/officeDocument/2006/relationships/hyperlink" Target="mailto:lesly.serrano@puebla.gob.mx" TargetMode="External"/><Relationship Id="rId387" Type="http://schemas.openxmlformats.org/officeDocument/2006/relationships/hyperlink" Target="mailto:pedrorojaszar96@gmail.com" TargetMode="External"/><Relationship Id="rId191" Type="http://schemas.openxmlformats.org/officeDocument/2006/relationships/hyperlink" Target="mailto:more20na23@gmail.com" TargetMode="External"/><Relationship Id="rId205" Type="http://schemas.openxmlformats.org/officeDocument/2006/relationships/hyperlink" Target="mailto:Law.archy2024@com.mx" TargetMode="External"/><Relationship Id="rId247" Type="http://schemas.openxmlformats.org/officeDocument/2006/relationships/hyperlink" Target="mailto:pablo.ruiz@puebla.gob.mx" TargetMode="External"/><Relationship Id="rId412" Type="http://schemas.openxmlformats.org/officeDocument/2006/relationships/table" Target="../tables/table1.xml"/><Relationship Id="rId107" Type="http://schemas.openxmlformats.org/officeDocument/2006/relationships/hyperlink" Target="mailto:mvzeco@hotmail.com" TargetMode="External"/><Relationship Id="rId289" Type="http://schemas.openxmlformats.org/officeDocument/2006/relationships/hyperlink" Target="mailto:ruben_pina@yahoo.com" TargetMode="External"/><Relationship Id="rId11" Type="http://schemas.openxmlformats.org/officeDocument/2006/relationships/hyperlink" Target="mailto:maria.lopezg@puebla.gob.mx" TargetMode="External"/><Relationship Id="rId53" Type="http://schemas.openxmlformats.org/officeDocument/2006/relationships/hyperlink" Target="mailto:juan.martineza@puebla.gob.mx" TargetMode="External"/><Relationship Id="rId149" Type="http://schemas.openxmlformats.org/officeDocument/2006/relationships/hyperlink" Target="mailto:emilia.lara@puebla.gob.mx" TargetMode="External"/><Relationship Id="rId314" Type="http://schemas.openxmlformats.org/officeDocument/2006/relationships/hyperlink" Target="mailto:maria.sabino@puebla.gob.mx" TargetMode="External"/><Relationship Id="rId356" Type="http://schemas.openxmlformats.org/officeDocument/2006/relationships/hyperlink" Target="mailto:yeimi.arroyo93@gmail.com" TargetMode="External"/><Relationship Id="rId398" Type="http://schemas.openxmlformats.org/officeDocument/2006/relationships/hyperlink" Target="mailto:iloma2325.5@gmail.com" TargetMode="External"/><Relationship Id="rId95" Type="http://schemas.openxmlformats.org/officeDocument/2006/relationships/hyperlink" Target="mailto:aurelio.benitez@puebla.gob.mx" TargetMode="External"/><Relationship Id="rId160" Type="http://schemas.openxmlformats.org/officeDocument/2006/relationships/hyperlink" Target="mailto:yanet.uc@puebla.gob.mx" TargetMode="External"/><Relationship Id="rId216" Type="http://schemas.openxmlformats.org/officeDocument/2006/relationships/hyperlink" Target="mailto:judmorales@outlook.com" TargetMode="External"/><Relationship Id="rId258" Type="http://schemas.openxmlformats.org/officeDocument/2006/relationships/hyperlink" Target="mailto:ruben_pina@yahoo.com" TargetMode="External"/><Relationship Id="rId22" Type="http://schemas.openxmlformats.org/officeDocument/2006/relationships/hyperlink" Target="mailto:iran.rodriguez@puebla.gob.mx" TargetMode="External"/><Relationship Id="rId64" Type="http://schemas.openxmlformats.org/officeDocument/2006/relationships/hyperlink" Target="mailto:alondra.ramirez@puebla.gob.mx" TargetMode="External"/><Relationship Id="rId118" Type="http://schemas.openxmlformats.org/officeDocument/2006/relationships/hyperlink" Target="mailto:miguel.cabrera@puebla.gob.mx" TargetMode="External"/><Relationship Id="rId325" Type="http://schemas.openxmlformats.org/officeDocument/2006/relationships/hyperlink" Target="mailto:wolr_sda@hotmail.com" TargetMode="External"/><Relationship Id="rId367" Type="http://schemas.openxmlformats.org/officeDocument/2006/relationships/hyperlink" Target="mailto:zahira.aldana@puebla.gob.mx" TargetMode="External"/><Relationship Id="rId171" Type="http://schemas.openxmlformats.org/officeDocument/2006/relationships/hyperlink" Target="mailto:celso3g@gmail.com" TargetMode="External"/><Relationship Id="rId227" Type="http://schemas.openxmlformats.org/officeDocument/2006/relationships/hyperlink" Target="mailto:marisaluz850@gmail.com" TargetMode="External"/><Relationship Id="rId269" Type="http://schemas.openxmlformats.org/officeDocument/2006/relationships/hyperlink" Target="mailto:Gaudenciorosales540@gmail.com" TargetMode="External"/><Relationship Id="rId33" Type="http://schemas.openxmlformats.org/officeDocument/2006/relationships/hyperlink" Target="mailto:aurelio@ti-abc.com" TargetMode="External"/><Relationship Id="rId129" Type="http://schemas.openxmlformats.org/officeDocument/2006/relationships/hyperlink" Target="mailto:demetrioriveravazquez4@gmail.com" TargetMode="External"/><Relationship Id="rId280" Type="http://schemas.openxmlformats.org/officeDocument/2006/relationships/hyperlink" Target="mailto:arendy.perez22@gmail.com" TargetMode="External"/><Relationship Id="rId336" Type="http://schemas.openxmlformats.org/officeDocument/2006/relationships/hyperlink" Target="mailto:luzsabinos@gmail.com" TargetMode="External"/><Relationship Id="rId75" Type="http://schemas.openxmlformats.org/officeDocument/2006/relationships/hyperlink" Target="mailto:rosy_2408a@hotmail.com" TargetMode="External"/><Relationship Id="rId140" Type="http://schemas.openxmlformats.org/officeDocument/2006/relationships/hyperlink" Target="mailto:angel.acuapan@puebla.gob.mx" TargetMode="External"/><Relationship Id="rId182" Type="http://schemas.openxmlformats.org/officeDocument/2006/relationships/hyperlink" Target="mailto:jose.carretero@puebla.gob.mx" TargetMode="External"/><Relationship Id="rId378" Type="http://schemas.openxmlformats.org/officeDocument/2006/relationships/hyperlink" Target="mailto:yanei.alta@puebla.gob.mx" TargetMode="External"/><Relationship Id="rId403" Type="http://schemas.openxmlformats.org/officeDocument/2006/relationships/hyperlink" Target="mailto:lupitatoribio76@gmail.com" TargetMode="External"/><Relationship Id="rId6" Type="http://schemas.openxmlformats.org/officeDocument/2006/relationships/hyperlink" Target="mailto:nayin23feb@gmail.com" TargetMode="External"/><Relationship Id="rId238" Type="http://schemas.openxmlformats.org/officeDocument/2006/relationships/hyperlink" Target="mailto:luis.floresmo@puebla.gob.mx" TargetMode="External"/><Relationship Id="rId291" Type="http://schemas.openxmlformats.org/officeDocument/2006/relationships/hyperlink" Target="mailto:lennica.diaz@puebla.gob.mx" TargetMode="External"/><Relationship Id="rId305" Type="http://schemas.openxmlformats.org/officeDocument/2006/relationships/hyperlink" Target="mailto:yeimi.arroyo@puebla.gob.mx" TargetMode="External"/><Relationship Id="rId347" Type="http://schemas.openxmlformats.org/officeDocument/2006/relationships/hyperlink" Target="mailto:ana.balderas@puebla.gob.mx" TargetMode="External"/><Relationship Id="rId44" Type="http://schemas.openxmlformats.org/officeDocument/2006/relationships/hyperlink" Target="mailto:cesar-cruz88@hotmail.com" TargetMode="External"/><Relationship Id="rId86" Type="http://schemas.openxmlformats.org/officeDocument/2006/relationships/hyperlink" Target="mailto:salcarrillo@hotmail.com" TargetMode="External"/><Relationship Id="rId151" Type="http://schemas.openxmlformats.org/officeDocument/2006/relationships/hyperlink" Target="mailto:lazaro.alejo@puebla.gob.%20mx" TargetMode="External"/><Relationship Id="rId389" Type="http://schemas.openxmlformats.org/officeDocument/2006/relationships/hyperlink" Target="mailto:amezaalonso@gmail.com" TargetMode="External"/><Relationship Id="rId193" Type="http://schemas.openxmlformats.org/officeDocument/2006/relationships/hyperlink" Target="mailto:mtz0902@icloud.com" TargetMode="External"/><Relationship Id="rId207" Type="http://schemas.openxmlformats.org/officeDocument/2006/relationships/hyperlink" Target="mailto:paisanor6@gmail.com" TargetMode="External"/><Relationship Id="rId249" Type="http://schemas.openxmlformats.org/officeDocument/2006/relationships/hyperlink" Target="mailto:david.archundia@puebla.gob.mx" TargetMode="External"/><Relationship Id="rId13" Type="http://schemas.openxmlformats.org/officeDocument/2006/relationships/hyperlink" Target="mailto:bertin.garcia@puebla.gob.mx" TargetMode="External"/><Relationship Id="rId109" Type="http://schemas.openxmlformats.org/officeDocument/2006/relationships/hyperlink" Target="mailto:miguelalejandro9582@gmail.com" TargetMode="External"/><Relationship Id="rId260" Type="http://schemas.openxmlformats.org/officeDocument/2006/relationships/hyperlink" Target="mailto:carreradacostasandra@gmail.com" TargetMode="External"/><Relationship Id="rId316" Type="http://schemas.openxmlformats.org/officeDocument/2006/relationships/hyperlink" Target="mailto:gaudencio.rosales@puebla.gob.mx" TargetMode="External"/><Relationship Id="rId55" Type="http://schemas.openxmlformats.org/officeDocument/2006/relationships/hyperlink" Target="mailto:dafika94@hotmail.com" TargetMode="External"/><Relationship Id="rId97" Type="http://schemas.openxmlformats.org/officeDocument/2006/relationships/hyperlink" Target="mailto:marcos.guerrero@puebla.gob.mx" TargetMode="External"/><Relationship Id="rId120" Type="http://schemas.openxmlformats.org/officeDocument/2006/relationships/hyperlink" Target="mailto:pedro.valencia@puebla.gob.mx" TargetMode="External"/><Relationship Id="rId358" Type="http://schemas.openxmlformats.org/officeDocument/2006/relationships/hyperlink" Target="mailto:melissayaretzi.martinezreyes@gmail.com" TargetMode="External"/><Relationship Id="rId162" Type="http://schemas.openxmlformats.org/officeDocument/2006/relationships/hyperlink" Target="mailto:cristobal.garciaa@gmail.com" TargetMode="External"/><Relationship Id="rId218" Type="http://schemas.openxmlformats.org/officeDocument/2006/relationships/hyperlink" Target="mailto:tbnmndz@hotmail.com" TargetMode="External"/><Relationship Id="rId271" Type="http://schemas.openxmlformats.org/officeDocument/2006/relationships/hyperlink" Target="mailto:zaqueroz.yan1@gmail.com" TargetMode="External"/><Relationship Id="rId24" Type="http://schemas.openxmlformats.org/officeDocument/2006/relationships/hyperlink" Target="mailto:ruben.pina@puebla.gob.mx" TargetMode="External"/><Relationship Id="rId66" Type="http://schemas.openxmlformats.org/officeDocument/2006/relationships/hyperlink" Target="mailto:ismael.lopez@puebla.gob.mx" TargetMode="External"/><Relationship Id="rId131" Type="http://schemas.openxmlformats.org/officeDocument/2006/relationships/hyperlink" Target="mailto:salcarrillo@hotmail.com" TargetMode="External"/><Relationship Id="rId327" Type="http://schemas.openxmlformats.org/officeDocument/2006/relationships/hyperlink" Target="mailto:martharhinpode@gmail.com" TargetMode="External"/><Relationship Id="rId369" Type="http://schemas.openxmlformats.org/officeDocument/2006/relationships/hyperlink" Target="mailto:rene.luna@puebla.gob.mx" TargetMode="External"/><Relationship Id="rId173" Type="http://schemas.openxmlformats.org/officeDocument/2006/relationships/hyperlink" Target="mailto:celso.perez@puebla.gob.mx" TargetMode="External"/><Relationship Id="rId229" Type="http://schemas.openxmlformats.org/officeDocument/2006/relationships/hyperlink" Target="mailto:baudelioperez733@gmail.com" TargetMode="External"/><Relationship Id="rId380" Type="http://schemas.openxmlformats.org/officeDocument/2006/relationships/hyperlink" Target="mailto:hector.baez@puebla.gob.mx" TargetMode="External"/><Relationship Id="rId240" Type="http://schemas.openxmlformats.org/officeDocument/2006/relationships/hyperlink" Target="mailto:braulio.paisano@puebla.gob.mx" TargetMode="External"/><Relationship Id="rId35" Type="http://schemas.openxmlformats.org/officeDocument/2006/relationships/hyperlink" Target="mailto:yair.or_r@hotmail.com" TargetMode="External"/><Relationship Id="rId77" Type="http://schemas.openxmlformats.org/officeDocument/2006/relationships/hyperlink" Target="mailto:gloria.martinez@puebla.gob.mx" TargetMode="External"/><Relationship Id="rId100" Type="http://schemas.openxmlformats.org/officeDocument/2006/relationships/hyperlink" Target="mailto:maria.molina@puebla.gob.mx" TargetMode="External"/><Relationship Id="rId282" Type="http://schemas.openxmlformats.org/officeDocument/2006/relationships/hyperlink" Target="mailto:cp.jacoboalva@gmail.com" TargetMode="External"/><Relationship Id="rId338" Type="http://schemas.openxmlformats.org/officeDocument/2006/relationships/hyperlink" Target="mailto:yeimi.arroyo93@gmail.com" TargetMode="External"/><Relationship Id="rId8" Type="http://schemas.openxmlformats.org/officeDocument/2006/relationships/hyperlink" Target="mailto:zoilo.guzman@puebla.gob.mx" TargetMode="External"/><Relationship Id="rId142" Type="http://schemas.openxmlformats.org/officeDocument/2006/relationships/hyperlink" Target="mailto:zahira.aldana@puebla.gob.mx" TargetMode="External"/><Relationship Id="rId184" Type="http://schemas.openxmlformats.org/officeDocument/2006/relationships/hyperlink" Target="mailto:d4n.c4stro@gmail.com" TargetMode="External"/><Relationship Id="rId391" Type="http://schemas.openxmlformats.org/officeDocument/2006/relationships/hyperlink" Target="mailto:marioherrerias2000@gmail.com" TargetMode="External"/><Relationship Id="rId405" Type="http://schemas.openxmlformats.org/officeDocument/2006/relationships/hyperlink" Target="mailto:silvia.bustamante@puebla.gob.mx" TargetMode="External"/><Relationship Id="rId251" Type="http://schemas.openxmlformats.org/officeDocument/2006/relationships/hyperlink" Target="mailto:miguel.jimenez@puebla.gob.mx" TargetMode="External"/><Relationship Id="rId46" Type="http://schemas.openxmlformats.org/officeDocument/2006/relationships/hyperlink" Target="mailto:migamo29@hotmail.com" TargetMode="External"/><Relationship Id="rId293" Type="http://schemas.openxmlformats.org/officeDocument/2006/relationships/hyperlink" Target="mailto:zahira.aldana@puebla.gob.mx" TargetMode="External"/><Relationship Id="rId307" Type="http://schemas.openxmlformats.org/officeDocument/2006/relationships/hyperlink" Target="mailto:hector.baez@puebla.gob.mx" TargetMode="External"/><Relationship Id="rId349" Type="http://schemas.openxmlformats.org/officeDocument/2006/relationships/hyperlink" Target="mailto:efren.sanchez@puebla.gob.mx" TargetMode="External"/><Relationship Id="rId88" Type="http://schemas.openxmlformats.org/officeDocument/2006/relationships/hyperlink" Target="mailto:jaal25@yahoo.com" TargetMode="External"/><Relationship Id="rId111" Type="http://schemas.openxmlformats.org/officeDocument/2006/relationships/hyperlink" Target="mailto:lubetec39@gmail.com" TargetMode="External"/><Relationship Id="rId153" Type="http://schemas.openxmlformats.org/officeDocument/2006/relationships/hyperlink" Target="mailto:felicitas.sanchez@puebla.gob.mx" TargetMode="External"/><Relationship Id="rId195" Type="http://schemas.openxmlformats.org/officeDocument/2006/relationships/hyperlink" Target="mailto:katch_tamarindo@hotmail.com" TargetMode="External"/><Relationship Id="rId209" Type="http://schemas.openxmlformats.org/officeDocument/2006/relationships/hyperlink" Target="mailto:reyesmateos@gmail.com" TargetMode="External"/><Relationship Id="rId360" Type="http://schemas.openxmlformats.org/officeDocument/2006/relationships/hyperlink" Target="mailto:reyesmateos@gmail.com" TargetMode="External"/><Relationship Id="rId220" Type="http://schemas.openxmlformats.org/officeDocument/2006/relationships/hyperlink" Target="mailto:charly10gb@outlook.com" TargetMode="External"/><Relationship Id="rId15" Type="http://schemas.openxmlformats.org/officeDocument/2006/relationships/hyperlink" Target="mailto:laura.flores@puebla.gob.mx" TargetMode="External"/><Relationship Id="rId57" Type="http://schemas.openxmlformats.org/officeDocument/2006/relationships/hyperlink" Target="mailto:angelacuapan@hotmail.com" TargetMode="External"/><Relationship Id="rId262" Type="http://schemas.openxmlformats.org/officeDocument/2006/relationships/hyperlink" Target="mailto:adilenevargas.e27@gmail.com" TargetMode="External"/><Relationship Id="rId318" Type="http://schemas.openxmlformats.org/officeDocument/2006/relationships/hyperlink" Target="mailto:cristian.cecilio@puebla.com" TargetMode="External"/><Relationship Id="rId99" Type="http://schemas.openxmlformats.org/officeDocument/2006/relationships/hyperlink" Target="mailto:adilene.vargas@puebla.gob.mx" TargetMode="External"/><Relationship Id="rId122" Type="http://schemas.openxmlformats.org/officeDocument/2006/relationships/hyperlink" Target="mailto:yeimi.arroyo93@gmail.com" TargetMode="External"/><Relationship Id="rId164" Type="http://schemas.openxmlformats.org/officeDocument/2006/relationships/hyperlink" Target="mailto:araceli.silva@puebla.gob.mx" TargetMode="External"/><Relationship Id="rId371" Type="http://schemas.openxmlformats.org/officeDocument/2006/relationships/hyperlink" Target="mailto:luis.fernandez@puebla.gob.mx" TargetMode="External"/><Relationship Id="rId26" Type="http://schemas.openxmlformats.org/officeDocument/2006/relationships/hyperlink" Target="mailto:araceli.santos@puebla.gob.mx" TargetMode="External"/><Relationship Id="rId231" Type="http://schemas.openxmlformats.org/officeDocument/2006/relationships/hyperlink" Target="mailto:Gaudenciorosales540@gmail.com" TargetMode="External"/><Relationship Id="rId273" Type="http://schemas.openxmlformats.org/officeDocument/2006/relationships/hyperlink" Target="mailto:rolandoaguilarmedel@gmail.com" TargetMode="External"/><Relationship Id="rId329" Type="http://schemas.openxmlformats.org/officeDocument/2006/relationships/hyperlink" Target="mailto:x%7Cefrensanchez686@gmail.com" TargetMode="External"/><Relationship Id="rId68" Type="http://schemas.openxmlformats.org/officeDocument/2006/relationships/hyperlink" Target="mailto:agroforestry.systems@gmail.com" TargetMode="External"/><Relationship Id="rId133" Type="http://schemas.openxmlformats.org/officeDocument/2006/relationships/hyperlink" Target="mailto:felixnarciso16@hotmail.com" TargetMode="External"/><Relationship Id="rId175" Type="http://schemas.openxmlformats.org/officeDocument/2006/relationships/hyperlink" Target="mailto:rocio.luna@puebla.gob.mx" TargetMode="External"/><Relationship Id="rId340" Type="http://schemas.openxmlformats.org/officeDocument/2006/relationships/hyperlink" Target="mailto:ing.zechnas@live.com.mx" TargetMode="External"/><Relationship Id="rId200" Type="http://schemas.openxmlformats.org/officeDocument/2006/relationships/hyperlink" Target="mailto:teothokos@hotmail.com" TargetMode="External"/><Relationship Id="rId382" Type="http://schemas.openxmlformats.org/officeDocument/2006/relationships/hyperlink" Target="mailto:yeimi.arrollo@puebla.gob.mx" TargetMode="External"/><Relationship Id="rId242" Type="http://schemas.openxmlformats.org/officeDocument/2006/relationships/hyperlink" Target="mailto:gaudencio.rosales@puebla.gob.mx" TargetMode="External"/><Relationship Id="rId284" Type="http://schemas.openxmlformats.org/officeDocument/2006/relationships/hyperlink" Target="mailto:altav693@gmail.com" TargetMode="External"/><Relationship Id="rId37" Type="http://schemas.openxmlformats.org/officeDocument/2006/relationships/hyperlink" Target="mailto:josafat.figueroa@puebla.gob.mx" TargetMode="External"/><Relationship Id="rId79" Type="http://schemas.openxmlformats.org/officeDocument/2006/relationships/hyperlink" Target="mailto:rafa_tlatolli@hotmail.com" TargetMode="External"/><Relationship Id="rId102" Type="http://schemas.openxmlformats.org/officeDocument/2006/relationships/hyperlink" Target="mailto:cristobal.garciaa@gmail.com" TargetMode="External"/><Relationship Id="rId144" Type="http://schemas.openxmlformats.org/officeDocument/2006/relationships/hyperlink" Target="mailto:luis.tecanhuey@puebla.gob.mx" TargetMode="External"/><Relationship Id="rId90" Type="http://schemas.openxmlformats.org/officeDocument/2006/relationships/hyperlink" Target="mailto:dancualop@gmail.com" TargetMode="External"/><Relationship Id="rId186" Type="http://schemas.openxmlformats.org/officeDocument/2006/relationships/hyperlink" Target="mailto:celso.perez@puebla.gob.mx" TargetMode="External"/><Relationship Id="rId351" Type="http://schemas.openxmlformats.org/officeDocument/2006/relationships/hyperlink" Target="mailto:judith.varillas@puebla.gob.mx" TargetMode="External"/><Relationship Id="rId393" Type="http://schemas.openxmlformats.org/officeDocument/2006/relationships/hyperlink" Target="mailto:genesis.olivares@puebla.gob.mx" TargetMode="External"/><Relationship Id="rId407" Type="http://schemas.openxmlformats.org/officeDocument/2006/relationships/hyperlink" Target="mailto:maria.toribio@puebla.gob.mx" TargetMode="External"/><Relationship Id="rId211" Type="http://schemas.openxmlformats.org/officeDocument/2006/relationships/hyperlink" Target="mailto:Roadfine14@hotmail.com" TargetMode="External"/><Relationship Id="rId253" Type="http://schemas.openxmlformats.org/officeDocument/2006/relationships/hyperlink" Target="mailto:apolinaria.martinez@puebla.gob.mx" TargetMode="External"/><Relationship Id="rId295" Type="http://schemas.openxmlformats.org/officeDocument/2006/relationships/hyperlink" Target="mailto:reyesmateos@gmail.com" TargetMode="External"/><Relationship Id="rId309" Type="http://schemas.openxmlformats.org/officeDocument/2006/relationships/hyperlink" Target="mailto:vick_as199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N3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4" sqref="B44"/>
    </sheetView>
  </sheetViews>
  <sheetFormatPr baseColWidth="10" defaultColWidth="11.42578125" defaultRowHeight="15" x14ac:dyDescent="0.25"/>
  <cols>
    <col min="1" max="1" width="11.85546875" style="9" customWidth="1"/>
    <col min="2" max="2" width="13.140625" style="6" customWidth="1"/>
    <col min="3" max="3" width="14.5703125" style="9" hidden="1" customWidth="1"/>
    <col min="4" max="4" width="9.28515625" style="14" hidden="1" customWidth="1"/>
    <col min="5" max="5" width="20.7109375" style="8" customWidth="1"/>
    <col min="6" max="6" width="23.140625" style="10" hidden="1" customWidth="1"/>
    <col min="7" max="7" width="16.7109375" style="10" hidden="1" customWidth="1"/>
    <col min="8" max="8" width="10.7109375" style="7" customWidth="1"/>
    <col min="9" max="9" width="24.7109375" style="11" hidden="1" customWidth="1"/>
    <col min="10" max="10" width="24.85546875" style="11" hidden="1" customWidth="1"/>
    <col min="11" max="11" width="24.7109375" style="11" hidden="1" customWidth="1"/>
    <col min="12" max="12" width="10" style="10" customWidth="1"/>
    <col min="13" max="13" width="10.7109375" style="6" hidden="1" customWidth="1"/>
    <col min="14" max="14" width="10.7109375" style="7" hidden="1" customWidth="1"/>
    <col min="15" max="15" width="10.7109375" style="6" hidden="1" customWidth="1"/>
    <col min="16" max="16" width="10.7109375" style="10" hidden="1" customWidth="1"/>
    <col min="17" max="17" width="10.7109375" style="7" hidden="1" customWidth="1"/>
    <col min="18" max="18" width="9.5703125" style="7" hidden="1" customWidth="1"/>
    <col min="19" max="19" width="7.28515625" style="7" hidden="1" customWidth="1"/>
    <col min="20" max="20" width="12.85546875" style="6" hidden="1" customWidth="1"/>
    <col min="21" max="21" width="9.5703125" style="6" hidden="1" customWidth="1"/>
    <col min="22" max="22" width="7.7109375" style="6" hidden="1" customWidth="1"/>
    <col min="23" max="23" width="17.140625" style="12" hidden="1" customWidth="1"/>
    <col min="24" max="24" width="17.28515625" style="6" customWidth="1"/>
    <col min="25" max="25" width="14.5703125" style="6" hidden="1" customWidth="1"/>
    <col min="26" max="26" width="17.140625" style="6" hidden="1" customWidth="1"/>
    <col min="27" max="27" width="16.5703125" style="7" hidden="1" customWidth="1"/>
    <col min="28" max="28" width="13.85546875" style="7" hidden="1" customWidth="1"/>
    <col min="29" max="29" width="24.42578125" style="7" hidden="1" customWidth="1"/>
    <col min="30" max="30" width="19.42578125" style="7" hidden="1" customWidth="1"/>
    <col min="31" max="31" width="26.5703125" style="7" hidden="1" customWidth="1"/>
    <col min="32" max="32" width="17.5703125" style="7" hidden="1" customWidth="1"/>
    <col min="33" max="33" width="23.140625" style="7" hidden="1" customWidth="1"/>
    <col min="34" max="34" width="23" style="7" hidden="1" customWidth="1"/>
    <col min="35" max="35" width="17.5703125" style="7" hidden="1" customWidth="1"/>
    <col min="36" max="36" width="27.5703125" style="7" hidden="1" customWidth="1"/>
    <col min="37" max="37" width="16.28515625" style="7" hidden="1" customWidth="1"/>
    <col min="38" max="38" width="25.28515625" style="7" hidden="1" customWidth="1"/>
    <col min="39" max="39" width="24" style="7" hidden="1" customWidth="1"/>
    <col min="40" max="40" width="28" style="7" hidden="1" customWidth="1"/>
    <col min="41" max="41" width="14.140625" style="7" hidden="1" customWidth="1"/>
    <col min="42" max="42" width="29.140625" style="13" hidden="1" customWidth="1"/>
    <col min="43" max="43" width="14.42578125" style="7" hidden="1" customWidth="1"/>
    <col min="44" max="44" width="27.5703125" style="13" hidden="1" customWidth="1"/>
    <col min="45" max="45" width="20.42578125" style="13" hidden="1" customWidth="1"/>
    <col min="46" max="46" width="15.42578125" style="13" hidden="1" customWidth="1"/>
    <col min="47" max="47" width="31.140625" style="13" hidden="1" customWidth="1"/>
    <col min="48" max="48" width="17" style="7" hidden="1" customWidth="1"/>
    <col min="49" max="49" width="20.42578125" style="7" hidden="1" customWidth="1"/>
    <col min="50" max="50" width="24.42578125" style="7" hidden="1" customWidth="1"/>
    <col min="51" max="51" width="26.7109375" style="13" hidden="1" customWidth="1"/>
    <col min="52" max="52" width="20.140625" style="6" hidden="1" customWidth="1"/>
    <col min="53" max="53" width="26.85546875" style="7" hidden="1" customWidth="1"/>
    <col min="54" max="54" width="25.5703125" style="7" hidden="1" customWidth="1"/>
    <col min="55" max="55" width="14.5703125" style="7" hidden="1" customWidth="1"/>
    <col min="56" max="56" width="13.28515625" style="7" hidden="1" customWidth="1"/>
    <col min="57" max="57" width="9.5703125" style="7" hidden="1" customWidth="1"/>
    <col min="58" max="58" width="9.28515625" style="7" hidden="1" customWidth="1"/>
    <col min="59" max="59" width="26.5703125" style="23" hidden="1" customWidth="1"/>
    <col min="60" max="60" width="24.140625" style="10" hidden="1" customWidth="1"/>
    <col min="61" max="61" width="15" style="6" hidden="1" customWidth="1"/>
    <col min="62" max="63" width="35.7109375" style="8" hidden="1" customWidth="1"/>
    <col min="64" max="64" width="23.85546875" style="8" hidden="1" customWidth="1"/>
    <col min="65" max="65" width="21.42578125" style="14" hidden="1" customWidth="1"/>
    <col min="66" max="16384" width="11.42578125" style="7"/>
  </cols>
  <sheetData>
    <row r="1" spans="1:66" s="1" customFormat="1" ht="49.9" customHeight="1" x14ac:dyDescent="0.25">
      <c r="A1" s="24" t="s">
        <v>0</v>
      </c>
      <c r="B1" s="25" t="s">
        <v>1</v>
      </c>
      <c r="C1" s="25" t="s">
        <v>2</v>
      </c>
      <c r="D1" s="25" t="s">
        <v>2474</v>
      </c>
      <c r="E1" s="25" t="s">
        <v>2417</v>
      </c>
      <c r="F1" s="24" t="s">
        <v>3</v>
      </c>
      <c r="G1" s="24" t="s">
        <v>4</v>
      </c>
      <c r="H1" s="24" t="s">
        <v>2419</v>
      </c>
      <c r="I1" s="24" t="s">
        <v>5</v>
      </c>
      <c r="J1" s="25" t="s">
        <v>6</v>
      </c>
      <c r="K1" s="25" t="s">
        <v>7</v>
      </c>
      <c r="L1" s="25" t="s">
        <v>8</v>
      </c>
      <c r="M1" s="25" t="s">
        <v>9</v>
      </c>
      <c r="N1" s="25" t="s">
        <v>10</v>
      </c>
      <c r="O1" s="25" t="s">
        <v>11</v>
      </c>
      <c r="P1" s="25" t="s">
        <v>12</v>
      </c>
      <c r="Q1" s="24" t="s">
        <v>13</v>
      </c>
      <c r="R1" s="24" t="s">
        <v>2475</v>
      </c>
      <c r="S1" s="24" t="s">
        <v>14</v>
      </c>
      <c r="T1" s="25" t="s">
        <v>15</v>
      </c>
      <c r="U1" s="25" t="s">
        <v>2476</v>
      </c>
      <c r="V1" s="25" t="s">
        <v>16</v>
      </c>
      <c r="W1" s="25" t="s">
        <v>17</v>
      </c>
      <c r="X1" s="25" t="s">
        <v>18</v>
      </c>
      <c r="Y1" s="25" t="s">
        <v>19</v>
      </c>
      <c r="Z1" s="25" t="s">
        <v>20</v>
      </c>
      <c r="AA1" s="25" t="s">
        <v>21</v>
      </c>
      <c r="AB1" s="25" t="s">
        <v>22</v>
      </c>
      <c r="AC1" s="25" t="s">
        <v>23</v>
      </c>
      <c r="AD1" s="25" t="s">
        <v>24</v>
      </c>
      <c r="AE1" s="25" t="s">
        <v>25</v>
      </c>
      <c r="AF1" s="25" t="s">
        <v>26</v>
      </c>
      <c r="AG1" s="25" t="s">
        <v>27</v>
      </c>
      <c r="AH1" s="25" t="s">
        <v>28</v>
      </c>
      <c r="AI1" s="25" t="s">
        <v>29</v>
      </c>
      <c r="AJ1" s="25" t="s">
        <v>30</v>
      </c>
      <c r="AK1" s="25" t="s">
        <v>31</v>
      </c>
      <c r="AL1" s="25" t="s">
        <v>32</v>
      </c>
      <c r="AM1" s="25" t="s">
        <v>33</v>
      </c>
      <c r="AN1" s="25" t="s">
        <v>34</v>
      </c>
      <c r="AO1" s="25" t="s">
        <v>35</v>
      </c>
      <c r="AP1" s="26" t="s">
        <v>36</v>
      </c>
      <c r="AQ1" s="25" t="s">
        <v>37</v>
      </c>
      <c r="AR1" s="26" t="s">
        <v>38</v>
      </c>
      <c r="AS1" s="26" t="s">
        <v>39</v>
      </c>
      <c r="AT1" s="26" t="s">
        <v>40</v>
      </c>
      <c r="AU1" s="26" t="s">
        <v>41</v>
      </c>
      <c r="AV1" s="25" t="s">
        <v>42</v>
      </c>
      <c r="AW1" s="25" t="s">
        <v>43</v>
      </c>
      <c r="AX1" s="25" t="s">
        <v>44</v>
      </c>
      <c r="AY1" s="26" t="s">
        <v>45</v>
      </c>
      <c r="AZ1" s="25" t="s">
        <v>46</v>
      </c>
      <c r="BA1" s="25" t="s">
        <v>47</v>
      </c>
      <c r="BB1" s="25" t="s">
        <v>48</v>
      </c>
      <c r="BC1" s="25" t="s">
        <v>49</v>
      </c>
      <c r="BD1" s="25" t="s">
        <v>50</v>
      </c>
      <c r="BE1" s="25" t="s">
        <v>51</v>
      </c>
      <c r="BF1" s="25" t="s">
        <v>52</v>
      </c>
      <c r="BG1" s="27" t="s">
        <v>53</v>
      </c>
      <c r="BH1" s="25" t="s">
        <v>54</v>
      </c>
      <c r="BI1" s="25" t="s">
        <v>55</v>
      </c>
      <c r="BJ1" s="25" t="s">
        <v>56</v>
      </c>
      <c r="BK1" s="25" t="s">
        <v>57</v>
      </c>
      <c r="BL1" s="25" t="s">
        <v>58</v>
      </c>
      <c r="BM1" s="25" t="s">
        <v>59</v>
      </c>
      <c r="BN1" s="25" t="s">
        <v>2488</v>
      </c>
    </row>
    <row r="2" spans="1:66" s="2" customFormat="1" ht="39.950000000000003" hidden="1" customHeight="1" x14ac:dyDescent="0.25">
      <c r="A2" s="41">
        <v>20669</v>
      </c>
      <c r="B2" s="42">
        <v>73</v>
      </c>
      <c r="C2" s="43" t="s">
        <v>60</v>
      </c>
      <c r="D2" s="44" t="s">
        <v>61</v>
      </c>
      <c r="E2" s="45" t="s">
        <v>62</v>
      </c>
      <c r="F2" s="46" t="s">
        <v>63</v>
      </c>
      <c r="G2" s="47" t="s">
        <v>64</v>
      </c>
      <c r="H2" s="48" t="s">
        <v>65</v>
      </c>
      <c r="I2" s="49" t="s">
        <v>66</v>
      </c>
      <c r="J2" s="30" t="s">
        <v>67</v>
      </c>
      <c r="K2" s="30" t="s">
        <v>68</v>
      </c>
      <c r="L2" s="30" t="s">
        <v>11</v>
      </c>
      <c r="M2" s="50">
        <v>44059</v>
      </c>
      <c r="N2" s="50"/>
      <c r="O2" s="51">
        <v>45657</v>
      </c>
      <c r="P2" s="46"/>
      <c r="Q2" s="48" t="s">
        <v>69</v>
      </c>
      <c r="R2" s="48"/>
      <c r="S2" s="52" t="s">
        <v>70</v>
      </c>
      <c r="T2" s="47">
        <v>3</v>
      </c>
      <c r="U2" s="47" t="s">
        <v>71</v>
      </c>
      <c r="V2" s="47">
        <f ca="1">DATEDIF(DATE(IF(MID($G2,5,2)+2000&gt;YEAR(TODAY()),MID($G2,5,2)+1900,MID($G2,5,2)+2000),MID($G2,7,2),MID($G2,9,2)),TODAY(),"y")</f>
        <v>58</v>
      </c>
      <c r="W2" s="53">
        <v>10746900</v>
      </c>
      <c r="X2" s="47">
        <v>179</v>
      </c>
      <c r="Y2" s="54">
        <f>AA2/30</f>
        <v>264.86533333333335</v>
      </c>
      <c r="Z2" s="54">
        <f>AA2/2</f>
        <v>3972.98</v>
      </c>
      <c r="AA2" s="33">
        <v>7945.96</v>
      </c>
      <c r="AB2" s="33">
        <v>284</v>
      </c>
      <c r="AC2" s="33"/>
      <c r="AD2" s="33"/>
      <c r="AE2" s="33"/>
      <c r="AF2" s="33"/>
      <c r="AG2" s="33"/>
      <c r="AH2" s="33"/>
      <c r="AI2" s="33">
        <v>11000</v>
      </c>
      <c r="AJ2" s="33">
        <f t="shared" ref="AJ2:AJ29" si="0">SUM(AA2:AI2)</f>
        <v>19229.96</v>
      </c>
      <c r="AK2" s="54">
        <v>0</v>
      </c>
      <c r="AL2" s="54">
        <f t="shared" ref="AL2:AM37" si="1">Z2*13%</f>
        <v>516.48739999999998</v>
      </c>
      <c r="AM2" s="54">
        <f t="shared" si="1"/>
        <v>1032.9748</v>
      </c>
      <c r="AN2" s="55">
        <f>AK2+AM2</f>
        <v>1032.9748</v>
      </c>
      <c r="AO2" s="56">
        <f>AJ2-AN2</f>
        <v>18196.985199999999</v>
      </c>
      <c r="AP2" s="55">
        <f t="shared" ref="AP2:AP29" si="2">+(AA2+AF2)/30*46</f>
        <v>12183.805333333334</v>
      </c>
      <c r="AQ2" s="55">
        <f t="shared" ref="AQ2:AQ29" si="3">+AI2/30*46</f>
        <v>16866.666666666668</v>
      </c>
      <c r="AR2" s="55">
        <f t="shared" ref="AR2:AR29" si="4">+(AA2+AB2+AC2+AD2+AF2)/30*12/2</f>
        <v>1645.992</v>
      </c>
      <c r="AS2" s="55"/>
      <c r="AT2" s="55"/>
      <c r="AU2" s="55"/>
      <c r="AV2" s="57"/>
      <c r="AW2" s="57"/>
      <c r="AX2" s="57"/>
      <c r="AY2" s="55">
        <f t="shared" ref="AY2:AY29" si="5">+(AA2+AB2+AC2+AD2+AF2)/30*12</f>
        <v>3291.9839999999999</v>
      </c>
      <c r="AZ2" s="54">
        <v>0.19</v>
      </c>
      <c r="BA2" s="33">
        <f t="shared" ref="BA2:BA29" si="6">Z2*AZ2</f>
        <v>754.86620000000005</v>
      </c>
      <c r="BB2" s="33">
        <f t="shared" ref="BB2:BB29" si="7">AA2*AZ2</f>
        <v>1509.7324000000001</v>
      </c>
      <c r="BC2" s="58">
        <f t="shared" ref="BC2:BD37" si="8">Z2*2%</f>
        <v>79.459600000000009</v>
      </c>
      <c r="BD2" s="58">
        <f t="shared" si="8"/>
        <v>158.91920000000002</v>
      </c>
      <c r="BE2" s="55">
        <f t="shared" ref="BE2:BE29" si="9">AJ2*3%</f>
        <v>576.89879999999994</v>
      </c>
      <c r="BF2" s="55">
        <f t="shared" ref="BF2:BF29" si="10">(AJ2+AP2+AQ2+AY2)*3%</f>
        <v>1547.17248</v>
      </c>
      <c r="BG2" s="59" t="s">
        <v>72</v>
      </c>
      <c r="BH2" s="60" t="s">
        <v>73</v>
      </c>
      <c r="BI2" s="28" t="s">
        <v>74</v>
      </c>
      <c r="BJ2" s="61" t="s">
        <v>75</v>
      </c>
      <c r="BK2" s="61" t="s">
        <v>76</v>
      </c>
      <c r="BL2" s="61" t="s">
        <v>77</v>
      </c>
      <c r="BM2" s="62" t="s">
        <v>78</v>
      </c>
      <c r="BN2" s="125"/>
    </row>
    <row r="3" spans="1:66" s="2" customFormat="1" ht="39.950000000000003" hidden="1" customHeight="1" x14ac:dyDescent="0.25">
      <c r="A3" s="41">
        <v>48763</v>
      </c>
      <c r="B3" s="42">
        <v>52</v>
      </c>
      <c r="C3" s="43" t="s">
        <v>79</v>
      </c>
      <c r="D3" s="43" t="s">
        <v>80</v>
      </c>
      <c r="E3" s="45" t="s">
        <v>81</v>
      </c>
      <c r="F3" s="46" t="s">
        <v>82</v>
      </c>
      <c r="G3" s="47" t="s">
        <v>83</v>
      </c>
      <c r="H3" s="48" t="s">
        <v>84</v>
      </c>
      <c r="I3" s="30" t="s">
        <v>85</v>
      </c>
      <c r="J3" s="30" t="s">
        <v>86</v>
      </c>
      <c r="K3" s="30" t="s">
        <v>87</v>
      </c>
      <c r="L3" s="30" t="s">
        <v>11</v>
      </c>
      <c r="M3" s="50">
        <v>44044</v>
      </c>
      <c r="N3" s="50"/>
      <c r="O3" s="51">
        <v>44211</v>
      </c>
      <c r="P3" s="46"/>
      <c r="Q3" s="48" t="s">
        <v>69</v>
      </c>
      <c r="R3" s="48"/>
      <c r="S3" s="52" t="s">
        <v>70</v>
      </c>
      <c r="T3" s="47">
        <v>5</v>
      </c>
      <c r="U3" s="47" t="s">
        <v>88</v>
      </c>
      <c r="V3" s="47">
        <f t="shared" ref="V3:V6" ca="1" si="11">DATEDIF(DATE(IF(MID($G3,5,2)+2000&gt;YEAR(TODAY()),MID($G3,5,2)+1900,MID($G3,5,2)+2000),MID($G3,7,2),MID($G3,9,2)),TODAY(),"y")</f>
        <v>57</v>
      </c>
      <c r="W3" s="53" t="e">
        <v>#N/A</v>
      </c>
      <c r="X3" s="47">
        <v>193</v>
      </c>
      <c r="Y3" s="54">
        <f t="shared" ref="Y3:Y29" si="12">AA3/30</f>
        <v>232.92466666666667</v>
      </c>
      <c r="Z3" s="54">
        <f t="shared" ref="Z3:Z29" si="13">AA3/2</f>
        <v>3493.87</v>
      </c>
      <c r="AA3" s="33">
        <v>6987.74</v>
      </c>
      <c r="AB3" s="33">
        <v>284</v>
      </c>
      <c r="AC3" s="33"/>
      <c r="AD3" s="33"/>
      <c r="AE3" s="33"/>
      <c r="AF3" s="33"/>
      <c r="AG3" s="33"/>
      <c r="AH3" s="33"/>
      <c r="AI3" s="33">
        <v>11283.15</v>
      </c>
      <c r="AJ3" s="33">
        <f t="shared" si="0"/>
        <v>18554.89</v>
      </c>
      <c r="AK3" s="54">
        <v>0</v>
      </c>
      <c r="AL3" s="54">
        <f t="shared" si="1"/>
        <v>454.20310000000001</v>
      </c>
      <c r="AM3" s="54">
        <f t="shared" si="1"/>
        <v>908.40620000000001</v>
      </c>
      <c r="AN3" s="55">
        <f t="shared" ref="AN3:AN29" si="14">AK3+AM3</f>
        <v>908.40620000000001</v>
      </c>
      <c r="AO3" s="56">
        <f t="shared" ref="AO3:AO29" si="15">AJ3-AN3</f>
        <v>17646.483799999998</v>
      </c>
      <c r="AP3" s="55">
        <f t="shared" si="2"/>
        <v>10714.534666666666</v>
      </c>
      <c r="AQ3" s="55">
        <f t="shared" si="3"/>
        <v>17300.829999999998</v>
      </c>
      <c r="AR3" s="55">
        <f t="shared" si="4"/>
        <v>1454.348</v>
      </c>
      <c r="AS3" s="55"/>
      <c r="AT3" s="55"/>
      <c r="AU3" s="55"/>
      <c r="AV3" s="57"/>
      <c r="AW3" s="57"/>
      <c r="AX3" s="57"/>
      <c r="AY3" s="55">
        <f t="shared" si="5"/>
        <v>2908.6959999999999</v>
      </c>
      <c r="AZ3" s="54">
        <v>0.19</v>
      </c>
      <c r="BA3" s="33">
        <f t="shared" si="6"/>
        <v>663.83529999999996</v>
      </c>
      <c r="BB3" s="33">
        <f t="shared" si="7"/>
        <v>1327.6705999999999</v>
      </c>
      <c r="BC3" s="58">
        <f t="shared" si="8"/>
        <v>69.877399999999994</v>
      </c>
      <c r="BD3" s="58">
        <f t="shared" si="8"/>
        <v>139.75479999999999</v>
      </c>
      <c r="BE3" s="55">
        <f t="shared" si="9"/>
        <v>556.64670000000001</v>
      </c>
      <c r="BF3" s="55">
        <f t="shared" si="10"/>
        <v>1484.3685199999995</v>
      </c>
      <c r="BG3" s="59" t="s">
        <v>89</v>
      </c>
      <c r="BH3" s="60" t="s">
        <v>90</v>
      </c>
      <c r="BI3" s="28" t="s">
        <v>91</v>
      </c>
      <c r="BJ3" s="61" t="s">
        <v>92</v>
      </c>
      <c r="BK3" s="61"/>
      <c r="BL3" s="61" t="s">
        <v>93</v>
      </c>
      <c r="BM3" s="62" t="s">
        <v>94</v>
      </c>
      <c r="BN3" s="39"/>
    </row>
    <row r="4" spans="1:66" s="2" customFormat="1" ht="39.950000000000003" hidden="1" customHeight="1" x14ac:dyDescent="0.25">
      <c r="A4" s="41">
        <v>58925</v>
      </c>
      <c r="B4" s="42">
        <v>69</v>
      </c>
      <c r="C4" s="43" t="s">
        <v>95</v>
      </c>
      <c r="D4" s="43" t="s">
        <v>96</v>
      </c>
      <c r="E4" s="45" t="s">
        <v>97</v>
      </c>
      <c r="F4" s="63" t="s">
        <v>98</v>
      </c>
      <c r="G4" s="47" t="s">
        <v>99</v>
      </c>
      <c r="H4" s="48" t="s">
        <v>84</v>
      </c>
      <c r="I4" s="30" t="s">
        <v>100</v>
      </c>
      <c r="J4" s="30" t="s">
        <v>101</v>
      </c>
      <c r="K4" s="30" t="s">
        <v>102</v>
      </c>
      <c r="L4" s="30" t="s">
        <v>11</v>
      </c>
      <c r="M4" s="50">
        <v>44075</v>
      </c>
      <c r="N4" s="50"/>
      <c r="O4" s="51">
        <v>44484</v>
      </c>
      <c r="P4" s="46"/>
      <c r="Q4" s="48" t="s">
        <v>69</v>
      </c>
      <c r="R4" s="48"/>
      <c r="S4" s="52" t="s">
        <v>70</v>
      </c>
      <c r="T4" s="47">
        <v>10</v>
      </c>
      <c r="U4" s="47" t="s">
        <v>103</v>
      </c>
      <c r="V4" s="47">
        <f t="shared" ca="1" si="11"/>
        <v>54</v>
      </c>
      <c r="W4" s="53">
        <v>3439200</v>
      </c>
      <c r="X4" s="47">
        <v>173</v>
      </c>
      <c r="Y4" s="54">
        <f t="shared" si="12"/>
        <v>232.92466666666667</v>
      </c>
      <c r="Z4" s="54">
        <f t="shared" si="13"/>
        <v>3493.87</v>
      </c>
      <c r="AA4" s="33">
        <v>6987.74</v>
      </c>
      <c r="AB4" s="33">
        <v>284</v>
      </c>
      <c r="AC4" s="57"/>
      <c r="AD4" s="57"/>
      <c r="AE4" s="64"/>
      <c r="AF4" s="65"/>
      <c r="AG4" s="57"/>
      <c r="AH4" s="57"/>
      <c r="AI4" s="33">
        <v>11283.15</v>
      </c>
      <c r="AJ4" s="33">
        <f t="shared" si="0"/>
        <v>18554.89</v>
      </c>
      <c r="AK4" s="54">
        <v>0</v>
      </c>
      <c r="AL4" s="54">
        <f t="shared" si="1"/>
        <v>454.20310000000001</v>
      </c>
      <c r="AM4" s="54">
        <f t="shared" si="1"/>
        <v>908.40620000000001</v>
      </c>
      <c r="AN4" s="55">
        <f t="shared" si="14"/>
        <v>908.40620000000001</v>
      </c>
      <c r="AO4" s="56">
        <f t="shared" si="15"/>
        <v>17646.483799999998</v>
      </c>
      <c r="AP4" s="55">
        <f t="shared" si="2"/>
        <v>10714.534666666666</v>
      </c>
      <c r="AQ4" s="55">
        <f t="shared" si="3"/>
        <v>17300.829999999998</v>
      </c>
      <c r="AR4" s="55">
        <f t="shared" si="4"/>
        <v>1454.348</v>
      </c>
      <c r="AS4" s="55"/>
      <c r="AT4" s="55"/>
      <c r="AU4" s="55"/>
      <c r="AV4" s="57"/>
      <c r="AW4" s="57"/>
      <c r="AX4" s="57"/>
      <c r="AY4" s="55">
        <f t="shared" si="5"/>
        <v>2908.6959999999999</v>
      </c>
      <c r="AZ4" s="54">
        <v>0.26</v>
      </c>
      <c r="BA4" s="33">
        <f t="shared" si="6"/>
        <v>908.40620000000001</v>
      </c>
      <c r="BB4" s="33">
        <f t="shared" si="7"/>
        <v>1816.8124</v>
      </c>
      <c r="BC4" s="58">
        <f t="shared" si="8"/>
        <v>69.877399999999994</v>
      </c>
      <c r="BD4" s="58">
        <f t="shared" si="8"/>
        <v>139.75479999999999</v>
      </c>
      <c r="BE4" s="55">
        <f t="shared" si="9"/>
        <v>556.64670000000001</v>
      </c>
      <c r="BF4" s="55">
        <f t="shared" si="10"/>
        <v>1484.3685199999995</v>
      </c>
      <c r="BG4" s="59" t="s">
        <v>104</v>
      </c>
      <c r="BH4" s="60" t="s">
        <v>105</v>
      </c>
      <c r="BI4" s="28" t="s">
        <v>106</v>
      </c>
      <c r="BJ4" s="61" t="s">
        <v>107</v>
      </c>
      <c r="BK4" s="61"/>
      <c r="BL4" s="61" t="s">
        <v>108</v>
      </c>
      <c r="BM4" s="62" t="s">
        <v>109</v>
      </c>
      <c r="BN4" s="39"/>
    </row>
    <row r="5" spans="1:66" s="2" customFormat="1" ht="39.950000000000003" hidden="1" customHeight="1" x14ac:dyDescent="0.25">
      <c r="A5" s="41">
        <v>63252</v>
      </c>
      <c r="B5" s="42">
        <v>57</v>
      </c>
      <c r="C5" s="43" t="s">
        <v>110</v>
      </c>
      <c r="D5" s="43" t="s">
        <v>111</v>
      </c>
      <c r="E5" s="45" t="s">
        <v>112</v>
      </c>
      <c r="F5" s="46" t="s">
        <v>113</v>
      </c>
      <c r="G5" s="47" t="s">
        <v>114</v>
      </c>
      <c r="H5" s="48" t="s">
        <v>115</v>
      </c>
      <c r="I5" s="49" t="s">
        <v>115</v>
      </c>
      <c r="J5" s="30" t="s">
        <v>86</v>
      </c>
      <c r="K5" s="30" t="s">
        <v>86</v>
      </c>
      <c r="L5" s="30" t="s">
        <v>11</v>
      </c>
      <c r="M5" s="50">
        <v>44044</v>
      </c>
      <c r="N5" s="50"/>
      <c r="O5" s="51">
        <v>44469</v>
      </c>
      <c r="P5" s="46"/>
      <c r="Q5" s="48"/>
      <c r="R5" s="48" t="s">
        <v>69</v>
      </c>
      <c r="S5" s="52" t="s">
        <v>70</v>
      </c>
      <c r="T5" s="47">
        <v>20</v>
      </c>
      <c r="U5" s="47" t="s">
        <v>116</v>
      </c>
      <c r="V5" s="47">
        <f t="shared" ca="1" si="11"/>
        <v>50</v>
      </c>
      <c r="W5" s="53">
        <v>11310500</v>
      </c>
      <c r="X5" s="47">
        <v>191</v>
      </c>
      <c r="Y5" s="54">
        <f t="shared" si="12"/>
        <v>193.83333333333334</v>
      </c>
      <c r="Z5" s="54">
        <f t="shared" si="13"/>
        <v>2907.5</v>
      </c>
      <c r="AA5" s="33">
        <v>5815</v>
      </c>
      <c r="AB5" s="33">
        <v>367</v>
      </c>
      <c r="AC5" s="33">
        <v>1419</v>
      </c>
      <c r="AD5" s="33">
        <v>1432</v>
      </c>
      <c r="AE5" s="33">
        <v>1324</v>
      </c>
      <c r="AF5" s="33">
        <v>300</v>
      </c>
      <c r="AG5" s="33">
        <v>1607</v>
      </c>
      <c r="AH5" s="33">
        <v>530</v>
      </c>
      <c r="AI5" s="33">
        <v>1218.3800000000001</v>
      </c>
      <c r="AJ5" s="33">
        <f t="shared" si="0"/>
        <v>14012.380000000001</v>
      </c>
      <c r="AK5" s="54">
        <v>0</v>
      </c>
      <c r="AL5" s="54">
        <f t="shared" si="1"/>
        <v>377.97500000000002</v>
      </c>
      <c r="AM5" s="54">
        <f t="shared" si="1"/>
        <v>755.95</v>
      </c>
      <c r="AN5" s="55">
        <f t="shared" si="14"/>
        <v>755.95</v>
      </c>
      <c r="AO5" s="56">
        <f t="shared" si="15"/>
        <v>13256.43</v>
      </c>
      <c r="AP5" s="55">
        <f t="shared" si="2"/>
        <v>9376.3333333333339</v>
      </c>
      <c r="AQ5" s="55">
        <f t="shared" si="3"/>
        <v>1868.1826666666668</v>
      </c>
      <c r="AR5" s="55">
        <f t="shared" si="4"/>
        <v>1866.6000000000001</v>
      </c>
      <c r="AS5" s="55"/>
      <c r="AT5" s="55"/>
      <c r="AU5" s="55"/>
      <c r="AV5" s="57"/>
      <c r="AW5" s="57"/>
      <c r="AX5" s="57"/>
      <c r="AY5" s="55">
        <f t="shared" si="5"/>
        <v>3733.2000000000003</v>
      </c>
      <c r="AZ5" s="54">
        <v>0.26</v>
      </c>
      <c r="BA5" s="33">
        <f t="shared" si="6"/>
        <v>755.95</v>
      </c>
      <c r="BB5" s="33">
        <f t="shared" si="7"/>
        <v>1511.9</v>
      </c>
      <c r="BC5" s="58">
        <f t="shared" si="8"/>
        <v>58.15</v>
      </c>
      <c r="BD5" s="58">
        <f t="shared" si="8"/>
        <v>116.3</v>
      </c>
      <c r="BE5" s="55">
        <f t="shared" si="9"/>
        <v>420.37139999999999</v>
      </c>
      <c r="BF5" s="55">
        <f t="shared" si="10"/>
        <v>869.70288000000005</v>
      </c>
      <c r="BG5" s="59" t="s">
        <v>117</v>
      </c>
      <c r="BH5" s="60" t="s">
        <v>118</v>
      </c>
      <c r="BI5" s="28" t="s">
        <v>119</v>
      </c>
      <c r="BJ5" s="61" t="s">
        <v>120</v>
      </c>
      <c r="BK5" s="61"/>
      <c r="BL5" s="61" t="s">
        <v>121</v>
      </c>
      <c r="BM5" s="62" t="s">
        <v>122</v>
      </c>
      <c r="BN5" s="39"/>
    </row>
    <row r="6" spans="1:66" s="2" customFormat="1" ht="39.950000000000003" hidden="1" customHeight="1" x14ac:dyDescent="0.25">
      <c r="A6" s="41">
        <v>67707</v>
      </c>
      <c r="B6" s="42">
        <v>43</v>
      </c>
      <c r="C6" s="43" t="s">
        <v>123</v>
      </c>
      <c r="D6" s="43" t="s">
        <v>124</v>
      </c>
      <c r="E6" s="45" t="s">
        <v>125</v>
      </c>
      <c r="F6" s="46" t="s">
        <v>126</v>
      </c>
      <c r="G6" s="47" t="s">
        <v>127</v>
      </c>
      <c r="H6" s="48" t="s">
        <v>84</v>
      </c>
      <c r="I6" s="30" t="s">
        <v>128</v>
      </c>
      <c r="J6" s="30" t="s">
        <v>129</v>
      </c>
      <c r="K6" s="30" t="s">
        <v>130</v>
      </c>
      <c r="L6" s="30" t="s">
        <v>131</v>
      </c>
      <c r="M6" s="50">
        <v>44044</v>
      </c>
      <c r="N6" s="50">
        <v>45323</v>
      </c>
      <c r="O6" s="51"/>
      <c r="P6" s="46"/>
      <c r="Q6" s="48" t="s">
        <v>69</v>
      </c>
      <c r="R6" s="48"/>
      <c r="S6" s="52" t="s">
        <v>70</v>
      </c>
      <c r="T6" s="47">
        <v>1</v>
      </c>
      <c r="U6" s="47" t="s">
        <v>88</v>
      </c>
      <c r="V6" s="47">
        <f t="shared" ca="1" si="11"/>
        <v>73</v>
      </c>
      <c r="W6" s="53">
        <v>10768700</v>
      </c>
      <c r="X6" s="47">
        <v>184</v>
      </c>
      <c r="Y6" s="54">
        <f t="shared" si="12"/>
        <v>232.92466666666667</v>
      </c>
      <c r="Z6" s="54">
        <f t="shared" si="13"/>
        <v>3493.87</v>
      </c>
      <c r="AA6" s="33">
        <v>6987.74</v>
      </c>
      <c r="AB6" s="33">
        <v>284</v>
      </c>
      <c r="AC6" s="33"/>
      <c r="AD6" s="33"/>
      <c r="AE6" s="33"/>
      <c r="AF6" s="33"/>
      <c r="AG6" s="33"/>
      <c r="AH6" s="33"/>
      <c r="AI6" s="33">
        <v>11283.15</v>
      </c>
      <c r="AJ6" s="33">
        <f t="shared" si="0"/>
        <v>18554.89</v>
      </c>
      <c r="AK6" s="54">
        <v>0</v>
      </c>
      <c r="AL6" s="54">
        <f t="shared" si="1"/>
        <v>454.20310000000001</v>
      </c>
      <c r="AM6" s="54">
        <f t="shared" si="1"/>
        <v>908.40620000000001</v>
      </c>
      <c r="AN6" s="55">
        <f t="shared" si="14"/>
        <v>908.40620000000001</v>
      </c>
      <c r="AO6" s="56">
        <f t="shared" si="15"/>
        <v>17646.483799999998</v>
      </c>
      <c r="AP6" s="55">
        <f t="shared" si="2"/>
        <v>10714.534666666666</v>
      </c>
      <c r="AQ6" s="55">
        <f t="shared" si="3"/>
        <v>17300.829999999998</v>
      </c>
      <c r="AR6" s="55">
        <f t="shared" si="4"/>
        <v>1454.348</v>
      </c>
      <c r="AS6" s="55"/>
      <c r="AT6" s="55"/>
      <c r="AU6" s="55"/>
      <c r="AV6" s="57"/>
      <c r="AW6" s="57"/>
      <c r="AX6" s="57"/>
      <c r="AY6" s="55">
        <f t="shared" si="5"/>
        <v>2908.6959999999999</v>
      </c>
      <c r="AZ6" s="54">
        <v>0.19</v>
      </c>
      <c r="BA6" s="33">
        <f t="shared" si="6"/>
        <v>663.83529999999996</v>
      </c>
      <c r="BB6" s="33">
        <f t="shared" si="7"/>
        <v>1327.6705999999999</v>
      </c>
      <c r="BC6" s="58">
        <f t="shared" si="8"/>
        <v>69.877399999999994</v>
      </c>
      <c r="BD6" s="58">
        <f t="shared" si="8"/>
        <v>139.75479999999999</v>
      </c>
      <c r="BE6" s="55">
        <f t="shared" si="9"/>
        <v>556.64670000000001</v>
      </c>
      <c r="BF6" s="55">
        <f t="shared" si="10"/>
        <v>1484.3685199999995</v>
      </c>
      <c r="BG6" s="59" t="s">
        <v>132</v>
      </c>
      <c r="BH6" s="59" t="s">
        <v>133</v>
      </c>
      <c r="BI6" s="28" t="s">
        <v>134</v>
      </c>
      <c r="BJ6" s="61" t="s">
        <v>135</v>
      </c>
      <c r="BK6" s="61"/>
      <c r="BL6" s="61" t="s">
        <v>136</v>
      </c>
      <c r="BM6" s="62" t="s">
        <v>137</v>
      </c>
      <c r="BN6" s="39"/>
    </row>
    <row r="7" spans="1:66" s="2" customFormat="1" ht="39.950000000000003" hidden="1" customHeight="1" x14ac:dyDescent="0.25">
      <c r="A7" s="41">
        <v>67707</v>
      </c>
      <c r="B7" s="42">
        <v>41</v>
      </c>
      <c r="C7" s="43" t="s">
        <v>138</v>
      </c>
      <c r="D7" s="44" t="s">
        <v>139</v>
      </c>
      <c r="E7" s="45" t="s">
        <v>125</v>
      </c>
      <c r="F7" s="46" t="s">
        <v>126</v>
      </c>
      <c r="G7" s="47" t="s">
        <v>127</v>
      </c>
      <c r="H7" s="48" t="s">
        <v>140</v>
      </c>
      <c r="I7" s="30" t="s">
        <v>141</v>
      </c>
      <c r="J7" s="30" t="s">
        <v>129</v>
      </c>
      <c r="K7" s="30" t="s">
        <v>129</v>
      </c>
      <c r="L7" s="30" t="s">
        <v>11</v>
      </c>
      <c r="M7" s="50">
        <v>44044</v>
      </c>
      <c r="N7" s="50">
        <v>45323</v>
      </c>
      <c r="O7" s="51">
        <v>45657</v>
      </c>
      <c r="P7" s="46"/>
      <c r="Q7" s="48" t="s">
        <v>69</v>
      </c>
      <c r="R7" s="48"/>
      <c r="S7" s="52" t="s">
        <v>70</v>
      </c>
      <c r="T7" s="47">
        <v>1</v>
      </c>
      <c r="U7" s="47" t="s">
        <v>88</v>
      </c>
      <c r="V7" s="47">
        <f ca="1">DATEDIF(DATE(IF(MID($G7,5,2)+2000&gt;YEAR(TODAY()),MID($G7,5,2)+1900,MID($G7,5,2)+2000),MID($G7,7,2),MID($G7,9,2)),TODAY(),"y")</f>
        <v>73</v>
      </c>
      <c r="W7" s="53">
        <v>10768700</v>
      </c>
      <c r="X7" s="47"/>
      <c r="Y7" s="54">
        <f t="shared" si="12"/>
        <v>492.46666666666664</v>
      </c>
      <c r="Z7" s="54">
        <f t="shared" si="13"/>
        <v>7387</v>
      </c>
      <c r="AA7" s="33">
        <v>14774</v>
      </c>
      <c r="AB7" s="33">
        <v>284</v>
      </c>
      <c r="AC7" s="33"/>
      <c r="AD7" s="33"/>
      <c r="AE7" s="33"/>
      <c r="AF7" s="33"/>
      <c r="AG7" s="33"/>
      <c r="AH7" s="33"/>
      <c r="AI7" s="33">
        <v>26400</v>
      </c>
      <c r="AJ7" s="33">
        <f t="shared" si="0"/>
        <v>41458</v>
      </c>
      <c r="AK7" s="54">
        <v>0</v>
      </c>
      <c r="AL7" s="54">
        <f t="shared" si="1"/>
        <v>960.31000000000006</v>
      </c>
      <c r="AM7" s="54">
        <f t="shared" si="1"/>
        <v>1920.6200000000001</v>
      </c>
      <c r="AN7" s="55">
        <f t="shared" si="14"/>
        <v>1920.6200000000001</v>
      </c>
      <c r="AO7" s="56">
        <f t="shared" si="15"/>
        <v>39537.379999999997</v>
      </c>
      <c r="AP7" s="55">
        <f t="shared" si="2"/>
        <v>22653.466666666667</v>
      </c>
      <c r="AQ7" s="55">
        <f t="shared" si="3"/>
        <v>40480</v>
      </c>
      <c r="AR7" s="55">
        <f t="shared" si="4"/>
        <v>3011.6</v>
      </c>
      <c r="AS7" s="55"/>
      <c r="AT7" s="55"/>
      <c r="AU7" s="55"/>
      <c r="AV7" s="57"/>
      <c r="AW7" s="57"/>
      <c r="AX7" s="57"/>
      <c r="AY7" s="55">
        <f t="shared" si="5"/>
        <v>6023.2</v>
      </c>
      <c r="AZ7" s="54">
        <v>0.26</v>
      </c>
      <c r="BA7" s="33">
        <f t="shared" si="6"/>
        <v>1920.6200000000001</v>
      </c>
      <c r="BB7" s="33">
        <f t="shared" si="7"/>
        <v>3841.2400000000002</v>
      </c>
      <c r="BC7" s="58">
        <f t="shared" si="8"/>
        <v>147.74</v>
      </c>
      <c r="BD7" s="58">
        <f t="shared" si="8"/>
        <v>295.48</v>
      </c>
      <c r="BE7" s="55">
        <f t="shared" si="9"/>
        <v>1243.74</v>
      </c>
      <c r="BF7" s="55">
        <f t="shared" si="10"/>
        <v>3318.44</v>
      </c>
      <c r="BG7" s="59" t="s">
        <v>132</v>
      </c>
      <c r="BH7" s="59" t="s">
        <v>133</v>
      </c>
      <c r="BI7" s="28" t="s">
        <v>134</v>
      </c>
      <c r="BJ7" s="61" t="s">
        <v>135</v>
      </c>
      <c r="BK7" s="61"/>
      <c r="BL7" s="61" t="s">
        <v>136</v>
      </c>
      <c r="BM7" s="62" t="s">
        <v>137</v>
      </c>
      <c r="BN7" s="39"/>
    </row>
    <row r="8" spans="1:66" s="2" customFormat="1" ht="39.950000000000003" hidden="1" customHeight="1" x14ac:dyDescent="0.25">
      <c r="A8" s="41">
        <v>76208</v>
      </c>
      <c r="B8" s="42">
        <v>13</v>
      </c>
      <c r="C8" s="43" t="s">
        <v>142</v>
      </c>
      <c r="D8" s="43" t="s">
        <v>143</v>
      </c>
      <c r="E8" s="45" t="s">
        <v>144</v>
      </c>
      <c r="F8" s="46" t="s">
        <v>145</v>
      </c>
      <c r="G8" s="47" t="s">
        <v>146</v>
      </c>
      <c r="H8" s="48" t="s">
        <v>65</v>
      </c>
      <c r="I8" s="49" t="s">
        <v>66</v>
      </c>
      <c r="J8" s="30" t="s">
        <v>147</v>
      </c>
      <c r="K8" s="30" t="s">
        <v>87</v>
      </c>
      <c r="L8" s="30" t="s">
        <v>11</v>
      </c>
      <c r="M8" s="50">
        <v>44044</v>
      </c>
      <c r="N8" s="50"/>
      <c r="O8" s="51">
        <v>45657</v>
      </c>
      <c r="P8" s="46"/>
      <c r="Q8" s="48" t="s">
        <v>69</v>
      </c>
      <c r="R8" s="48"/>
      <c r="S8" s="52" t="s">
        <v>148</v>
      </c>
      <c r="T8" s="47">
        <v>27</v>
      </c>
      <c r="U8" s="47" t="s">
        <v>149</v>
      </c>
      <c r="V8" s="47">
        <f t="shared" ref="V8:V34" ca="1" si="16">DATEDIF(DATE(IF(MID($G8,5,2)+2000&gt;YEAR(TODAY()),MID($G8,5,2)+1900,MID($G8,5,2)+2000),MID($G8,7,2),MID($G8,9,2)),TODAY(),"y")</f>
        <v>43</v>
      </c>
      <c r="W8" s="53">
        <v>6093300</v>
      </c>
      <c r="X8" s="47">
        <v>167</v>
      </c>
      <c r="Y8" s="54">
        <f t="shared" si="12"/>
        <v>264.86533333333335</v>
      </c>
      <c r="Z8" s="54">
        <f t="shared" si="13"/>
        <v>3972.98</v>
      </c>
      <c r="AA8" s="33">
        <v>7945.96</v>
      </c>
      <c r="AB8" s="33">
        <v>284</v>
      </c>
      <c r="AC8" s="33"/>
      <c r="AD8" s="33"/>
      <c r="AE8" s="33"/>
      <c r="AF8" s="33">
        <v>175</v>
      </c>
      <c r="AG8" s="33"/>
      <c r="AH8" s="33"/>
      <c r="AI8" s="33">
        <v>11000</v>
      </c>
      <c r="AJ8" s="33">
        <f t="shared" si="0"/>
        <v>19404.96</v>
      </c>
      <c r="AK8" s="54">
        <v>0</v>
      </c>
      <c r="AL8" s="54">
        <f t="shared" si="1"/>
        <v>516.48739999999998</v>
      </c>
      <c r="AM8" s="54">
        <f t="shared" si="1"/>
        <v>1032.9748</v>
      </c>
      <c r="AN8" s="55">
        <f t="shared" si="14"/>
        <v>1032.9748</v>
      </c>
      <c r="AO8" s="56">
        <f t="shared" si="15"/>
        <v>18371.985199999999</v>
      </c>
      <c r="AP8" s="55">
        <f t="shared" si="2"/>
        <v>12452.138666666666</v>
      </c>
      <c r="AQ8" s="55">
        <f t="shared" si="3"/>
        <v>16866.666666666668</v>
      </c>
      <c r="AR8" s="55">
        <f t="shared" si="4"/>
        <v>1680.9919999999997</v>
      </c>
      <c r="AS8" s="55"/>
      <c r="AT8" s="55"/>
      <c r="AU8" s="55"/>
      <c r="AV8" s="57"/>
      <c r="AW8" s="57"/>
      <c r="AX8" s="57"/>
      <c r="AY8" s="55">
        <f t="shared" si="5"/>
        <v>3361.9839999999995</v>
      </c>
      <c r="AZ8" s="54">
        <v>0.26</v>
      </c>
      <c r="BA8" s="33">
        <f t="shared" si="6"/>
        <v>1032.9748</v>
      </c>
      <c r="BB8" s="33">
        <f t="shared" si="7"/>
        <v>2065.9495999999999</v>
      </c>
      <c r="BC8" s="58">
        <f t="shared" si="8"/>
        <v>79.459600000000009</v>
      </c>
      <c r="BD8" s="58">
        <f t="shared" si="8"/>
        <v>158.91920000000002</v>
      </c>
      <c r="BE8" s="55">
        <f t="shared" si="9"/>
        <v>582.14879999999994</v>
      </c>
      <c r="BF8" s="55">
        <f t="shared" si="10"/>
        <v>1562.5724799999998</v>
      </c>
      <c r="BG8" s="59" t="s">
        <v>150</v>
      </c>
      <c r="BH8" s="60" t="s">
        <v>151</v>
      </c>
      <c r="BI8" s="28" t="s">
        <v>152</v>
      </c>
      <c r="BJ8" s="61" t="s">
        <v>153</v>
      </c>
      <c r="BK8" s="61"/>
      <c r="BL8" s="61" t="s">
        <v>154</v>
      </c>
      <c r="BM8" s="62" t="s">
        <v>155</v>
      </c>
      <c r="BN8" s="39"/>
    </row>
    <row r="9" spans="1:66" s="2" customFormat="1" ht="39.950000000000003" hidden="1" customHeight="1" x14ac:dyDescent="0.25">
      <c r="A9" s="41">
        <v>85445</v>
      </c>
      <c r="B9" s="42">
        <v>56</v>
      </c>
      <c r="C9" s="43" t="s">
        <v>156</v>
      </c>
      <c r="D9" s="43" t="s">
        <v>157</v>
      </c>
      <c r="E9" s="45" t="s">
        <v>158</v>
      </c>
      <c r="F9" s="46" t="s">
        <v>159</v>
      </c>
      <c r="G9" s="47" t="s">
        <v>160</v>
      </c>
      <c r="H9" s="48" t="s">
        <v>161</v>
      </c>
      <c r="I9" s="49" t="s">
        <v>162</v>
      </c>
      <c r="J9" s="30" t="s">
        <v>86</v>
      </c>
      <c r="K9" s="30" t="s">
        <v>86</v>
      </c>
      <c r="L9" s="30" t="s">
        <v>11</v>
      </c>
      <c r="M9" s="50">
        <v>44044</v>
      </c>
      <c r="N9" s="50"/>
      <c r="O9" s="51">
        <v>44165</v>
      </c>
      <c r="P9" s="46"/>
      <c r="Q9" s="48" t="s">
        <v>69</v>
      </c>
      <c r="R9" s="48"/>
      <c r="S9" s="52" t="s">
        <v>148</v>
      </c>
      <c r="T9" s="47">
        <v>1</v>
      </c>
      <c r="U9" s="47" t="s">
        <v>116</v>
      </c>
      <c r="V9" s="47">
        <f t="shared" ca="1" si="16"/>
        <v>50</v>
      </c>
      <c r="W9" s="53"/>
      <c r="X9" s="47">
        <v>194</v>
      </c>
      <c r="Y9" s="54">
        <f t="shared" si="12"/>
        <v>200.13333333333333</v>
      </c>
      <c r="Z9" s="54">
        <f t="shared" si="13"/>
        <v>3002</v>
      </c>
      <c r="AA9" s="33">
        <v>6004</v>
      </c>
      <c r="AB9" s="33">
        <v>284</v>
      </c>
      <c r="AC9" s="33"/>
      <c r="AD9" s="33"/>
      <c r="AE9" s="33"/>
      <c r="AF9" s="33"/>
      <c r="AG9" s="33"/>
      <c r="AH9" s="33"/>
      <c r="AI9" s="33">
        <v>7000</v>
      </c>
      <c r="AJ9" s="33">
        <f t="shared" si="0"/>
        <v>13288</v>
      </c>
      <c r="AK9" s="54">
        <v>0</v>
      </c>
      <c r="AL9" s="54">
        <f t="shared" si="1"/>
        <v>390.26</v>
      </c>
      <c r="AM9" s="54">
        <f t="shared" si="1"/>
        <v>780.52</v>
      </c>
      <c r="AN9" s="55">
        <f t="shared" si="14"/>
        <v>780.52</v>
      </c>
      <c r="AO9" s="56">
        <f t="shared" si="15"/>
        <v>12507.48</v>
      </c>
      <c r="AP9" s="55">
        <f t="shared" si="2"/>
        <v>9206.1333333333332</v>
      </c>
      <c r="AQ9" s="55">
        <f t="shared" si="3"/>
        <v>10733.333333333334</v>
      </c>
      <c r="AR9" s="55">
        <f t="shared" si="4"/>
        <v>1257.5999999999999</v>
      </c>
      <c r="AS9" s="55"/>
      <c r="AT9" s="55"/>
      <c r="AU9" s="55"/>
      <c r="AV9" s="57"/>
      <c r="AW9" s="57"/>
      <c r="AX9" s="57"/>
      <c r="AY9" s="55">
        <f t="shared" si="5"/>
        <v>2515.1999999999998</v>
      </c>
      <c r="AZ9" s="54">
        <v>0.26</v>
      </c>
      <c r="BA9" s="33">
        <f t="shared" si="6"/>
        <v>780.52</v>
      </c>
      <c r="BB9" s="33">
        <f t="shared" si="7"/>
        <v>1561.04</v>
      </c>
      <c r="BC9" s="58">
        <f t="shared" si="8"/>
        <v>60.04</v>
      </c>
      <c r="BD9" s="58">
        <f t="shared" si="8"/>
        <v>120.08</v>
      </c>
      <c r="BE9" s="55">
        <f t="shared" si="9"/>
        <v>398.64</v>
      </c>
      <c r="BF9" s="55">
        <f t="shared" si="10"/>
        <v>1072.28</v>
      </c>
      <c r="BG9" s="59"/>
      <c r="BH9" s="60" t="s">
        <v>163</v>
      </c>
      <c r="BI9" s="28" t="s">
        <v>164</v>
      </c>
      <c r="BJ9" s="61" t="s">
        <v>165</v>
      </c>
      <c r="BK9" s="61"/>
      <c r="BL9" s="61" t="s">
        <v>166</v>
      </c>
      <c r="BM9" s="62" t="s">
        <v>167</v>
      </c>
      <c r="BN9" s="39"/>
    </row>
    <row r="10" spans="1:66" s="2" customFormat="1" ht="39.950000000000003" hidden="1" customHeight="1" x14ac:dyDescent="0.25">
      <c r="A10" s="41">
        <v>86589</v>
      </c>
      <c r="B10" s="42">
        <v>5</v>
      </c>
      <c r="C10" s="43" t="s">
        <v>168</v>
      </c>
      <c r="D10" s="43" t="s">
        <v>169</v>
      </c>
      <c r="E10" s="45" t="s">
        <v>170</v>
      </c>
      <c r="F10" s="46" t="s">
        <v>171</v>
      </c>
      <c r="G10" s="47" t="s">
        <v>172</v>
      </c>
      <c r="H10" s="48" t="s">
        <v>84</v>
      </c>
      <c r="I10" s="30" t="s">
        <v>173</v>
      </c>
      <c r="J10" s="30" t="s">
        <v>86</v>
      </c>
      <c r="K10" s="30" t="s">
        <v>174</v>
      </c>
      <c r="L10" s="30" t="s">
        <v>131</v>
      </c>
      <c r="M10" s="66">
        <v>44013</v>
      </c>
      <c r="N10" s="66">
        <v>44635</v>
      </c>
      <c r="O10" s="47"/>
      <c r="P10" s="46"/>
      <c r="Q10" s="48" t="s">
        <v>69</v>
      </c>
      <c r="R10" s="48"/>
      <c r="S10" s="52" t="s">
        <v>70</v>
      </c>
      <c r="T10" s="47">
        <v>4</v>
      </c>
      <c r="U10" s="47" t="s">
        <v>175</v>
      </c>
      <c r="V10" s="47">
        <f t="shared" ca="1" si="16"/>
        <v>38</v>
      </c>
      <c r="W10" s="53">
        <v>8332800</v>
      </c>
      <c r="X10" s="47">
        <v>192</v>
      </c>
      <c r="Y10" s="54">
        <f t="shared" si="12"/>
        <v>232.92466666666667</v>
      </c>
      <c r="Z10" s="54">
        <f t="shared" si="13"/>
        <v>3493.87</v>
      </c>
      <c r="AA10" s="33">
        <v>6987.74</v>
      </c>
      <c r="AB10" s="33">
        <v>284</v>
      </c>
      <c r="AC10" s="57"/>
      <c r="AD10" s="57"/>
      <c r="AE10" s="64"/>
      <c r="AF10" s="65"/>
      <c r="AG10" s="57"/>
      <c r="AH10" s="57"/>
      <c r="AI10" s="33">
        <v>11283.15</v>
      </c>
      <c r="AJ10" s="33">
        <f t="shared" si="0"/>
        <v>18554.89</v>
      </c>
      <c r="AK10" s="54">
        <v>0</v>
      </c>
      <c r="AL10" s="54">
        <f t="shared" si="1"/>
        <v>454.20310000000001</v>
      </c>
      <c r="AM10" s="54">
        <f t="shared" si="1"/>
        <v>908.40620000000001</v>
      </c>
      <c r="AN10" s="55">
        <f t="shared" si="14"/>
        <v>908.40620000000001</v>
      </c>
      <c r="AO10" s="56">
        <f t="shared" si="15"/>
        <v>17646.483799999998</v>
      </c>
      <c r="AP10" s="55">
        <f t="shared" si="2"/>
        <v>10714.534666666666</v>
      </c>
      <c r="AQ10" s="55">
        <f t="shared" si="3"/>
        <v>17300.829999999998</v>
      </c>
      <c r="AR10" s="55">
        <f t="shared" si="4"/>
        <v>1454.348</v>
      </c>
      <c r="AS10" s="55"/>
      <c r="AT10" s="55"/>
      <c r="AU10" s="55"/>
      <c r="AV10" s="57"/>
      <c r="AW10" s="57"/>
      <c r="AX10" s="57"/>
      <c r="AY10" s="55">
        <f t="shared" si="5"/>
        <v>2908.6959999999999</v>
      </c>
      <c r="AZ10" s="54">
        <v>0.26</v>
      </c>
      <c r="BA10" s="33">
        <f t="shared" si="6"/>
        <v>908.40620000000001</v>
      </c>
      <c r="BB10" s="33">
        <f t="shared" si="7"/>
        <v>1816.8124</v>
      </c>
      <c r="BC10" s="58">
        <f t="shared" si="8"/>
        <v>69.877399999999994</v>
      </c>
      <c r="BD10" s="58">
        <f t="shared" si="8"/>
        <v>139.75479999999999</v>
      </c>
      <c r="BE10" s="55">
        <f t="shared" si="9"/>
        <v>556.64670000000001</v>
      </c>
      <c r="BF10" s="55">
        <f t="shared" si="10"/>
        <v>1484.3685199999995</v>
      </c>
      <c r="BG10" s="60" t="s">
        <v>176</v>
      </c>
      <c r="BH10" s="60" t="s">
        <v>177</v>
      </c>
      <c r="BI10" s="28" t="s">
        <v>178</v>
      </c>
      <c r="BJ10" s="61" t="s">
        <v>179</v>
      </c>
      <c r="BK10" s="61"/>
      <c r="BL10" s="61" t="s">
        <v>180</v>
      </c>
      <c r="BM10" s="62" t="s">
        <v>181</v>
      </c>
      <c r="BN10" s="39"/>
    </row>
    <row r="11" spans="1:66" s="2" customFormat="1" ht="39.950000000000003" hidden="1" customHeight="1" x14ac:dyDescent="0.25">
      <c r="A11" s="41">
        <v>86589</v>
      </c>
      <c r="B11" s="42">
        <v>16</v>
      </c>
      <c r="C11" s="43" t="s">
        <v>169</v>
      </c>
      <c r="D11" s="44" t="s">
        <v>182</v>
      </c>
      <c r="E11" s="45" t="s">
        <v>170</v>
      </c>
      <c r="F11" s="46" t="s">
        <v>171</v>
      </c>
      <c r="G11" s="47" t="s">
        <v>172</v>
      </c>
      <c r="H11" s="48" t="s">
        <v>65</v>
      </c>
      <c r="I11" s="30" t="s">
        <v>66</v>
      </c>
      <c r="J11" s="30" t="s">
        <v>86</v>
      </c>
      <c r="K11" s="30" t="s">
        <v>86</v>
      </c>
      <c r="L11" s="30" t="s">
        <v>11</v>
      </c>
      <c r="M11" s="66">
        <v>44636</v>
      </c>
      <c r="N11" s="66"/>
      <c r="O11" s="66">
        <v>45688</v>
      </c>
      <c r="P11" s="46"/>
      <c r="Q11" s="48" t="s">
        <v>69</v>
      </c>
      <c r="R11" s="48"/>
      <c r="S11" s="52" t="s">
        <v>70</v>
      </c>
      <c r="T11" s="47">
        <v>4</v>
      </c>
      <c r="U11" s="47" t="s">
        <v>175</v>
      </c>
      <c r="V11" s="47">
        <f t="shared" ca="1" si="16"/>
        <v>38</v>
      </c>
      <c r="W11" s="53">
        <v>8332800</v>
      </c>
      <c r="X11" s="47">
        <v>168</v>
      </c>
      <c r="Y11" s="54">
        <f t="shared" si="12"/>
        <v>264.86533333333335</v>
      </c>
      <c r="Z11" s="54">
        <f t="shared" si="13"/>
        <v>3972.98</v>
      </c>
      <c r="AA11" s="33">
        <v>7945.96</v>
      </c>
      <c r="AB11" s="33">
        <v>284</v>
      </c>
      <c r="AC11" s="57"/>
      <c r="AD11" s="57"/>
      <c r="AE11" s="64"/>
      <c r="AF11" s="33"/>
      <c r="AG11" s="57"/>
      <c r="AH11" s="57"/>
      <c r="AI11" s="33">
        <v>15000</v>
      </c>
      <c r="AJ11" s="33">
        <f t="shared" si="0"/>
        <v>23229.96</v>
      </c>
      <c r="AK11" s="54">
        <v>0</v>
      </c>
      <c r="AL11" s="54">
        <f t="shared" si="1"/>
        <v>516.48739999999998</v>
      </c>
      <c r="AM11" s="54">
        <f t="shared" si="1"/>
        <v>1032.9748</v>
      </c>
      <c r="AN11" s="55">
        <f t="shared" si="14"/>
        <v>1032.9748</v>
      </c>
      <c r="AO11" s="56">
        <f t="shared" si="15"/>
        <v>22196.985199999999</v>
      </c>
      <c r="AP11" s="55">
        <f t="shared" si="2"/>
        <v>12183.805333333334</v>
      </c>
      <c r="AQ11" s="55">
        <f t="shared" si="3"/>
        <v>23000</v>
      </c>
      <c r="AR11" s="55">
        <f t="shared" si="4"/>
        <v>1645.992</v>
      </c>
      <c r="AS11" s="55"/>
      <c r="AT11" s="55"/>
      <c r="AU11" s="55"/>
      <c r="AV11" s="57"/>
      <c r="AW11" s="57"/>
      <c r="AX11" s="57"/>
      <c r="AY11" s="55">
        <f t="shared" si="5"/>
        <v>3291.9839999999999</v>
      </c>
      <c r="AZ11" s="54">
        <v>0.26</v>
      </c>
      <c r="BA11" s="33">
        <f t="shared" si="6"/>
        <v>1032.9748</v>
      </c>
      <c r="BB11" s="33">
        <f t="shared" si="7"/>
        <v>2065.9495999999999</v>
      </c>
      <c r="BC11" s="58">
        <f t="shared" si="8"/>
        <v>79.459600000000009</v>
      </c>
      <c r="BD11" s="58">
        <f t="shared" si="8"/>
        <v>158.91920000000002</v>
      </c>
      <c r="BE11" s="55">
        <f t="shared" si="9"/>
        <v>696.89879999999994</v>
      </c>
      <c r="BF11" s="55">
        <f t="shared" si="10"/>
        <v>1851.1724799999997</v>
      </c>
      <c r="BG11" s="59" t="s">
        <v>176</v>
      </c>
      <c r="BH11" s="59" t="s">
        <v>177</v>
      </c>
      <c r="BI11" s="28" t="s">
        <v>183</v>
      </c>
      <c r="BJ11" s="61" t="s">
        <v>179</v>
      </c>
      <c r="BK11" s="61" t="s">
        <v>184</v>
      </c>
      <c r="BL11" s="61" t="s">
        <v>180</v>
      </c>
      <c r="BM11" s="62" t="s">
        <v>181</v>
      </c>
      <c r="BN11" s="39"/>
    </row>
    <row r="12" spans="1:66" s="2" customFormat="1" ht="39.950000000000003" hidden="1" customHeight="1" x14ac:dyDescent="0.25">
      <c r="A12" s="41">
        <v>87514</v>
      </c>
      <c r="B12" s="67">
        <v>6</v>
      </c>
      <c r="C12" s="62" t="s">
        <v>185</v>
      </c>
      <c r="D12" s="62" t="s">
        <v>186</v>
      </c>
      <c r="E12" s="30" t="s">
        <v>187</v>
      </c>
      <c r="F12" s="46" t="s">
        <v>188</v>
      </c>
      <c r="G12" s="47" t="s">
        <v>189</v>
      </c>
      <c r="H12" s="48" t="s">
        <v>161</v>
      </c>
      <c r="I12" s="30" t="s">
        <v>162</v>
      </c>
      <c r="J12" s="30" t="s">
        <v>86</v>
      </c>
      <c r="K12" s="30" t="s">
        <v>87</v>
      </c>
      <c r="L12" s="30" t="s">
        <v>11</v>
      </c>
      <c r="M12" s="66">
        <v>44013</v>
      </c>
      <c r="N12" s="66"/>
      <c r="O12" s="51">
        <v>44211</v>
      </c>
      <c r="P12" s="46"/>
      <c r="Q12" s="48" t="s">
        <v>69</v>
      </c>
      <c r="R12" s="48"/>
      <c r="S12" s="52" t="s">
        <v>148</v>
      </c>
      <c r="T12" s="47">
        <v>11</v>
      </c>
      <c r="U12" s="47" t="s">
        <v>175</v>
      </c>
      <c r="V12" s="47">
        <f t="shared" ca="1" si="16"/>
        <v>35</v>
      </c>
      <c r="W12" s="53" t="e">
        <v>#N/A</v>
      </c>
      <c r="X12" s="47">
        <v>193</v>
      </c>
      <c r="Y12" s="54">
        <f t="shared" si="12"/>
        <v>200.13333333333333</v>
      </c>
      <c r="Z12" s="54">
        <f t="shared" si="13"/>
        <v>3002</v>
      </c>
      <c r="AA12" s="33">
        <v>6004</v>
      </c>
      <c r="AB12" s="33">
        <v>284</v>
      </c>
      <c r="AC12" s="57"/>
      <c r="AD12" s="57"/>
      <c r="AE12" s="57"/>
      <c r="AF12" s="68"/>
      <c r="AG12" s="57"/>
      <c r="AH12" s="57"/>
      <c r="AI12" s="33">
        <v>10984</v>
      </c>
      <c r="AJ12" s="33">
        <f t="shared" si="0"/>
        <v>17272</v>
      </c>
      <c r="AK12" s="54">
        <v>0</v>
      </c>
      <c r="AL12" s="54">
        <f t="shared" si="1"/>
        <v>390.26</v>
      </c>
      <c r="AM12" s="54">
        <f t="shared" si="1"/>
        <v>780.52</v>
      </c>
      <c r="AN12" s="55">
        <f t="shared" si="14"/>
        <v>780.52</v>
      </c>
      <c r="AO12" s="56">
        <f t="shared" si="15"/>
        <v>16491.48</v>
      </c>
      <c r="AP12" s="55">
        <f t="shared" si="2"/>
        <v>9206.1333333333332</v>
      </c>
      <c r="AQ12" s="55">
        <f t="shared" si="3"/>
        <v>16842.133333333331</v>
      </c>
      <c r="AR12" s="55">
        <f t="shared" si="4"/>
        <v>1257.5999999999999</v>
      </c>
      <c r="AS12" s="55"/>
      <c r="AT12" s="55"/>
      <c r="AU12" s="55"/>
      <c r="AV12" s="57"/>
      <c r="AW12" s="57"/>
      <c r="AX12" s="57"/>
      <c r="AY12" s="55">
        <f t="shared" si="5"/>
        <v>2515.1999999999998</v>
      </c>
      <c r="AZ12" s="54">
        <v>0.26</v>
      </c>
      <c r="BA12" s="33">
        <f t="shared" si="6"/>
        <v>780.52</v>
      </c>
      <c r="BB12" s="33">
        <f t="shared" si="7"/>
        <v>1561.04</v>
      </c>
      <c r="BC12" s="58">
        <f t="shared" si="8"/>
        <v>60.04</v>
      </c>
      <c r="BD12" s="58">
        <f t="shared" si="8"/>
        <v>120.08</v>
      </c>
      <c r="BE12" s="55">
        <f t="shared" si="9"/>
        <v>518.16</v>
      </c>
      <c r="BF12" s="55">
        <f t="shared" si="10"/>
        <v>1375.0639999999999</v>
      </c>
      <c r="BG12" s="59" t="s">
        <v>190</v>
      </c>
      <c r="BH12" s="60" t="s">
        <v>191</v>
      </c>
      <c r="BI12" s="28" t="s">
        <v>192</v>
      </c>
      <c r="BJ12" s="61" t="s">
        <v>193</v>
      </c>
      <c r="BK12" s="61"/>
      <c r="BL12" s="61" t="s">
        <v>194</v>
      </c>
      <c r="BM12" s="62" t="s">
        <v>195</v>
      </c>
      <c r="BN12" s="39"/>
    </row>
    <row r="13" spans="1:66" s="2" customFormat="1" ht="39.950000000000003" hidden="1" customHeight="1" x14ac:dyDescent="0.25">
      <c r="A13" s="67">
        <v>92838</v>
      </c>
      <c r="B13" s="42">
        <v>82</v>
      </c>
      <c r="C13" s="43" t="s">
        <v>196</v>
      </c>
      <c r="D13" s="43" t="s">
        <v>197</v>
      </c>
      <c r="E13" s="45" t="s">
        <v>198</v>
      </c>
      <c r="F13" s="46" t="s">
        <v>199</v>
      </c>
      <c r="G13" s="47" t="s">
        <v>200</v>
      </c>
      <c r="H13" s="69" t="s">
        <v>201</v>
      </c>
      <c r="I13" s="30" t="s">
        <v>202</v>
      </c>
      <c r="J13" s="30" t="s">
        <v>86</v>
      </c>
      <c r="K13" s="30" t="s">
        <v>174</v>
      </c>
      <c r="L13" s="30" t="s">
        <v>11</v>
      </c>
      <c r="M13" s="66">
        <v>44485</v>
      </c>
      <c r="N13" s="66">
        <v>44531</v>
      </c>
      <c r="O13" s="51"/>
      <c r="P13" s="46"/>
      <c r="Q13" s="48" t="s">
        <v>69</v>
      </c>
      <c r="R13" s="48"/>
      <c r="S13" s="52" t="s">
        <v>70</v>
      </c>
      <c r="T13" s="47">
        <v>21</v>
      </c>
      <c r="U13" s="47" t="s">
        <v>116</v>
      </c>
      <c r="V13" s="47">
        <f t="shared" ca="1" si="16"/>
        <v>48</v>
      </c>
      <c r="W13" s="53">
        <v>10514800</v>
      </c>
      <c r="X13" s="47">
        <v>191</v>
      </c>
      <c r="Y13" s="54">
        <f t="shared" si="12"/>
        <v>153.1</v>
      </c>
      <c r="Z13" s="54">
        <f t="shared" si="13"/>
        <v>2296.5</v>
      </c>
      <c r="AA13" s="33">
        <v>4593</v>
      </c>
      <c r="AB13" s="33">
        <v>311</v>
      </c>
      <c r="AC13" s="57"/>
      <c r="AD13" s="57"/>
      <c r="AE13" s="57"/>
      <c r="AF13" s="68"/>
      <c r="AG13" s="57"/>
      <c r="AH13" s="57"/>
      <c r="AI13" s="33">
        <v>6500</v>
      </c>
      <c r="AJ13" s="33">
        <f t="shared" si="0"/>
        <v>11404</v>
      </c>
      <c r="AK13" s="54">
        <v>0</v>
      </c>
      <c r="AL13" s="54">
        <f t="shared" si="1"/>
        <v>298.54500000000002</v>
      </c>
      <c r="AM13" s="54">
        <f t="shared" si="1"/>
        <v>597.09</v>
      </c>
      <c r="AN13" s="55">
        <f t="shared" si="14"/>
        <v>597.09</v>
      </c>
      <c r="AO13" s="56">
        <f t="shared" si="15"/>
        <v>10806.91</v>
      </c>
      <c r="AP13" s="55">
        <f t="shared" si="2"/>
        <v>7042.5999999999995</v>
      </c>
      <c r="AQ13" s="55">
        <f t="shared" si="3"/>
        <v>9966.6666666666661</v>
      </c>
      <c r="AR13" s="55">
        <f t="shared" si="4"/>
        <v>980.8</v>
      </c>
      <c r="AS13" s="55"/>
      <c r="AT13" s="55"/>
      <c r="AU13" s="55"/>
      <c r="AV13" s="57"/>
      <c r="AW13" s="57"/>
      <c r="AX13" s="57"/>
      <c r="AY13" s="55">
        <f t="shared" si="5"/>
        <v>1961.6</v>
      </c>
      <c r="AZ13" s="54">
        <v>0.26</v>
      </c>
      <c r="BA13" s="33">
        <f t="shared" si="6"/>
        <v>597.09</v>
      </c>
      <c r="BB13" s="33">
        <f t="shared" si="7"/>
        <v>1194.18</v>
      </c>
      <c r="BC13" s="58">
        <f t="shared" si="8"/>
        <v>45.93</v>
      </c>
      <c r="BD13" s="58">
        <f t="shared" si="8"/>
        <v>91.86</v>
      </c>
      <c r="BE13" s="55">
        <f t="shared" si="9"/>
        <v>342.12</v>
      </c>
      <c r="BF13" s="55">
        <f t="shared" si="10"/>
        <v>911.24599999999975</v>
      </c>
      <c r="BG13" s="59" t="s">
        <v>203</v>
      </c>
      <c r="BH13" s="60" t="s">
        <v>204</v>
      </c>
      <c r="BI13" s="28" t="s">
        <v>205</v>
      </c>
      <c r="BJ13" s="61" t="s">
        <v>206</v>
      </c>
      <c r="BK13" s="61"/>
      <c r="BL13" s="61" t="s">
        <v>207</v>
      </c>
      <c r="BM13" s="62">
        <v>1521462404</v>
      </c>
      <c r="BN13" s="39"/>
    </row>
    <row r="14" spans="1:66" s="2" customFormat="1" ht="39.950000000000003" hidden="1" customHeight="1" x14ac:dyDescent="0.25">
      <c r="A14" s="67">
        <v>92838</v>
      </c>
      <c r="B14" s="42">
        <v>56</v>
      </c>
      <c r="C14" s="43" t="s">
        <v>197</v>
      </c>
      <c r="D14" s="43" t="s">
        <v>208</v>
      </c>
      <c r="E14" s="45" t="s">
        <v>198</v>
      </c>
      <c r="F14" s="46" t="s">
        <v>199</v>
      </c>
      <c r="G14" s="47" t="s">
        <v>200</v>
      </c>
      <c r="H14" s="48" t="s">
        <v>161</v>
      </c>
      <c r="I14" s="30" t="s">
        <v>162</v>
      </c>
      <c r="J14" s="30" t="s">
        <v>86</v>
      </c>
      <c r="K14" s="30" t="s">
        <v>174</v>
      </c>
      <c r="L14" s="30" t="s">
        <v>11</v>
      </c>
      <c r="M14" s="66"/>
      <c r="N14" s="66">
        <v>44166</v>
      </c>
      <c r="O14" s="51"/>
      <c r="P14" s="46"/>
      <c r="Q14" s="48" t="s">
        <v>69</v>
      </c>
      <c r="R14" s="48"/>
      <c r="S14" s="52" t="s">
        <v>70</v>
      </c>
      <c r="T14" s="47">
        <v>21</v>
      </c>
      <c r="U14" s="47" t="s">
        <v>116</v>
      </c>
      <c r="V14" s="47">
        <f t="shared" ca="1" si="16"/>
        <v>48</v>
      </c>
      <c r="W14" s="53">
        <v>10514800</v>
      </c>
      <c r="X14" s="47">
        <v>192</v>
      </c>
      <c r="Y14" s="54">
        <f t="shared" si="12"/>
        <v>200.13333333333333</v>
      </c>
      <c r="Z14" s="54">
        <f t="shared" si="13"/>
        <v>3002</v>
      </c>
      <c r="AA14" s="33">
        <v>6004</v>
      </c>
      <c r="AB14" s="33">
        <v>284</v>
      </c>
      <c r="AC14" s="57"/>
      <c r="AD14" s="57"/>
      <c r="AE14" s="64"/>
      <c r="AF14" s="65"/>
      <c r="AG14" s="57"/>
      <c r="AH14" s="57"/>
      <c r="AI14" s="33">
        <v>7000</v>
      </c>
      <c r="AJ14" s="33">
        <f t="shared" si="0"/>
        <v>13288</v>
      </c>
      <c r="AK14" s="54">
        <v>0</v>
      </c>
      <c r="AL14" s="54">
        <f t="shared" si="1"/>
        <v>390.26</v>
      </c>
      <c r="AM14" s="54">
        <f t="shared" si="1"/>
        <v>780.52</v>
      </c>
      <c r="AN14" s="55">
        <f t="shared" si="14"/>
        <v>780.52</v>
      </c>
      <c r="AO14" s="56">
        <f t="shared" si="15"/>
        <v>12507.48</v>
      </c>
      <c r="AP14" s="55">
        <f t="shared" si="2"/>
        <v>9206.1333333333332</v>
      </c>
      <c r="AQ14" s="55">
        <f t="shared" si="3"/>
        <v>10733.333333333334</v>
      </c>
      <c r="AR14" s="55">
        <f t="shared" si="4"/>
        <v>1257.5999999999999</v>
      </c>
      <c r="AS14" s="55"/>
      <c r="AT14" s="55"/>
      <c r="AU14" s="55"/>
      <c r="AV14" s="57"/>
      <c r="AW14" s="57"/>
      <c r="AX14" s="57"/>
      <c r="AY14" s="55">
        <f t="shared" si="5"/>
        <v>2515.1999999999998</v>
      </c>
      <c r="AZ14" s="54">
        <v>0.26</v>
      </c>
      <c r="BA14" s="33">
        <f t="shared" si="6"/>
        <v>780.52</v>
      </c>
      <c r="BB14" s="33">
        <f t="shared" si="7"/>
        <v>1561.04</v>
      </c>
      <c r="BC14" s="58">
        <f t="shared" si="8"/>
        <v>60.04</v>
      </c>
      <c r="BD14" s="58">
        <f t="shared" si="8"/>
        <v>120.08</v>
      </c>
      <c r="BE14" s="55">
        <f t="shared" si="9"/>
        <v>398.64</v>
      </c>
      <c r="BF14" s="55">
        <f t="shared" si="10"/>
        <v>1072.28</v>
      </c>
      <c r="BG14" s="59" t="s">
        <v>203</v>
      </c>
      <c r="BH14" s="60" t="s">
        <v>204</v>
      </c>
      <c r="BI14" s="28" t="s">
        <v>205</v>
      </c>
      <c r="BJ14" s="61" t="s">
        <v>206</v>
      </c>
      <c r="BK14" s="61"/>
      <c r="BL14" s="61" t="s">
        <v>207</v>
      </c>
      <c r="BM14" s="62">
        <v>1521462404</v>
      </c>
      <c r="BN14" s="39"/>
    </row>
    <row r="15" spans="1:66" s="2" customFormat="1" ht="39.950000000000003" hidden="1" customHeight="1" x14ac:dyDescent="0.25">
      <c r="A15" s="67">
        <v>92838</v>
      </c>
      <c r="B15" s="42">
        <v>30</v>
      </c>
      <c r="C15" s="43" t="s">
        <v>208</v>
      </c>
      <c r="D15" s="43" t="s">
        <v>209</v>
      </c>
      <c r="E15" s="45" t="s">
        <v>198</v>
      </c>
      <c r="F15" s="46" t="s">
        <v>199</v>
      </c>
      <c r="G15" s="47" t="s">
        <v>200</v>
      </c>
      <c r="H15" s="69" t="s">
        <v>161</v>
      </c>
      <c r="I15" s="30" t="s">
        <v>162</v>
      </c>
      <c r="J15" s="30" t="s">
        <v>86</v>
      </c>
      <c r="K15" s="30" t="s">
        <v>174</v>
      </c>
      <c r="L15" s="30" t="s">
        <v>11</v>
      </c>
      <c r="M15" s="50"/>
      <c r="N15" s="50">
        <v>44197</v>
      </c>
      <c r="O15" s="51">
        <v>44561</v>
      </c>
      <c r="P15" s="46"/>
      <c r="Q15" s="48" t="s">
        <v>69</v>
      </c>
      <c r="R15" s="48"/>
      <c r="S15" s="52" t="s">
        <v>70</v>
      </c>
      <c r="T15" s="47">
        <v>21</v>
      </c>
      <c r="U15" s="47" t="s">
        <v>116</v>
      </c>
      <c r="V15" s="47">
        <f t="shared" ca="1" si="16"/>
        <v>48</v>
      </c>
      <c r="W15" s="53">
        <v>10514800</v>
      </c>
      <c r="X15" s="47">
        <v>192</v>
      </c>
      <c r="Y15" s="54">
        <f t="shared" si="12"/>
        <v>200.13333333333333</v>
      </c>
      <c r="Z15" s="54">
        <f t="shared" si="13"/>
        <v>3002</v>
      </c>
      <c r="AA15" s="33">
        <v>6004</v>
      </c>
      <c r="AB15" s="33">
        <v>284</v>
      </c>
      <c r="AC15" s="57"/>
      <c r="AD15" s="57"/>
      <c r="AE15" s="64"/>
      <c r="AF15" s="65"/>
      <c r="AG15" s="57"/>
      <c r="AH15" s="57"/>
      <c r="AI15" s="33">
        <v>10984</v>
      </c>
      <c r="AJ15" s="33">
        <f t="shared" si="0"/>
        <v>17272</v>
      </c>
      <c r="AK15" s="54">
        <v>0</v>
      </c>
      <c r="AL15" s="54">
        <f t="shared" si="1"/>
        <v>390.26</v>
      </c>
      <c r="AM15" s="54">
        <f t="shared" si="1"/>
        <v>780.52</v>
      </c>
      <c r="AN15" s="55">
        <f t="shared" si="14"/>
        <v>780.52</v>
      </c>
      <c r="AO15" s="56">
        <f t="shared" si="15"/>
        <v>16491.48</v>
      </c>
      <c r="AP15" s="55">
        <f t="shared" si="2"/>
        <v>9206.1333333333332</v>
      </c>
      <c r="AQ15" s="55">
        <f t="shared" si="3"/>
        <v>16842.133333333331</v>
      </c>
      <c r="AR15" s="55">
        <f t="shared" si="4"/>
        <v>1257.5999999999999</v>
      </c>
      <c r="AS15" s="55"/>
      <c r="AT15" s="55"/>
      <c r="AU15" s="55"/>
      <c r="AV15" s="57"/>
      <c r="AW15" s="57"/>
      <c r="AX15" s="57"/>
      <c r="AY15" s="55">
        <f t="shared" si="5"/>
        <v>2515.1999999999998</v>
      </c>
      <c r="AZ15" s="54">
        <v>0.26</v>
      </c>
      <c r="BA15" s="33">
        <f t="shared" si="6"/>
        <v>780.52</v>
      </c>
      <c r="BB15" s="33">
        <f t="shared" si="7"/>
        <v>1561.04</v>
      </c>
      <c r="BC15" s="58">
        <f t="shared" si="8"/>
        <v>60.04</v>
      </c>
      <c r="BD15" s="58">
        <f t="shared" si="8"/>
        <v>120.08</v>
      </c>
      <c r="BE15" s="55">
        <f t="shared" si="9"/>
        <v>518.16</v>
      </c>
      <c r="BF15" s="55">
        <f t="shared" si="10"/>
        <v>1375.0639999999999</v>
      </c>
      <c r="BG15" s="59" t="s">
        <v>203</v>
      </c>
      <c r="BH15" s="60" t="s">
        <v>204</v>
      </c>
      <c r="BI15" s="28" t="s">
        <v>205</v>
      </c>
      <c r="BJ15" s="61" t="s">
        <v>206</v>
      </c>
      <c r="BK15" s="61"/>
      <c r="BL15" s="61" t="s">
        <v>207</v>
      </c>
      <c r="BM15" s="62">
        <v>1521462404</v>
      </c>
      <c r="BN15" s="39"/>
    </row>
    <row r="16" spans="1:66" s="2" customFormat="1" ht="39.950000000000003" hidden="1" customHeight="1" x14ac:dyDescent="0.25">
      <c r="A16" s="67">
        <v>93049</v>
      </c>
      <c r="B16" s="42">
        <v>30</v>
      </c>
      <c r="C16" s="43" t="s">
        <v>210</v>
      </c>
      <c r="D16" s="43" t="s">
        <v>211</v>
      </c>
      <c r="E16" s="45" t="s">
        <v>212</v>
      </c>
      <c r="F16" s="46" t="s">
        <v>213</v>
      </c>
      <c r="G16" s="47" t="s">
        <v>214</v>
      </c>
      <c r="H16" s="69" t="s">
        <v>161</v>
      </c>
      <c r="I16" s="30" t="s">
        <v>162</v>
      </c>
      <c r="J16" s="30" t="s">
        <v>86</v>
      </c>
      <c r="K16" s="30" t="s">
        <v>174</v>
      </c>
      <c r="L16" s="30" t="s">
        <v>131</v>
      </c>
      <c r="M16" s="50">
        <v>44593</v>
      </c>
      <c r="N16" s="50">
        <v>44271</v>
      </c>
      <c r="O16" s="51"/>
      <c r="P16" s="46"/>
      <c r="Q16" s="48" t="s">
        <v>69</v>
      </c>
      <c r="R16" s="48"/>
      <c r="S16" s="52" t="s">
        <v>148</v>
      </c>
      <c r="T16" s="47">
        <v>19</v>
      </c>
      <c r="U16" s="47" t="s">
        <v>215</v>
      </c>
      <c r="V16" s="47">
        <f t="shared" ca="1" si="16"/>
        <v>57</v>
      </c>
      <c r="W16" s="53">
        <v>11405200</v>
      </c>
      <c r="X16" s="47">
        <v>192</v>
      </c>
      <c r="Y16" s="54">
        <f t="shared" si="12"/>
        <v>200.13333333333333</v>
      </c>
      <c r="Z16" s="54">
        <f t="shared" si="13"/>
        <v>3002</v>
      </c>
      <c r="AA16" s="33">
        <v>6004</v>
      </c>
      <c r="AB16" s="33">
        <v>284</v>
      </c>
      <c r="AC16" s="57"/>
      <c r="AD16" s="57"/>
      <c r="AE16" s="64"/>
      <c r="AF16" s="65"/>
      <c r="AG16" s="57"/>
      <c r="AH16" s="57"/>
      <c r="AI16" s="33">
        <v>10984</v>
      </c>
      <c r="AJ16" s="33">
        <f t="shared" si="0"/>
        <v>17272</v>
      </c>
      <c r="AK16" s="54">
        <v>0</v>
      </c>
      <c r="AL16" s="54">
        <f t="shared" si="1"/>
        <v>390.26</v>
      </c>
      <c r="AM16" s="54">
        <f t="shared" si="1"/>
        <v>780.52</v>
      </c>
      <c r="AN16" s="55">
        <f t="shared" si="14"/>
        <v>780.52</v>
      </c>
      <c r="AO16" s="56">
        <f t="shared" si="15"/>
        <v>16491.48</v>
      </c>
      <c r="AP16" s="55">
        <f t="shared" si="2"/>
        <v>9206.1333333333332</v>
      </c>
      <c r="AQ16" s="55">
        <f t="shared" si="3"/>
        <v>16842.133333333331</v>
      </c>
      <c r="AR16" s="55">
        <f t="shared" si="4"/>
        <v>1257.5999999999999</v>
      </c>
      <c r="AS16" s="55"/>
      <c r="AT16" s="55"/>
      <c r="AU16" s="55"/>
      <c r="AV16" s="57"/>
      <c r="AW16" s="57"/>
      <c r="AX16" s="57"/>
      <c r="AY16" s="55">
        <f t="shared" si="5"/>
        <v>2515.1999999999998</v>
      </c>
      <c r="AZ16" s="54">
        <v>0.19</v>
      </c>
      <c r="BA16" s="33">
        <f t="shared" si="6"/>
        <v>570.38</v>
      </c>
      <c r="BB16" s="33">
        <f t="shared" si="7"/>
        <v>1140.76</v>
      </c>
      <c r="BC16" s="58">
        <f t="shared" si="8"/>
        <v>60.04</v>
      </c>
      <c r="BD16" s="58">
        <f t="shared" si="8"/>
        <v>120.08</v>
      </c>
      <c r="BE16" s="55">
        <f t="shared" si="9"/>
        <v>518.16</v>
      </c>
      <c r="BF16" s="55">
        <f t="shared" si="10"/>
        <v>1375.0639999999999</v>
      </c>
      <c r="BG16" s="59" t="s">
        <v>216</v>
      </c>
      <c r="BH16" s="60" t="s">
        <v>217</v>
      </c>
      <c r="BI16" s="28" t="s">
        <v>218</v>
      </c>
      <c r="BJ16" s="61" t="s">
        <v>219</v>
      </c>
      <c r="BK16" s="61"/>
      <c r="BL16" s="61" t="s">
        <v>220</v>
      </c>
      <c r="BM16" s="62">
        <v>6492504364</v>
      </c>
      <c r="BN16" s="39"/>
    </row>
    <row r="17" spans="1:66" s="2" customFormat="1" ht="39.950000000000003" hidden="1" customHeight="1" x14ac:dyDescent="0.25">
      <c r="A17" s="67">
        <v>93049</v>
      </c>
      <c r="B17" s="42">
        <v>5</v>
      </c>
      <c r="C17" s="43" t="s">
        <v>211</v>
      </c>
      <c r="D17" s="44" t="s">
        <v>221</v>
      </c>
      <c r="E17" s="45" t="s">
        <v>212</v>
      </c>
      <c r="F17" s="46" t="s">
        <v>213</v>
      </c>
      <c r="G17" s="70" t="s">
        <v>222</v>
      </c>
      <c r="H17" s="69" t="s">
        <v>84</v>
      </c>
      <c r="I17" s="30" t="s">
        <v>173</v>
      </c>
      <c r="J17" s="30" t="s">
        <v>86</v>
      </c>
      <c r="K17" s="30" t="s">
        <v>174</v>
      </c>
      <c r="L17" s="30" t="s">
        <v>11</v>
      </c>
      <c r="M17" s="50"/>
      <c r="N17" s="50">
        <v>44636</v>
      </c>
      <c r="O17" s="51">
        <v>45657</v>
      </c>
      <c r="P17" s="46"/>
      <c r="Q17" s="48" t="s">
        <v>69</v>
      </c>
      <c r="R17" s="48"/>
      <c r="S17" s="52" t="s">
        <v>148</v>
      </c>
      <c r="T17" s="47">
        <v>19</v>
      </c>
      <c r="U17" s="47" t="s">
        <v>215</v>
      </c>
      <c r="V17" s="47">
        <f t="shared" ca="1" si="16"/>
        <v>57</v>
      </c>
      <c r="W17" s="53">
        <v>11405200</v>
      </c>
      <c r="X17" s="47">
        <v>192</v>
      </c>
      <c r="Y17" s="54">
        <f t="shared" si="12"/>
        <v>232.92466666666667</v>
      </c>
      <c r="Z17" s="54">
        <f t="shared" si="13"/>
        <v>3493.87</v>
      </c>
      <c r="AA17" s="33">
        <v>6987.74</v>
      </c>
      <c r="AB17" s="33">
        <v>284</v>
      </c>
      <c r="AC17" s="57"/>
      <c r="AD17" s="57"/>
      <c r="AE17" s="64"/>
      <c r="AF17" s="65"/>
      <c r="AG17" s="57"/>
      <c r="AH17" s="57"/>
      <c r="AI17" s="33">
        <v>11283.15</v>
      </c>
      <c r="AJ17" s="33">
        <f t="shared" si="0"/>
        <v>18554.89</v>
      </c>
      <c r="AK17" s="54">
        <v>0</v>
      </c>
      <c r="AL17" s="54">
        <f t="shared" si="1"/>
        <v>454.20310000000001</v>
      </c>
      <c r="AM17" s="54">
        <f t="shared" si="1"/>
        <v>908.40620000000001</v>
      </c>
      <c r="AN17" s="55">
        <f t="shared" si="14"/>
        <v>908.40620000000001</v>
      </c>
      <c r="AO17" s="56">
        <f t="shared" si="15"/>
        <v>17646.483799999998</v>
      </c>
      <c r="AP17" s="55">
        <f t="shared" si="2"/>
        <v>10714.534666666666</v>
      </c>
      <c r="AQ17" s="55">
        <f t="shared" si="3"/>
        <v>17300.829999999998</v>
      </c>
      <c r="AR17" s="55">
        <f t="shared" si="4"/>
        <v>1454.348</v>
      </c>
      <c r="AS17" s="55"/>
      <c r="AT17" s="55"/>
      <c r="AU17" s="55"/>
      <c r="AV17" s="57"/>
      <c r="AW17" s="57"/>
      <c r="AX17" s="57"/>
      <c r="AY17" s="55">
        <f t="shared" si="5"/>
        <v>2908.6959999999999</v>
      </c>
      <c r="AZ17" s="54">
        <v>0.19</v>
      </c>
      <c r="BA17" s="33">
        <f t="shared" si="6"/>
        <v>663.83529999999996</v>
      </c>
      <c r="BB17" s="33">
        <f t="shared" si="7"/>
        <v>1327.6705999999999</v>
      </c>
      <c r="BC17" s="58">
        <f t="shared" si="8"/>
        <v>69.877399999999994</v>
      </c>
      <c r="BD17" s="58">
        <f t="shared" si="8"/>
        <v>139.75479999999999</v>
      </c>
      <c r="BE17" s="55">
        <f t="shared" si="9"/>
        <v>556.64670000000001</v>
      </c>
      <c r="BF17" s="55">
        <f t="shared" si="10"/>
        <v>1484.3685199999995</v>
      </c>
      <c r="BG17" s="59" t="s">
        <v>216</v>
      </c>
      <c r="BH17" s="60" t="s">
        <v>217</v>
      </c>
      <c r="BI17" s="28">
        <v>2215922896</v>
      </c>
      <c r="BJ17" s="61" t="s">
        <v>223</v>
      </c>
      <c r="BK17" s="61" t="s">
        <v>224</v>
      </c>
      <c r="BL17" s="61" t="s">
        <v>225</v>
      </c>
      <c r="BM17" s="62" t="s">
        <v>226</v>
      </c>
      <c r="BN17" s="39"/>
    </row>
    <row r="18" spans="1:66" s="2" customFormat="1" ht="39.950000000000003" hidden="1" customHeight="1" x14ac:dyDescent="0.25">
      <c r="A18" s="67">
        <v>98996</v>
      </c>
      <c r="B18" s="42">
        <v>52</v>
      </c>
      <c r="C18" s="43" t="s">
        <v>227</v>
      </c>
      <c r="D18" s="43" t="s">
        <v>228</v>
      </c>
      <c r="E18" s="45" t="s">
        <v>229</v>
      </c>
      <c r="F18" s="46" t="s">
        <v>230</v>
      </c>
      <c r="G18" s="47" t="s">
        <v>231</v>
      </c>
      <c r="H18" s="69" t="s">
        <v>84</v>
      </c>
      <c r="I18" s="30" t="s">
        <v>85</v>
      </c>
      <c r="J18" s="30" t="s">
        <v>86</v>
      </c>
      <c r="K18" s="30" t="s">
        <v>87</v>
      </c>
      <c r="L18" s="30" t="s">
        <v>11</v>
      </c>
      <c r="M18" s="50">
        <v>44212</v>
      </c>
      <c r="N18" s="50"/>
      <c r="O18" s="51">
        <v>44439</v>
      </c>
      <c r="P18" s="46"/>
      <c r="Q18" s="48" t="s">
        <v>69</v>
      </c>
      <c r="R18" s="48"/>
      <c r="S18" s="52" t="s">
        <v>70</v>
      </c>
      <c r="T18" s="47">
        <v>6</v>
      </c>
      <c r="U18" s="47" t="s">
        <v>116</v>
      </c>
      <c r="V18" s="47">
        <f t="shared" ca="1" si="16"/>
        <v>62</v>
      </c>
      <c r="W18" s="53">
        <v>9623700</v>
      </c>
      <c r="X18" s="47">
        <v>193</v>
      </c>
      <c r="Y18" s="54">
        <f t="shared" si="12"/>
        <v>232.92466666666667</v>
      </c>
      <c r="Z18" s="54">
        <f t="shared" si="13"/>
        <v>3493.87</v>
      </c>
      <c r="AA18" s="33">
        <v>6987.74</v>
      </c>
      <c r="AB18" s="33">
        <v>284</v>
      </c>
      <c r="AC18" s="57"/>
      <c r="AD18" s="57"/>
      <c r="AE18" s="64"/>
      <c r="AF18" s="65"/>
      <c r="AG18" s="57"/>
      <c r="AH18" s="57"/>
      <c r="AI18" s="33">
        <v>11283.15</v>
      </c>
      <c r="AJ18" s="33">
        <f t="shared" si="0"/>
        <v>18554.89</v>
      </c>
      <c r="AK18" s="54">
        <v>0</v>
      </c>
      <c r="AL18" s="54">
        <f t="shared" si="1"/>
        <v>454.20310000000001</v>
      </c>
      <c r="AM18" s="54">
        <f t="shared" si="1"/>
        <v>908.40620000000001</v>
      </c>
      <c r="AN18" s="55">
        <f t="shared" si="14"/>
        <v>908.40620000000001</v>
      </c>
      <c r="AO18" s="56">
        <f t="shared" si="15"/>
        <v>17646.483799999998</v>
      </c>
      <c r="AP18" s="55">
        <f t="shared" si="2"/>
        <v>10714.534666666666</v>
      </c>
      <c r="AQ18" s="55">
        <f t="shared" si="3"/>
        <v>17300.829999999998</v>
      </c>
      <c r="AR18" s="55">
        <f t="shared" si="4"/>
        <v>1454.348</v>
      </c>
      <c r="AS18" s="55"/>
      <c r="AT18" s="55"/>
      <c r="AU18" s="55"/>
      <c r="AV18" s="57"/>
      <c r="AW18" s="57"/>
      <c r="AX18" s="57"/>
      <c r="AY18" s="55">
        <f t="shared" si="5"/>
        <v>2908.6959999999999</v>
      </c>
      <c r="AZ18" s="54">
        <v>0.19</v>
      </c>
      <c r="BA18" s="33">
        <f t="shared" si="6"/>
        <v>663.83529999999996</v>
      </c>
      <c r="BB18" s="33">
        <f t="shared" si="7"/>
        <v>1327.6705999999999</v>
      </c>
      <c r="BC18" s="58">
        <f t="shared" si="8"/>
        <v>69.877399999999994</v>
      </c>
      <c r="BD18" s="58">
        <f t="shared" si="8"/>
        <v>139.75479999999999</v>
      </c>
      <c r="BE18" s="55">
        <f t="shared" si="9"/>
        <v>556.64670000000001</v>
      </c>
      <c r="BF18" s="55">
        <f t="shared" si="10"/>
        <v>1484.3685199999995</v>
      </c>
      <c r="BG18" s="59" t="s">
        <v>232</v>
      </c>
      <c r="BH18" s="60" t="s">
        <v>233</v>
      </c>
      <c r="BI18" s="28" t="s">
        <v>234</v>
      </c>
      <c r="BJ18" s="61" t="s">
        <v>235</v>
      </c>
      <c r="BK18" s="61"/>
      <c r="BL18" s="61" t="s">
        <v>236</v>
      </c>
      <c r="BM18" s="62">
        <v>1533621339</v>
      </c>
      <c r="BN18" s="39"/>
    </row>
    <row r="19" spans="1:66" s="2" customFormat="1" ht="39.950000000000003" hidden="1" customHeight="1" x14ac:dyDescent="0.25">
      <c r="A19" s="41">
        <v>101426</v>
      </c>
      <c r="B19" s="42">
        <v>62</v>
      </c>
      <c r="C19" s="43" t="s">
        <v>237</v>
      </c>
      <c r="D19" s="43" t="s">
        <v>238</v>
      </c>
      <c r="E19" s="45" t="s">
        <v>239</v>
      </c>
      <c r="F19" s="47" t="s">
        <v>240</v>
      </c>
      <c r="G19" s="47" t="s">
        <v>241</v>
      </c>
      <c r="H19" s="48" t="s">
        <v>161</v>
      </c>
      <c r="I19" s="30" t="s">
        <v>162</v>
      </c>
      <c r="J19" s="30" t="s">
        <v>68</v>
      </c>
      <c r="K19" s="30" t="s">
        <v>242</v>
      </c>
      <c r="L19" s="30" t="s">
        <v>11</v>
      </c>
      <c r="M19" s="66">
        <v>44120</v>
      </c>
      <c r="N19" s="66">
        <v>44197</v>
      </c>
      <c r="O19" s="51"/>
      <c r="P19" s="46"/>
      <c r="Q19" s="48" t="s">
        <v>69</v>
      </c>
      <c r="R19" s="48"/>
      <c r="S19" s="52" t="s">
        <v>148</v>
      </c>
      <c r="T19" s="47">
        <v>15</v>
      </c>
      <c r="U19" s="47" t="s">
        <v>243</v>
      </c>
      <c r="V19" s="47">
        <f t="shared" ca="1" si="16"/>
        <v>46</v>
      </c>
      <c r="W19" s="53">
        <v>9860500</v>
      </c>
      <c r="X19" s="47">
        <v>190</v>
      </c>
      <c r="Y19" s="54">
        <f t="shared" si="12"/>
        <v>200.13333333333333</v>
      </c>
      <c r="Z19" s="54">
        <f t="shared" si="13"/>
        <v>3002</v>
      </c>
      <c r="AA19" s="33">
        <v>6004</v>
      </c>
      <c r="AB19" s="33">
        <v>284</v>
      </c>
      <c r="AC19" s="57"/>
      <c r="AD19" s="57"/>
      <c r="AE19" s="64"/>
      <c r="AF19" s="65"/>
      <c r="AG19" s="57"/>
      <c r="AH19" s="57"/>
      <c r="AI19" s="33">
        <v>10984</v>
      </c>
      <c r="AJ19" s="33">
        <f t="shared" si="0"/>
        <v>17272</v>
      </c>
      <c r="AK19" s="54">
        <v>0</v>
      </c>
      <c r="AL19" s="54">
        <f t="shared" si="1"/>
        <v>390.26</v>
      </c>
      <c r="AM19" s="54">
        <f t="shared" si="1"/>
        <v>780.52</v>
      </c>
      <c r="AN19" s="55">
        <f t="shared" si="14"/>
        <v>780.52</v>
      </c>
      <c r="AO19" s="56">
        <f t="shared" si="15"/>
        <v>16491.48</v>
      </c>
      <c r="AP19" s="55">
        <f t="shared" si="2"/>
        <v>9206.1333333333332</v>
      </c>
      <c r="AQ19" s="55">
        <f t="shared" si="3"/>
        <v>16842.133333333331</v>
      </c>
      <c r="AR19" s="55">
        <f t="shared" si="4"/>
        <v>1257.5999999999999</v>
      </c>
      <c r="AS19" s="71"/>
      <c r="AT19" s="71"/>
      <c r="AU19" s="71"/>
      <c r="AV19" s="57"/>
      <c r="AW19" s="57"/>
      <c r="AX19" s="57"/>
      <c r="AY19" s="55">
        <f t="shared" si="5"/>
        <v>2515.1999999999998</v>
      </c>
      <c r="AZ19" s="54">
        <v>0.26</v>
      </c>
      <c r="BA19" s="33">
        <f t="shared" si="6"/>
        <v>780.52</v>
      </c>
      <c r="BB19" s="33">
        <f t="shared" si="7"/>
        <v>1561.04</v>
      </c>
      <c r="BC19" s="58">
        <f t="shared" si="8"/>
        <v>60.04</v>
      </c>
      <c r="BD19" s="58">
        <f t="shared" si="8"/>
        <v>120.08</v>
      </c>
      <c r="BE19" s="55">
        <f t="shared" si="9"/>
        <v>518.16</v>
      </c>
      <c r="BF19" s="55">
        <f t="shared" si="10"/>
        <v>1375.0639999999999</v>
      </c>
      <c r="BG19" s="59" t="s">
        <v>244</v>
      </c>
      <c r="BH19" s="60"/>
      <c r="BI19" s="28" t="s">
        <v>245</v>
      </c>
      <c r="BJ19" s="61" t="s">
        <v>246</v>
      </c>
      <c r="BK19" s="61"/>
      <c r="BL19" s="61" t="s">
        <v>247</v>
      </c>
      <c r="BM19" s="62">
        <v>1520690577</v>
      </c>
      <c r="BN19" s="39"/>
    </row>
    <row r="20" spans="1:66" s="2" customFormat="1" ht="39.950000000000003" hidden="1" customHeight="1" x14ac:dyDescent="0.25">
      <c r="A20" s="41">
        <v>101426</v>
      </c>
      <c r="B20" s="42"/>
      <c r="C20" s="43" t="s">
        <v>238</v>
      </c>
      <c r="D20" s="43" t="s">
        <v>248</v>
      </c>
      <c r="E20" s="45" t="s">
        <v>239</v>
      </c>
      <c r="F20" s="47" t="s">
        <v>240</v>
      </c>
      <c r="G20" s="47" t="s">
        <v>241</v>
      </c>
      <c r="H20" s="48" t="s">
        <v>161</v>
      </c>
      <c r="I20" s="30" t="s">
        <v>162</v>
      </c>
      <c r="J20" s="30" t="s">
        <v>68</v>
      </c>
      <c r="K20" s="30" t="s">
        <v>68</v>
      </c>
      <c r="L20" s="30" t="s">
        <v>11</v>
      </c>
      <c r="M20" s="66"/>
      <c r="N20" s="66">
        <v>44197</v>
      </c>
      <c r="O20" s="51">
        <v>44515</v>
      </c>
      <c r="P20" s="46"/>
      <c r="Q20" s="48" t="s">
        <v>69</v>
      </c>
      <c r="R20" s="48"/>
      <c r="S20" s="52" t="s">
        <v>148</v>
      </c>
      <c r="T20" s="47">
        <v>15</v>
      </c>
      <c r="U20" s="47" t="s">
        <v>243</v>
      </c>
      <c r="V20" s="47">
        <f t="shared" ca="1" si="16"/>
        <v>46</v>
      </c>
      <c r="W20" s="53">
        <v>9860500</v>
      </c>
      <c r="X20" s="47"/>
      <c r="Y20" s="54">
        <f t="shared" si="12"/>
        <v>0</v>
      </c>
      <c r="Z20" s="54">
        <f t="shared" si="13"/>
        <v>0</v>
      </c>
      <c r="AA20" s="33"/>
      <c r="AB20" s="33"/>
      <c r="AC20" s="57"/>
      <c r="AD20" s="57"/>
      <c r="AE20" s="64"/>
      <c r="AF20" s="65"/>
      <c r="AG20" s="57"/>
      <c r="AH20" s="57"/>
      <c r="AI20" s="33"/>
      <c r="AJ20" s="33">
        <f t="shared" si="0"/>
        <v>0</v>
      </c>
      <c r="AK20" s="54">
        <v>0</v>
      </c>
      <c r="AL20" s="54">
        <f t="shared" si="1"/>
        <v>0</v>
      </c>
      <c r="AM20" s="54">
        <f t="shared" si="1"/>
        <v>0</v>
      </c>
      <c r="AN20" s="55">
        <f t="shared" si="14"/>
        <v>0</v>
      </c>
      <c r="AO20" s="56">
        <f t="shared" si="15"/>
        <v>0</v>
      </c>
      <c r="AP20" s="55">
        <f t="shared" si="2"/>
        <v>0</v>
      </c>
      <c r="AQ20" s="55">
        <f t="shared" si="3"/>
        <v>0</v>
      </c>
      <c r="AR20" s="55">
        <f t="shared" si="4"/>
        <v>0</v>
      </c>
      <c r="AS20" s="71"/>
      <c r="AT20" s="71"/>
      <c r="AU20" s="71"/>
      <c r="AV20" s="57"/>
      <c r="AW20" s="57"/>
      <c r="AX20" s="57"/>
      <c r="AY20" s="55">
        <f t="shared" si="5"/>
        <v>0</v>
      </c>
      <c r="AZ20" s="54"/>
      <c r="BA20" s="33">
        <f t="shared" si="6"/>
        <v>0</v>
      </c>
      <c r="BB20" s="33">
        <f t="shared" si="7"/>
        <v>0</v>
      </c>
      <c r="BC20" s="58">
        <f t="shared" si="8"/>
        <v>0</v>
      </c>
      <c r="BD20" s="58">
        <f t="shared" si="8"/>
        <v>0</v>
      </c>
      <c r="BE20" s="55">
        <f t="shared" si="9"/>
        <v>0</v>
      </c>
      <c r="BF20" s="55">
        <f t="shared" si="10"/>
        <v>0</v>
      </c>
      <c r="BG20" s="59"/>
      <c r="BH20" s="60"/>
      <c r="BI20" s="28"/>
      <c r="BJ20" s="61"/>
      <c r="BK20" s="61"/>
      <c r="BL20" s="61"/>
      <c r="BM20" s="62">
        <v>1520690577</v>
      </c>
      <c r="BN20" s="39"/>
    </row>
    <row r="21" spans="1:66" s="2" customFormat="1" ht="39.950000000000003" hidden="1" customHeight="1" x14ac:dyDescent="0.25">
      <c r="A21" s="41">
        <v>102549</v>
      </c>
      <c r="B21" s="42">
        <v>20</v>
      </c>
      <c r="C21" s="43" t="s">
        <v>249</v>
      </c>
      <c r="D21" s="43" t="s">
        <v>250</v>
      </c>
      <c r="E21" s="30" t="s">
        <v>251</v>
      </c>
      <c r="F21" s="46" t="s">
        <v>252</v>
      </c>
      <c r="G21" s="47" t="s">
        <v>253</v>
      </c>
      <c r="H21" s="48" t="s">
        <v>84</v>
      </c>
      <c r="I21" s="30" t="s">
        <v>254</v>
      </c>
      <c r="J21" s="30" t="s">
        <v>101</v>
      </c>
      <c r="K21" s="30" t="s">
        <v>254</v>
      </c>
      <c r="L21" s="30" t="s">
        <v>255</v>
      </c>
      <c r="M21" s="50">
        <v>44044</v>
      </c>
      <c r="N21" s="50"/>
      <c r="O21" s="51">
        <v>44196</v>
      </c>
      <c r="P21" s="46"/>
      <c r="Q21" s="48" t="s">
        <v>69</v>
      </c>
      <c r="R21" s="48"/>
      <c r="S21" s="52" t="s">
        <v>148</v>
      </c>
      <c r="T21" s="47">
        <v>7</v>
      </c>
      <c r="U21" s="47" t="s">
        <v>88</v>
      </c>
      <c r="V21" s="47">
        <f t="shared" ca="1" si="16"/>
        <v>48</v>
      </c>
      <c r="W21" s="53" t="e">
        <v>#N/A</v>
      </c>
      <c r="X21" s="47">
        <v>172</v>
      </c>
      <c r="Y21" s="54">
        <f t="shared" si="12"/>
        <v>232.92466666666667</v>
      </c>
      <c r="Z21" s="54">
        <f t="shared" si="13"/>
        <v>3493.87</v>
      </c>
      <c r="AA21" s="33">
        <v>6987.74</v>
      </c>
      <c r="AB21" s="33">
        <v>284</v>
      </c>
      <c r="AC21" s="57"/>
      <c r="AD21" s="57"/>
      <c r="AE21" s="64"/>
      <c r="AF21" s="65"/>
      <c r="AG21" s="57"/>
      <c r="AH21" s="57"/>
      <c r="AI21" s="33">
        <v>11283.15</v>
      </c>
      <c r="AJ21" s="33">
        <f t="shared" si="0"/>
        <v>18554.89</v>
      </c>
      <c r="AK21" s="54">
        <v>0</v>
      </c>
      <c r="AL21" s="54">
        <f t="shared" si="1"/>
        <v>454.20310000000001</v>
      </c>
      <c r="AM21" s="54">
        <f t="shared" si="1"/>
        <v>908.40620000000001</v>
      </c>
      <c r="AN21" s="55">
        <f t="shared" si="14"/>
        <v>908.40620000000001</v>
      </c>
      <c r="AO21" s="56">
        <f t="shared" si="15"/>
        <v>17646.483799999998</v>
      </c>
      <c r="AP21" s="55">
        <f t="shared" si="2"/>
        <v>10714.534666666666</v>
      </c>
      <c r="AQ21" s="55">
        <f t="shared" si="3"/>
        <v>17300.829999999998</v>
      </c>
      <c r="AR21" s="55">
        <f t="shared" si="4"/>
        <v>1454.348</v>
      </c>
      <c r="AS21" s="55"/>
      <c r="AT21" s="55"/>
      <c r="AU21" s="55"/>
      <c r="AV21" s="57"/>
      <c r="AW21" s="57"/>
      <c r="AX21" s="57"/>
      <c r="AY21" s="55">
        <f t="shared" si="5"/>
        <v>2908.6959999999999</v>
      </c>
      <c r="AZ21" s="54">
        <v>0.26</v>
      </c>
      <c r="BA21" s="33">
        <f t="shared" si="6"/>
        <v>908.40620000000001</v>
      </c>
      <c r="BB21" s="33">
        <f t="shared" si="7"/>
        <v>1816.8124</v>
      </c>
      <c r="BC21" s="58">
        <f t="shared" si="8"/>
        <v>69.877399999999994</v>
      </c>
      <c r="BD21" s="58">
        <f t="shared" si="8"/>
        <v>139.75479999999999</v>
      </c>
      <c r="BE21" s="55">
        <f t="shared" si="9"/>
        <v>556.64670000000001</v>
      </c>
      <c r="BF21" s="55">
        <f t="shared" si="10"/>
        <v>1484.3685199999995</v>
      </c>
      <c r="BG21" s="59" t="s">
        <v>256</v>
      </c>
      <c r="BH21" s="60" t="s">
        <v>257</v>
      </c>
      <c r="BI21" s="28" t="s">
        <v>258</v>
      </c>
      <c r="BJ21" s="61" t="s">
        <v>259</v>
      </c>
      <c r="BK21" s="61"/>
      <c r="BL21" s="61" t="s">
        <v>260</v>
      </c>
      <c r="BM21" s="62" t="s">
        <v>261</v>
      </c>
      <c r="BN21" s="39"/>
    </row>
    <row r="22" spans="1:66" s="2" customFormat="1" ht="39.950000000000003" hidden="1" customHeight="1" x14ac:dyDescent="0.2">
      <c r="A22" s="41">
        <v>104194</v>
      </c>
      <c r="B22" s="42">
        <v>19</v>
      </c>
      <c r="C22" s="43" t="s">
        <v>262</v>
      </c>
      <c r="D22" s="44" t="s">
        <v>263</v>
      </c>
      <c r="E22" s="30" t="s">
        <v>264</v>
      </c>
      <c r="F22" s="46" t="s">
        <v>265</v>
      </c>
      <c r="G22" s="47" t="s">
        <v>266</v>
      </c>
      <c r="H22" s="48" t="s">
        <v>267</v>
      </c>
      <c r="I22" s="30" t="s">
        <v>268</v>
      </c>
      <c r="J22" s="30" t="s">
        <v>268</v>
      </c>
      <c r="K22" s="30" t="s">
        <v>268</v>
      </c>
      <c r="L22" s="30" t="s">
        <v>11</v>
      </c>
      <c r="M22" s="50">
        <v>44044</v>
      </c>
      <c r="N22" s="50"/>
      <c r="O22" s="51">
        <v>45657</v>
      </c>
      <c r="P22" s="46"/>
      <c r="Q22" s="48" t="s">
        <v>69</v>
      </c>
      <c r="R22" s="48"/>
      <c r="S22" s="52" t="s">
        <v>148</v>
      </c>
      <c r="T22" s="47">
        <v>18</v>
      </c>
      <c r="U22" s="47" t="s">
        <v>243</v>
      </c>
      <c r="V22" s="47">
        <f t="shared" ca="1" si="16"/>
        <v>29</v>
      </c>
      <c r="W22" s="53">
        <v>10752700</v>
      </c>
      <c r="X22" s="47">
        <v>171</v>
      </c>
      <c r="Y22" s="54">
        <f t="shared" si="12"/>
        <v>264.86533333333335</v>
      </c>
      <c r="Z22" s="54">
        <f t="shared" si="13"/>
        <v>3972.98</v>
      </c>
      <c r="AA22" s="33">
        <v>7945.96</v>
      </c>
      <c r="AB22" s="33">
        <v>284</v>
      </c>
      <c r="AC22" s="57"/>
      <c r="AD22" s="57"/>
      <c r="AE22" s="64"/>
      <c r="AF22" s="65"/>
      <c r="AG22" s="57"/>
      <c r="AH22" s="57"/>
      <c r="AI22" s="33">
        <v>18000</v>
      </c>
      <c r="AJ22" s="33">
        <f t="shared" si="0"/>
        <v>26229.96</v>
      </c>
      <c r="AK22" s="54">
        <v>0</v>
      </c>
      <c r="AL22" s="54">
        <f t="shared" si="1"/>
        <v>516.48739999999998</v>
      </c>
      <c r="AM22" s="54">
        <f t="shared" si="1"/>
        <v>1032.9748</v>
      </c>
      <c r="AN22" s="55">
        <f t="shared" si="14"/>
        <v>1032.9748</v>
      </c>
      <c r="AO22" s="56">
        <f t="shared" si="15"/>
        <v>25196.985199999999</v>
      </c>
      <c r="AP22" s="55">
        <f t="shared" si="2"/>
        <v>12183.805333333334</v>
      </c>
      <c r="AQ22" s="55">
        <f t="shared" si="3"/>
        <v>27600</v>
      </c>
      <c r="AR22" s="55">
        <f t="shared" si="4"/>
        <v>1645.992</v>
      </c>
      <c r="AS22" s="55"/>
      <c r="AT22" s="55"/>
      <c r="AU22" s="55"/>
      <c r="AV22" s="57"/>
      <c r="AW22" s="57"/>
      <c r="AX22" s="57"/>
      <c r="AY22" s="55">
        <f t="shared" si="5"/>
        <v>3291.9839999999999</v>
      </c>
      <c r="AZ22" s="54">
        <v>0.26</v>
      </c>
      <c r="BA22" s="33">
        <f t="shared" si="6"/>
        <v>1032.9748</v>
      </c>
      <c r="BB22" s="33">
        <f t="shared" si="7"/>
        <v>2065.9495999999999</v>
      </c>
      <c r="BC22" s="58">
        <f t="shared" si="8"/>
        <v>79.459600000000009</v>
      </c>
      <c r="BD22" s="58">
        <f t="shared" si="8"/>
        <v>158.91920000000002</v>
      </c>
      <c r="BE22" s="55">
        <f t="shared" si="9"/>
        <v>786.89879999999994</v>
      </c>
      <c r="BF22" s="55">
        <f t="shared" si="10"/>
        <v>2079.1724799999997</v>
      </c>
      <c r="BG22" s="59" t="s">
        <v>269</v>
      </c>
      <c r="BH22" s="72" t="s">
        <v>270</v>
      </c>
      <c r="BI22" s="28" t="s">
        <v>271</v>
      </c>
      <c r="BJ22" s="61" t="s">
        <v>272</v>
      </c>
      <c r="BK22" s="61"/>
      <c r="BL22" s="61" t="s">
        <v>273</v>
      </c>
      <c r="BM22" s="62" t="s">
        <v>274</v>
      </c>
      <c r="BN22" s="39"/>
    </row>
    <row r="23" spans="1:66" s="2" customFormat="1" ht="39.950000000000003" hidden="1" customHeight="1" x14ac:dyDescent="0.2">
      <c r="A23" s="41">
        <v>104559</v>
      </c>
      <c r="B23" s="42">
        <v>16</v>
      </c>
      <c r="C23" s="43" t="s">
        <v>275</v>
      </c>
      <c r="D23" s="43" t="s">
        <v>276</v>
      </c>
      <c r="E23" s="30" t="s">
        <v>277</v>
      </c>
      <c r="F23" s="73" t="s">
        <v>278</v>
      </c>
      <c r="G23" s="73" t="s">
        <v>279</v>
      </c>
      <c r="H23" s="48" t="s">
        <v>65</v>
      </c>
      <c r="I23" s="30" t="s">
        <v>66</v>
      </c>
      <c r="J23" s="30" t="s">
        <v>280</v>
      </c>
      <c r="K23" s="30" t="s">
        <v>280</v>
      </c>
      <c r="L23" s="30" t="s">
        <v>11</v>
      </c>
      <c r="M23" s="50">
        <v>44044</v>
      </c>
      <c r="N23" s="50"/>
      <c r="O23" s="51">
        <v>44255</v>
      </c>
      <c r="P23" s="74">
        <v>44291</v>
      </c>
      <c r="Q23" s="48" t="s">
        <v>69</v>
      </c>
      <c r="R23" s="48"/>
      <c r="S23" s="52" t="s">
        <v>70</v>
      </c>
      <c r="T23" s="47">
        <v>28</v>
      </c>
      <c r="U23" s="47" t="s">
        <v>175</v>
      </c>
      <c r="V23" s="47">
        <f t="shared" ca="1" si="16"/>
        <v>63</v>
      </c>
      <c r="W23" s="53">
        <v>10298600</v>
      </c>
      <c r="X23" s="47">
        <v>168</v>
      </c>
      <c r="Y23" s="54">
        <f t="shared" si="12"/>
        <v>264.86533333333335</v>
      </c>
      <c r="Z23" s="54">
        <f t="shared" si="13"/>
        <v>3972.98</v>
      </c>
      <c r="AA23" s="33">
        <v>7945.96</v>
      </c>
      <c r="AB23" s="33">
        <v>284</v>
      </c>
      <c r="AC23" s="57"/>
      <c r="AD23" s="57"/>
      <c r="AE23" s="64"/>
      <c r="AF23" s="33"/>
      <c r="AG23" s="57"/>
      <c r="AH23" s="57"/>
      <c r="AI23" s="33">
        <v>15000</v>
      </c>
      <c r="AJ23" s="33">
        <f t="shared" si="0"/>
        <v>23229.96</v>
      </c>
      <c r="AK23" s="54">
        <v>0</v>
      </c>
      <c r="AL23" s="54">
        <f t="shared" si="1"/>
        <v>516.48739999999998</v>
      </c>
      <c r="AM23" s="54">
        <f t="shared" si="1"/>
        <v>1032.9748</v>
      </c>
      <c r="AN23" s="55">
        <f t="shared" si="14"/>
        <v>1032.9748</v>
      </c>
      <c r="AO23" s="56">
        <f t="shared" si="15"/>
        <v>22196.985199999999</v>
      </c>
      <c r="AP23" s="55">
        <f t="shared" si="2"/>
        <v>12183.805333333334</v>
      </c>
      <c r="AQ23" s="55">
        <f t="shared" si="3"/>
        <v>23000</v>
      </c>
      <c r="AR23" s="55">
        <f t="shared" si="4"/>
        <v>1645.992</v>
      </c>
      <c r="AS23" s="55"/>
      <c r="AT23" s="55"/>
      <c r="AU23" s="55"/>
      <c r="AV23" s="57"/>
      <c r="AW23" s="57"/>
      <c r="AX23" s="57"/>
      <c r="AY23" s="55">
        <f t="shared" si="5"/>
        <v>3291.9839999999999</v>
      </c>
      <c r="AZ23" s="54">
        <v>0.19</v>
      </c>
      <c r="BA23" s="33">
        <f t="shared" si="6"/>
        <v>754.86620000000005</v>
      </c>
      <c r="BB23" s="33">
        <f t="shared" si="7"/>
        <v>1509.7324000000001</v>
      </c>
      <c r="BC23" s="58">
        <f t="shared" si="8"/>
        <v>79.459600000000009</v>
      </c>
      <c r="BD23" s="58">
        <f t="shared" si="8"/>
        <v>158.91920000000002</v>
      </c>
      <c r="BE23" s="55">
        <f t="shared" si="9"/>
        <v>696.89879999999994</v>
      </c>
      <c r="BF23" s="55">
        <f t="shared" si="10"/>
        <v>1851.1724799999997</v>
      </c>
      <c r="BG23" s="60" t="s">
        <v>281</v>
      </c>
      <c r="BH23" s="60" t="s">
        <v>282</v>
      </c>
      <c r="BI23" s="28" t="s">
        <v>283</v>
      </c>
      <c r="BJ23" s="61" t="s">
        <v>284</v>
      </c>
      <c r="BK23" s="61"/>
      <c r="BL23" s="61" t="s">
        <v>285</v>
      </c>
      <c r="BM23" s="62" t="s">
        <v>286</v>
      </c>
      <c r="BN23" s="39"/>
    </row>
    <row r="24" spans="1:66" s="2" customFormat="1" ht="39.950000000000003" hidden="1" customHeight="1" x14ac:dyDescent="0.25">
      <c r="A24" s="41">
        <v>104559</v>
      </c>
      <c r="B24" s="42">
        <v>16</v>
      </c>
      <c r="C24" s="43" t="s">
        <v>287</v>
      </c>
      <c r="D24" s="43" t="s">
        <v>288</v>
      </c>
      <c r="E24" s="30" t="s">
        <v>277</v>
      </c>
      <c r="F24" s="46" t="s">
        <v>278</v>
      </c>
      <c r="G24" s="47" t="s">
        <v>279</v>
      </c>
      <c r="H24" s="48" t="s">
        <v>65</v>
      </c>
      <c r="I24" s="30" t="s">
        <v>66</v>
      </c>
      <c r="J24" s="30" t="s">
        <v>280</v>
      </c>
      <c r="K24" s="30" t="s">
        <v>280</v>
      </c>
      <c r="L24" s="30" t="s">
        <v>11</v>
      </c>
      <c r="M24" s="50">
        <v>44044</v>
      </c>
      <c r="N24" s="50"/>
      <c r="O24" s="51">
        <v>44628</v>
      </c>
      <c r="P24" s="74"/>
      <c r="Q24" s="48" t="s">
        <v>69</v>
      </c>
      <c r="R24" s="48"/>
      <c r="S24" s="52" t="s">
        <v>70</v>
      </c>
      <c r="T24" s="47">
        <v>28</v>
      </c>
      <c r="U24" s="47" t="s">
        <v>175</v>
      </c>
      <c r="V24" s="47">
        <f t="shared" ca="1" si="16"/>
        <v>63</v>
      </c>
      <c r="W24" s="53">
        <v>10298600</v>
      </c>
      <c r="X24" s="47">
        <v>168</v>
      </c>
      <c r="Y24" s="54">
        <f t="shared" si="12"/>
        <v>264.86533333333335</v>
      </c>
      <c r="Z24" s="54">
        <f t="shared" si="13"/>
        <v>3972.98</v>
      </c>
      <c r="AA24" s="33">
        <v>7945.96</v>
      </c>
      <c r="AB24" s="33">
        <v>284</v>
      </c>
      <c r="AC24" s="57"/>
      <c r="AD24" s="57"/>
      <c r="AE24" s="64"/>
      <c r="AF24" s="33"/>
      <c r="AG24" s="57"/>
      <c r="AH24" s="57"/>
      <c r="AI24" s="33">
        <v>15000</v>
      </c>
      <c r="AJ24" s="33">
        <f t="shared" si="0"/>
        <v>23229.96</v>
      </c>
      <c r="AK24" s="54">
        <v>0</v>
      </c>
      <c r="AL24" s="54">
        <f t="shared" si="1"/>
        <v>516.48739999999998</v>
      </c>
      <c r="AM24" s="54">
        <f t="shared" si="1"/>
        <v>1032.9748</v>
      </c>
      <c r="AN24" s="55">
        <f t="shared" si="14"/>
        <v>1032.9748</v>
      </c>
      <c r="AO24" s="56">
        <f t="shared" si="15"/>
        <v>22196.985199999999</v>
      </c>
      <c r="AP24" s="55">
        <f t="shared" si="2"/>
        <v>12183.805333333334</v>
      </c>
      <c r="AQ24" s="55">
        <f t="shared" si="3"/>
        <v>23000</v>
      </c>
      <c r="AR24" s="55">
        <f t="shared" si="4"/>
        <v>1645.992</v>
      </c>
      <c r="AS24" s="55"/>
      <c r="AT24" s="55"/>
      <c r="AU24" s="55"/>
      <c r="AV24" s="57"/>
      <c r="AW24" s="57"/>
      <c r="AX24" s="57"/>
      <c r="AY24" s="55">
        <f t="shared" si="5"/>
        <v>3291.9839999999999</v>
      </c>
      <c r="AZ24" s="54">
        <v>0.19</v>
      </c>
      <c r="BA24" s="33">
        <f t="shared" si="6"/>
        <v>754.86620000000005</v>
      </c>
      <c r="BB24" s="33">
        <f t="shared" si="7"/>
        <v>1509.7324000000001</v>
      </c>
      <c r="BC24" s="58">
        <f t="shared" si="8"/>
        <v>79.459600000000009</v>
      </c>
      <c r="BD24" s="58">
        <f t="shared" si="8"/>
        <v>158.91920000000002</v>
      </c>
      <c r="BE24" s="55">
        <f t="shared" si="9"/>
        <v>696.89879999999994</v>
      </c>
      <c r="BF24" s="55">
        <f t="shared" si="10"/>
        <v>1851.1724799999997</v>
      </c>
      <c r="BG24" s="60" t="s">
        <v>281</v>
      </c>
      <c r="BH24" s="60" t="s">
        <v>282</v>
      </c>
      <c r="BI24" s="28" t="s">
        <v>283</v>
      </c>
      <c r="BJ24" s="61" t="s">
        <v>284</v>
      </c>
      <c r="BK24" s="61"/>
      <c r="BL24" s="61" t="s">
        <v>285</v>
      </c>
      <c r="BM24" s="62" t="s">
        <v>286</v>
      </c>
      <c r="BN24" s="39"/>
    </row>
    <row r="25" spans="1:66" s="2" customFormat="1" ht="39.950000000000003" hidden="1" customHeight="1" x14ac:dyDescent="0.2">
      <c r="A25" s="67">
        <v>104854</v>
      </c>
      <c r="B25" s="42">
        <v>82</v>
      </c>
      <c r="C25" s="43" t="s">
        <v>289</v>
      </c>
      <c r="D25" s="43" t="s">
        <v>290</v>
      </c>
      <c r="E25" s="30" t="s">
        <v>291</v>
      </c>
      <c r="F25" s="46" t="s">
        <v>292</v>
      </c>
      <c r="G25" s="47" t="s">
        <v>293</v>
      </c>
      <c r="H25" s="48" t="s">
        <v>201</v>
      </c>
      <c r="I25" s="30" t="s">
        <v>162</v>
      </c>
      <c r="J25" s="30" t="s">
        <v>86</v>
      </c>
      <c r="K25" s="30" t="s">
        <v>174</v>
      </c>
      <c r="L25" s="30" t="s">
        <v>131</v>
      </c>
      <c r="M25" s="66">
        <v>44166</v>
      </c>
      <c r="N25" s="50">
        <v>44561</v>
      </c>
      <c r="O25" s="51"/>
      <c r="P25" s="74"/>
      <c r="Q25" s="48" t="s">
        <v>69</v>
      </c>
      <c r="R25" s="48"/>
      <c r="S25" s="52" t="s">
        <v>148</v>
      </c>
      <c r="T25" s="47">
        <v>23</v>
      </c>
      <c r="U25" s="47" t="s">
        <v>243</v>
      </c>
      <c r="V25" s="47">
        <f t="shared" ca="1" si="16"/>
        <v>48</v>
      </c>
      <c r="W25" s="53">
        <v>10811000</v>
      </c>
      <c r="X25" s="47">
        <v>191</v>
      </c>
      <c r="Y25" s="54">
        <f t="shared" si="12"/>
        <v>153.1</v>
      </c>
      <c r="Z25" s="54">
        <f t="shared" si="13"/>
        <v>2296.5</v>
      </c>
      <c r="AA25" s="33">
        <v>4593</v>
      </c>
      <c r="AB25" s="33">
        <v>311</v>
      </c>
      <c r="AC25" s="57"/>
      <c r="AD25" s="57"/>
      <c r="AE25" s="57"/>
      <c r="AF25" s="68"/>
      <c r="AG25" s="57"/>
      <c r="AH25" s="57"/>
      <c r="AI25" s="33">
        <v>6500</v>
      </c>
      <c r="AJ25" s="33">
        <f t="shared" si="0"/>
        <v>11404</v>
      </c>
      <c r="AK25" s="54">
        <v>0</v>
      </c>
      <c r="AL25" s="54">
        <f t="shared" si="1"/>
        <v>298.54500000000002</v>
      </c>
      <c r="AM25" s="54">
        <f t="shared" si="1"/>
        <v>597.09</v>
      </c>
      <c r="AN25" s="55">
        <f t="shared" si="14"/>
        <v>597.09</v>
      </c>
      <c r="AO25" s="56">
        <f t="shared" si="15"/>
        <v>10806.91</v>
      </c>
      <c r="AP25" s="55">
        <f t="shared" si="2"/>
        <v>7042.5999999999995</v>
      </c>
      <c r="AQ25" s="55">
        <f t="shared" si="3"/>
        <v>9966.6666666666661</v>
      </c>
      <c r="AR25" s="55">
        <f t="shared" si="4"/>
        <v>980.8</v>
      </c>
      <c r="AS25" s="55"/>
      <c r="AT25" s="55"/>
      <c r="AU25" s="55"/>
      <c r="AV25" s="57"/>
      <c r="AW25" s="57"/>
      <c r="AX25" s="57"/>
      <c r="AY25" s="55">
        <f t="shared" si="5"/>
        <v>1961.6</v>
      </c>
      <c r="AZ25" s="54">
        <v>0.26</v>
      </c>
      <c r="BA25" s="33">
        <f t="shared" si="6"/>
        <v>597.09</v>
      </c>
      <c r="BB25" s="33">
        <f t="shared" si="7"/>
        <v>1194.18</v>
      </c>
      <c r="BC25" s="58">
        <f t="shared" si="8"/>
        <v>45.93</v>
      </c>
      <c r="BD25" s="58">
        <f t="shared" si="8"/>
        <v>91.86</v>
      </c>
      <c r="BE25" s="55">
        <f t="shared" si="9"/>
        <v>342.12</v>
      </c>
      <c r="BF25" s="55">
        <f t="shared" si="10"/>
        <v>911.24599999999975</v>
      </c>
      <c r="BG25" s="60" t="s">
        <v>294</v>
      </c>
      <c r="BH25" s="59" t="s">
        <v>295</v>
      </c>
      <c r="BI25" s="28" t="s">
        <v>296</v>
      </c>
      <c r="BJ25" s="75" t="s">
        <v>297</v>
      </c>
      <c r="BK25" s="75"/>
      <c r="BL25" s="61" t="s">
        <v>298</v>
      </c>
      <c r="BM25" s="62">
        <v>1565866904</v>
      </c>
      <c r="BN25" s="39"/>
    </row>
    <row r="26" spans="1:66" s="2" customFormat="1" ht="39.950000000000003" hidden="1" customHeight="1" x14ac:dyDescent="0.2">
      <c r="A26" s="67">
        <v>104854</v>
      </c>
      <c r="B26" s="42">
        <v>56</v>
      </c>
      <c r="C26" s="43" t="s">
        <v>290</v>
      </c>
      <c r="D26" s="43" t="s">
        <v>299</v>
      </c>
      <c r="E26" s="30" t="s">
        <v>291</v>
      </c>
      <c r="F26" s="46" t="s">
        <v>292</v>
      </c>
      <c r="G26" s="47" t="s">
        <v>293</v>
      </c>
      <c r="H26" s="48" t="s">
        <v>161</v>
      </c>
      <c r="I26" s="30" t="s">
        <v>162</v>
      </c>
      <c r="J26" s="30" t="s">
        <v>86</v>
      </c>
      <c r="K26" s="30" t="s">
        <v>174</v>
      </c>
      <c r="L26" s="30" t="s">
        <v>11</v>
      </c>
      <c r="M26" s="66"/>
      <c r="N26" s="66">
        <v>44197</v>
      </c>
      <c r="O26" s="66">
        <v>44666</v>
      </c>
      <c r="P26" s="46"/>
      <c r="Q26" s="48" t="s">
        <v>69</v>
      </c>
      <c r="R26" s="48"/>
      <c r="S26" s="52" t="s">
        <v>148</v>
      </c>
      <c r="T26" s="47">
        <v>23</v>
      </c>
      <c r="U26" s="47" t="s">
        <v>243</v>
      </c>
      <c r="V26" s="47">
        <f t="shared" ca="1" si="16"/>
        <v>48</v>
      </c>
      <c r="W26" s="53">
        <v>10811000</v>
      </c>
      <c r="X26" s="47">
        <v>192</v>
      </c>
      <c r="Y26" s="54">
        <f t="shared" si="12"/>
        <v>200.13333333333333</v>
      </c>
      <c r="Z26" s="54">
        <f t="shared" si="13"/>
        <v>3002</v>
      </c>
      <c r="AA26" s="33">
        <v>6004</v>
      </c>
      <c r="AB26" s="33">
        <v>284</v>
      </c>
      <c r="AC26" s="57"/>
      <c r="AD26" s="57"/>
      <c r="AE26" s="64"/>
      <c r="AF26" s="65"/>
      <c r="AG26" s="57"/>
      <c r="AH26" s="57"/>
      <c r="AI26" s="33">
        <v>7000</v>
      </c>
      <c r="AJ26" s="33">
        <f t="shared" si="0"/>
        <v>13288</v>
      </c>
      <c r="AK26" s="54">
        <v>0</v>
      </c>
      <c r="AL26" s="54">
        <f t="shared" si="1"/>
        <v>390.26</v>
      </c>
      <c r="AM26" s="54">
        <f t="shared" si="1"/>
        <v>780.52</v>
      </c>
      <c r="AN26" s="55">
        <f t="shared" si="14"/>
        <v>780.52</v>
      </c>
      <c r="AO26" s="56">
        <f t="shared" si="15"/>
        <v>12507.48</v>
      </c>
      <c r="AP26" s="55">
        <f t="shared" si="2"/>
        <v>9206.1333333333332</v>
      </c>
      <c r="AQ26" s="55">
        <f t="shared" si="3"/>
        <v>10733.333333333334</v>
      </c>
      <c r="AR26" s="55">
        <f t="shared" si="4"/>
        <v>1257.5999999999999</v>
      </c>
      <c r="AS26" s="55"/>
      <c r="AT26" s="55"/>
      <c r="AU26" s="55"/>
      <c r="AV26" s="57"/>
      <c r="AW26" s="57"/>
      <c r="AX26" s="57"/>
      <c r="AY26" s="55">
        <f t="shared" si="5"/>
        <v>2515.1999999999998</v>
      </c>
      <c r="AZ26" s="54">
        <v>0.26</v>
      </c>
      <c r="BA26" s="33">
        <f t="shared" si="6"/>
        <v>780.52</v>
      </c>
      <c r="BB26" s="33">
        <f t="shared" si="7"/>
        <v>1561.04</v>
      </c>
      <c r="BC26" s="58">
        <f t="shared" si="8"/>
        <v>60.04</v>
      </c>
      <c r="BD26" s="58">
        <f t="shared" si="8"/>
        <v>120.08</v>
      </c>
      <c r="BE26" s="55">
        <f t="shared" si="9"/>
        <v>398.64</v>
      </c>
      <c r="BF26" s="55">
        <f t="shared" si="10"/>
        <v>1072.28</v>
      </c>
      <c r="BG26" s="60" t="s">
        <v>294</v>
      </c>
      <c r="BH26" s="60" t="s">
        <v>295</v>
      </c>
      <c r="BI26" s="28" t="s">
        <v>296</v>
      </c>
      <c r="BJ26" s="75" t="s">
        <v>297</v>
      </c>
      <c r="BK26" s="75"/>
      <c r="BL26" s="61" t="s">
        <v>298</v>
      </c>
      <c r="BM26" s="62">
        <v>1565866904</v>
      </c>
      <c r="BN26" s="39"/>
    </row>
    <row r="27" spans="1:66" s="2" customFormat="1" ht="39.950000000000003" hidden="1" customHeight="1" x14ac:dyDescent="0.2">
      <c r="A27" s="41">
        <v>105110</v>
      </c>
      <c r="B27" s="42">
        <v>10</v>
      </c>
      <c r="C27" s="43" t="s">
        <v>300</v>
      </c>
      <c r="D27" s="43" t="s">
        <v>301</v>
      </c>
      <c r="E27" s="30" t="s">
        <v>302</v>
      </c>
      <c r="F27" s="46" t="s">
        <v>303</v>
      </c>
      <c r="G27" s="47" t="s">
        <v>304</v>
      </c>
      <c r="H27" s="48" t="s">
        <v>161</v>
      </c>
      <c r="I27" s="30" t="s">
        <v>162</v>
      </c>
      <c r="J27" s="30" t="s">
        <v>86</v>
      </c>
      <c r="K27" s="30" t="s">
        <v>87</v>
      </c>
      <c r="L27" s="30" t="s">
        <v>131</v>
      </c>
      <c r="M27" s="66">
        <v>44393</v>
      </c>
      <c r="N27" s="66">
        <v>44454</v>
      </c>
      <c r="O27" s="47"/>
      <c r="P27" s="46"/>
      <c r="Q27" s="48" t="s">
        <v>69</v>
      </c>
      <c r="R27" s="48"/>
      <c r="S27" s="52" t="s">
        <v>148</v>
      </c>
      <c r="T27" s="47">
        <v>10</v>
      </c>
      <c r="U27" s="47" t="s">
        <v>305</v>
      </c>
      <c r="V27" s="47">
        <f t="shared" ca="1" si="16"/>
        <v>32</v>
      </c>
      <c r="W27" s="53">
        <v>10754300</v>
      </c>
      <c r="X27" s="47">
        <v>193</v>
      </c>
      <c r="Y27" s="54">
        <f t="shared" si="12"/>
        <v>200.13333333333333</v>
      </c>
      <c r="Z27" s="54">
        <f t="shared" si="13"/>
        <v>3002</v>
      </c>
      <c r="AA27" s="33">
        <v>6004</v>
      </c>
      <c r="AB27" s="33">
        <v>284</v>
      </c>
      <c r="AC27" s="57"/>
      <c r="AD27" s="57"/>
      <c r="AE27" s="64"/>
      <c r="AF27" s="65"/>
      <c r="AG27" s="57"/>
      <c r="AH27" s="57"/>
      <c r="AI27" s="33">
        <v>7000</v>
      </c>
      <c r="AJ27" s="33">
        <f t="shared" si="0"/>
        <v>13288</v>
      </c>
      <c r="AK27" s="54">
        <v>0</v>
      </c>
      <c r="AL27" s="54">
        <f t="shared" si="1"/>
        <v>390.26</v>
      </c>
      <c r="AM27" s="54">
        <f t="shared" si="1"/>
        <v>780.52</v>
      </c>
      <c r="AN27" s="55">
        <f t="shared" si="14"/>
        <v>780.52</v>
      </c>
      <c r="AO27" s="56">
        <f t="shared" si="15"/>
        <v>12507.48</v>
      </c>
      <c r="AP27" s="55">
        <f t="shared" si="2"/>
        <v>9206.1333333333332</v>
      </c>
      <c r="AQ27" s="55">
        <f t="shared" si="3"/>
        <v>10733.333333333334</v>
      </c>
      <c r="AR27" s="55">
        <f t="shared" si="4"/>
        <v>1257.5999999999999</v>
      </c>
      <c r="AS27" s="55"/>
      <c r="AT27" s="55"/>
      <c r="AU27" s="55"/>
      <c r="AV27" s="57"/>
      <c r="AW27" s="57"/>
      <c r="AX27" s="57"/>
      <c r="AY27" s="55">
        <f t="shared" si="5"/>
        <v>2515.1999999999998</v>
      </c>
      <c r="AZ27" s="54">
        <v>0.26</v>
      </c>
      <c r="BA27" s="33">
        <f t="shared" si="6"/>
        <v>780.52</v>
      </c>
      <c r="BB27" s="33">
        <f t="shared" si="7"/>
        <v>1561.04</v>
      </c>
      <c r="BC27" s="58">
        <f t="shared" si="8"/>
        <v>60.04</v>
      </c>
      <c r="BD27" s="58">
        <f t="shared" si="8"/>
        <v>120.08</v>
      </c>
      <c r="BE27" s="55">
        <f t="shared" si="9"/>
        <v>398.64</v>
      </c>
      <c r="BF27" s="55">
        <f t="shared" si="10"/>
        <v>1072.28</v>
      </c>
      <c r="BG27" s="59" t="s">
        <v>306</v>
      </c>
      <c r="BH27" s="72" t="s">
        <v>307</v>
      </c>
      <c r="BI27" s="76">
        <v>2217700456</v>
      </c>
      <c r="BJ27" s="75" t="s">
        <v>308</v>
      </c>
      <c r="BK27" s="75"/>
      <c r="BL27" s="61" t="s">
        <v>207</v>
      </c>
      <c r="BM27" s="62" t="s">
        <v>309</v>
      </c>
      <c r="BN27" s="39"/>
    </row>
    <row r="28" spans="1:66" s="2" customFormat="1" ht="39.950000000000003" hidden="1" customHeight="1" x14ac:dyDescent="0.2">
      <c r="A28" s="41">
        <v>105110</v>
      </c>
      <c r="B28" s="42">
        <v>52</v>
      </c>
      <c r="C28" s="43" t="s">
        <v>301</v>
      </c>
      <c r="D28" s="43" t="s">
        <v>310</v>
      </c>
      <c r="E28" s="30" t="s">
        <v>302</v>
      </c>
      <c r="F28" s="46" t="s">
        <v>303</v>
      </c>
      <c r="G28" s="47" t="s">
        <v>304</v>
      </c>
      <c r="H28" s="48" t="s">
        <v>84</v>
      </c>
      <c r="I28" s="30" t="s">
        <v>311</v>
      </c>
      <c r="J28" s="30" t="s">
        <v>86</v>
      </c>
      <c r="K28" s="30" t="s">
        <v>87</v>
      </c>
      <c r="L28" s="30" t="s">
        <v>131</v>
      </c>
      <c r="M28" s="66"/>
      <c r="N28" s="66">
        <v>44455</v>
      </c>
      <c r="O28" s="47"/>
      <c r="P28" s="46"/>
      <c r="Q28" s="48" t="s">
        <v>69</v>
      </c>
      <c r="R28" s="48"/>
      <c r="S28" s="52" t="s">
        <v>148</v>
      </c>
      <c r="T28" s="47">
        <v>10</v>
      </c>
      <c r="U28" s="47" t="s">
        <v>305</v>
      </c>
      <c r="V28" s="47">
        <f t="shared" ca="1" si="16"/>
        <v>32</v>
      </c>
      <c r="W28" s="53">
        <v>10754300</v>
      </c>
      <c r="X28" s="47">
        <v>193</v>
      </c>
      <c r="Y28" s="54">
        <f t="shared" si="12"/>
        <v>232.92466666666667</v>
      </c>
      <c r="Z28" s="54">
        <f t="shared" si="13"/>
        <v>3493.87</v>
      </c>
      <c r="AA28" s="33">
        <v>6987.74</v>
      </c>
      <c r="AB28" s="33">
        <v>284</v>
      </c>
      <c r="AC28" s="57"/>
      <c r="AD28" s="57"/>
      <c r="AE28" s="64"/>
      <c r="AF28" s="65"/>
      <c r="AG28" s="57"/>
      <c r="AH28" s="57"/>
      <c r="AI28" s="33">
        <v>11283.15</v>
      </c>
      <c r="AJ28" s="33">
        <f t="shared" si="0"/>
        <v>18554.89</v>
      </c>
      <c r="AK28" s="54">
        <v>0</v>
      </c>
      <c r="AL28" s="54">
        <f t="shared" si="1"/>
        <v>454.20310000000001</v>
      </c>
      <c r="AM28" s="54">
        <f t="shared" si="1"/>
        <v>908.40620000000001</v>
      </c>
      <c r="AN28" s="55">
        <f t="shared" si="14"/>
        <v>908.40620000000001</v>
      </c>
      <c r="AO28" s="56">
        <f t="shared" si="15"/>
        <v>17646.483799999998</v>
      </c>
      <c r="AP28" s="55">
        <f t="shared" si="2"/>
        <v>10714.534666666666</v>
      </c>
      <c r="AQ28" s="55">
        <f t="shared" si="3"/>
        <v>17300.829999999998</v>
      </c>
      <c r="AR28" s="55">
        <f t="shared" si="4"/>
        <v>1454.348</v>
      </c>
      <c r="AS28" s="71"/>
      <c r="AT28" s="71"/>
      <c r="AU28" s="71"/>
      <c r="AV28" s="57"/>
      <c r="AW28" s="57"/>
      <c r="AX28" s="57"/>
      <c r="AY28" s="55">
        <f t="shared" si="5"/>
        <v>2908.6959999999999</v>
      </c>
      <c r="AZ28" s="54">
        <v>0.26</v>
      </c>
      <c r="BA28" s="33">
        <f t="shared" si="6"/>
        <v>908.40620000000001</v>
      </c>
      <c r="BB28" s="33">
        <f t="shared" si="7"/>
        <v>1816.8124</v>
      </c>
      <c r="BC28" s="58">
        <f t="shared" si="8"/>
        <v>69.877399999999994</v>
      </c>
      <c r="BD28" s="58">
        <f t="shared" si="8"/>
        <v>139.75479999999999</v>
      </c>
      <c r="BE28" s="55">
        <f t="shared" si="9"/>
        <v>556.64670000000001</v>
      </c>
      <c r="BF28" s="55">
        <f t="shared" si="10"/>
        <v>1484.3685199999995</v>
      </c>
      <c r="BG28" s="59" t="s">
        <v>312</v>
      </c>
      <c r="BH28" s="72" t="s">
        <v>307</v>
      </c>
      <c r="BI28" s="76">
        <v>2217700456</v>
      </c>
      <c r="BJ28" s="75" t="s">
        <v>308</v>
      </c>
      <c r="BK28" s="75"/>
      <c r="BL28" s="61" t="s">
        <v>207</v>
      </c>
      <c r="BM28" s="62" t="s">
        <v>309</v>
      </c>
      <c r="BN28" s="39"/>
    </row>
    <row r="29" spans="1:66" s="2" customFormat="1" ht="39.950000000000003" hidden="1" customHeight="1" x14ac:dyDescent="0.2">
      <c r="A29" s="41">
        <v>105110</v>
      </c>
      <c r="B29" s="42">
        <v>53</v>
      </c>
      <c r="C29" s="43" t="s">
        <v>310</v>
      </c>
      <c r="D29" s="43" t="s">
        <v>313</v>
      </c>
      <c r="E29" s="30" t="s">
        <v>302</v>
      </c>
      <c r="F29" s="46" t="s">
        <v>303</v>
      </c>
      <c r="G29" s="47" t="s">
        <v>304</v>
      </c>
      <c r="H29" s="48" t="s">
        <v>161</v>
      </c>
      <c r="I29" s="30" t="s">
        <v>162</v>
      </c>
      <c r="J29" s="30" t="s">
        <v>86</v>
      </c>
      <c r="K29" s="30" t="s">
        <v>87</v>
      </c>
      <c r="L29" s="30" t="s">
        <v>131</v>
      </c>
      <c r="M29" s="66"/>
      <c r="N29" s="66">
        <v>44743</v>
      </c>
      <c r="O29" s="47"/>
      <c r="P29" s="46"/>
      <c r="Q29" s="48" t="s">
        <v>69</v>
      </c>
      <c r="R29" s="48"/>
      <c r="S29" s="52" t="s">
        <v>148</v>
      </c>
      <c r="T29" s="47">
        <v>10</v>
      </c>
      <c r="U29" s="47" t="s">
        <v>305</v>
      </c>
      <c r="V29" s="47">
        <f t="shared" ca="1" si="16"/>
        <v>32</v>
      </c>
      <c r="W29" s="53">
        <v>10754300</v>
      </c>
      <c r="X29" s="47">
        <v>193</v>
      </c>
      <c r="Y29" s="54">
        <f t="shared" si="12"/>
        <v>200.13333333333333</v>
      </c>
      <c r="Z29" s="54">
        <f t="shared" si="13"/>
        <v>3002</v>
      </c>
      <c r="AA29" s="33">
        <v>6004</v>
      </c>
      <c r="AB29" s="33">
        <v>284</v>
      </c>
      <c r="AC29" s="57"/>
      <c r="AD29" s="57"/>
      <c r="AE29" s="64"/>
      <c r="AF29" s="65"/>
      <c r="AG29" s="57"/>
      <c r="AH29" s="57"/>
      <c r="AI29" s="33">
        <v>10984</v>
      </c>
      <c r="AJ29" s="33">
        <f t="shared" si="0"/>
        <v>17272</v>
      </c>
      <c r="AK29" s="54">
        <v>0</v>
      </c>
      <c r="AL29" s="54">
        <f t="shared" si="1"/>
        <v>390.26</v>
      </c>
      <c r="AM29" s="54">
        <f t="shared" si="1"/>
        <v>780.52</v>
      </c>
      <c r="AN29" s="55">
        <f t="shared" si="14"/>
        <v>780.52</v>
      </c>
      <c r="AO29" s="56">
        <f t="shared" si="15"/>
        <v>16491.48</v>
      </c>
      <c r="AP29" s="55">
        <f t="shared" si="2"/>
        <v>9206.1333333333332</v>
      </c>
      <c r="AQ29" s="55">
        <f t="shared" si="3"/>
        <v>16842.133333333331</v>
      </c>
      <c r="AR29" s="55">
        <f t="shared" si="4"/>
        <v>1257.5999999999999</v>
      </c>
      <c r="AS29" s="71"/>
      <c r="AT29" s="71"/>
      <c r="AU29" s="71"/>
      <c r="AV29" s="57"/>
      <c r="AW29" s="57"/>
      <c r="AX29" s="57"/>
      <c r="AY29" s="55">
        <f t="shared" si="5"/>
        <v>2515.1999999999998</v>
      </c>
      <c r="AZ29" s="54">
        <v>0.26</v>
      </c>
      <c r="BA29" s="33">
        <f t="shared" si="6"/>
        <v>780.52</v>
      </c>
      <c r="BB29" s="33">
        <f t="shared" si="7"/>
        <v>1561.04</v>
      </c>
      <c r="BC29" s="58">
        <f t="shared" si="8"/>
        <v>60.04</v>
      </c>
      <c r="BD29" s="58">
        <f t="shared" si="8"/>
        <v>120.08</v>
      </c>
      <c r="BE29" s="55">
        <f t="shared" si="9"/>
        <v>518.16</v>
      </c>
      <c r="BF29" s="55">
        <f t="shared" si="10"/>
        <v>1375.0639999999999</v>
      </c>
      <c r="BG29" s="59" t="s">
        <v>312</v>
      </c>
      <c r="BH29" s="72" t="s">
        <v>307</v>
      </c>
      <c r="BI29" s="76">
        <v>2217700456</v>
      </c>
      <c r="BJ29" s="75" t="s">
        <v>308</v>
      </c>
      <c r="BK29" s="75"/>
      <c r="BL29" s="61" t="s">
        <v>207</v>
      </c>
      <c r="BM29" s="62" t="s">
        <v>309</v>
      </c>
      <c r="BN29" s="39"/>
    </row>
    <row r="30" spans="1:66" s="2" customFormat="1" ht="39.950000000000003" hidden="1" customHeight="1" x14ac:dyDescent="0.2">
      <c r="A30" s="41">
        <v>105110</v>
      </c>
      <c r="B30" s="42">
        <v>53</v>
      </c>
      <c r="C30" s="43" t="s">
        <v>313</v>
      </c>
      <c r="D30" s="44" t="s">
        <v>314</v>
      </c>
      <c r="E30" s="30" t="s">
        <v>302</v>
      </c>
      <c r="F30" s="46" t="s">
        <v>303</v>
      </c>
      <c r="G30" s="47" t="s">
        <v>304</v>
      </c>
      <c r="H30" s="48" t="s">
        <v>315</v>
      </c>
      <c r="I30" s="30" t="s">
        <v>316</v>
      </c>
      <c r="J30" s="30" t="s">
        <v>86</v>
      </c>
      <c r="K30" s="30" t="s">
        <v>87</v>
      </c>
      <c r="L30" s="30" t="s">
        <v>11</v>
      </c>
      <c r="M30" s="66"/>
      <c r="N30" s="66">
        <v>44927</v>
      </c>
      <c r="O30" s="51">
        <v>45657</v>
      </c>
      <c r="P30" s="46"/>
      <c r="Q30" s="48" t="s">
        <v>69</v>
      </c>
      <c r="R30" s="48"/>
      <c r="S30" s="52" t="s">
        <v>148</v>
      </c>
      <c r="T30" s="47">
        <v>10</v>
      </c>
      <c r="U30" s="47" t="s">
        <v>305</v>
      </c>
      <c r="V30" s="47">
        <f t="shared" ca="1" si="16"/>
        <v>32</v>
      </c>
      <c r="W30" s="53">
        <v>10754300</v>
      </c>
      <c r="X30" s="47">
        <v>193</v>
      </c>
      <c r="Y30" s="54">
        <f>AA30/30</f>
        <v>232.92466666666667</v>
      </c>
      <c r="Z30" s="54">
        <f>AA30/2</f>
        <v>3493.87</v>
      </c>
      <c r="AA30" s="33">
        <v>6987.74</v>
      </c>
      <c r="AB30" s="33">
        <v>284</v>
      </c>
      <c r="AC30" s="57"/>
      <c r="AD30" s="57"/>
      <c r="AE30" s="64"/>
      <c r="AF30" s="65"/>
      <c r="AG30" s="57"/>
      <c r="AH30" s="57"/>
      <c r="AI30" s="33">
        <v>10000</v>
      </c>
      <c r="AJ30" s="33">
        <f>SUM(AA30:AI30)</f>
        <v>17271.739999999998</v>
      </c>
      <c r="AK30" s="54">
        <v>0</v>
      </c>
      <c r="AL30" s="54">
        <f t="shared" si="1"/>
        <v>454.20310000000001</v>
      </c>
      <c r="AM30" s="54">
        <f t="shared" si="1"/>
        <v>908.40620000000001</v>
      </c>
      <c r="AN30" s="55">
        <f>AK30+AM30</f>
        <v>908.40620000000001</v>
      </c>
      <c r="AO30" s="56">
        <f>AJ30-AN30</f>
        <v>16363.333799999999</v>
      </c>
      <c r="AP30" s="55">
        <f>+(AA30+AF30)/30*46</f>
        <v>10714.534666666666</v>
      </c>
      <c r="AQ30" s="55">
        <f>+AI30/30*46</f>
        <v>15333.333333333332</v>
      </c>
      <c r="AR30" s="55">
        <f>+(AA30+AB30+AC30+AD30+AF30)/30*12/2</f>
        <v>1454.348</v>
      </c>
      <c r="AS30" s="71"/>
      <c r="AT30" s="71"/>
      <c r="AU30" s="71"/>
      <c r="AV30" s="57"/>
      <c r="AW30" s="57"/>
      <c r="AX30" s="57"/>
      <c r="AY30" s="55">
        <f>+(AA30+AB30+AC30+AD30+AF30)/30*12</f>
        <v>2908.6959999999999</v>
      </c>
      <c r="AZ30" s="54">
        <v>0.26</v>
      </c>
      <c r="BA30" s="33">
        <f>Z30*AZ30</f>
        <v>908.40620000000001</v>
      </c>
      <c r="BB30" s="33">
        <f>AA30*AZ30</f>
        <v>1816.8124</v>
      </c>
      <c r="BC30" s="58">
        <f t="shared" si="8"/>
        <v>69.877399999999994</v>
      </c>
      <c r="BD30" s="58">
        <f t="shared" si="8"/>
        <v>139.75479999999999</v>
      </c>
      <c r="BE30" s="55">
        <f>AJ30*3%</f>
        <v>518.15219999999988</v>
      </c>
      <c r="BF30" s="55">
        <f>(AJ30+AP30+AQ30+AY30)*3%</f>
        <v>1386.8491199999996</v>
      </c>
      <c r="BG30" s="59" t="s">
        <v>312</v>
      </c>
      <c r="BH30" s="72" t="s">
        <v>307</v>
      </c>
      <c r="BI30" s="76">
        <v>2217700456</v>
      </c>
      <c r="BJ30" s="75" t="s">
        <v>308</v>
      </c>
      <c r="BK30" s="75" t="s">
        <v>317</v>
      </c>
      <c r="BL30" s="61" t="s">
        <v>207</v>
      </c>
      <c r="BM30" s="62" t="s">
        <v>309</v>
      </c>
      <c r="BN30" s="39"/>
    </row>
    <row r="31" spans="1:66" s="2" customFormat="1" ht="39.950000000000003" hidden="1" customHeight="1" x14ac:dyDescent="0.2">
      <c r="A31" s="41">
        <v>105110</v>
      </c>
      <c r="B31" s="42">
        <v>54</v>
      </c>
      <c r="C31" s="44" t="s">
        <v>318</v>
      </c>
      <c r="D31" s="77" t="s">
        <v>319</v>
      </c>
      <c r="E31" s="30" t="s">
        <v>302</v>
      </c>
      <c r="F31" s="46" t="s">
        <v>303</v>
      </c>
      <c r="G31" s="47" t="s">
        <v>304</v>
      </c>
      <c r="H31" s="48" t="s">
        <v>315</v>
      </c>
      <c r="I31" s="30" t="s">
        <v>316</v>
      </c>
      <c r="J31" s="30" t="s">
        <v>86</v>
      </c>
      <c r="K31" s="30" t="s">
        <v>87</v>
      </c>
      <c r="L31" s="30" t="s">
        <v>320</v>
      </c>
      <c r="M31" s="66"/>
      <c r="N31" s="66"/>
      <c r="O31" s="51"/>
      <c r="P31" s="74">
        <v>45748</v>
      </c>
      <c r="Q31" s="48" t="s">
        <v>69</v>
      </c>
      <c r="R31" s="48"/>
      <c r="S31" s="52" t="s">
        <v>148</v>
      </c>
      <c r="T31" s="47">
        <v>10</v>
      </c>
      <c r="U31" s="47" t="s">
        <v>305</v>
      </c>
      <c r="V31" s="47">
        <f t="shared" ca="1" si="16"/>
        <v>32</v>
      </c>
      <c r="W31" s="53">
        <v>10754300</v>
      </c>
      <c r="X31" s="47">
        <v>193</v>
      </c>
      <c r="Y31" s="54">
        <f>AA31/30</f>
        <v>232.92466666666667</v>
      </c>
      <c r="Z31" s="54">
        <f>AA31/2</f>
        <v>3493.87</v>
      </c>
      <c r="AA31" s="33">
        <v>6987.74</v>
      </c>
      <c r="AB31" s="33">
        <v>284</v>
      </c>
      <c r="AC31" s="57"/>
      <c r="AD31" s="57"/>
      <c r="AE31" s="64"/>
      <c r="AF31" s="65"/>
      <c r="AG31" s="57"/>
      <c r="AH31" s="57"/>
      <c r="AI31" s="33">
        <v>10000</v>
      </c>
      <c r="AJ31" s="33">
        <f>SUM(AA31:AI31)</f>
        <v>17271.739999999998</v>
      </c>
      <c r="AK31" s="54">
        <v>0</v>
      </c>
      <c r="AL31" s="54">
        <f t="shared" si="1"/>
        <v>454.20310000000001</v>
      </c>
      <c r="AM31" s="54">
        <f t="shared" si="1"/>
        <v>908.40620000000001</v>
      </c>
      <c r="AN31" s="55">
        <f>AK31+AM31</f>
        <v>908.40620000000001</v>
      </c>
      <c r="AO31" s="56">
        <f>AJ31-AN31</f>
        <v>16363.333799999999</v>
      </c>
      <c r="AP31" s="55">
        <f>+(AA31+AF31)/30*46</f>
        <v>10714.534666666666</v>
      </c>
      <c r="AQ31" s="55">
        <f>+AI31/30*46</f>
        <v>15333.333333333332</v>
      </c>
      <c r="AR31" s="55">
        <f>+(AA31+AB31+AC31+AD31+AF31)/30*12/2</f>
        <v>1454.348</v>
      </c>
      <c r="AS31" s="71"/>
      <c r="AT31" s="71"/>
      <c r="AU31" s="71"/>
      <c r="AV31" s="57"/>
      <c r="AW31" s="57"/>
      <c r="AX31" s="57"/>
      <c r="AY31" s="55">
        <f>+(AA31+AB31+AC31+AD31+AF31)/30*12</f>
        <v>2908.6959999999999</v>
      </c>
      <c r="AZ31" s="54">
        <v>0.26</v>
      </c>
      <c r="BA31" s="33">
        <f>Z31*AZ31</f>
        <v>908.40620000000001</v>
      </c>
      <c r="BB31" s="33">
        <f>AA31*AZ31</f>
        <v>1816.8124</v>
      </c>
      <c r="BC31" s="58">
        <f t="shared" si="8"/>
        <v>69.877399999999994</v>
      </c>
      <c r="BD31" s="58">
        <f t="shared" si="8"/>
        <v>139.75479999999999</v>
      </c>
      <c r="BE31" s="55">
        <f>AJ31*3%</f>
        <v>518.15219999999988</v>
      </c>
      <c r="BF31" s="55">
        <f>(AJ31+AP31+AQ31+AY31)*3%</f>
        <v>1386.8491199999996</v>
      </c>
      <c r="BG31" s="59" t="s">
        <v>312</v>
      </c>
      <c r="BH31" s="72" t="s">
        <v>307</v>
      </c>
      <c r="BI31" s="76">
        <v>2217700456</v>
      </c>
      <c r="BJ31" s="75" t="s">
        <v>308</v>
      </c>
      <c r="BK31" s="75" t="s">
        <v>317</v>
      </c>
      <c r="BL31" s="61" t="s">
        <v>207</v>
      </c>
      <c r="BM31" s="62" t="s">
        <v>309</v>
      </c>
      <c r="BN31" s="39"/>
    </row>
    <row r="32" spans="1:66" s="2" customFormat="1" ht="39.950000000000003" hidden="1" customHeight="1" x14ac:dyDescent="0.2">
      <c r="A32" s="41">
        <v>105110</v>
      </c>
      <c r="B32" s="42">
        <v>59</v>
      </c>
      <c r="C32" s="77" t="s">
        <v>319</v>
      </c>
      <c r="D32" s="77" t="s">
        <v>321</v>
      </c>
      <c r="E32" s="30" t="s">
        <v>302</v>
      </c>
      <c r="F32" s="46" t="s">
        <v>303</v>
      </c>
      <c r="G32" s="47" t="s">
        <v>304</v>
      </c>
      <c r="H32" s="48" t="s">
        <v>315</v>
      </c>
      <c r="I32" s="30" t="s">
        <v>316</v>
      </c>
      <c r="J32" s="30" t="s">
        <v>322</v>
      </c>
      <c r="K32" s="30" t="s">
        <v>323</v>
      </c>
      <c r="L32" s="30" t="s">
        <v>320</v>
      </c>
      <c r="M32" s="66"/>
      <c r="N32" s="66">
        <v>45047</v>
      </c>
      <c r="O32" s="51"/>
      <c r="P32" s="74"/>
      <c r="Q32" s="48" t="s">
        <v>69</v>
      </c>
      <c r="R32" s="48"/>
      <c r="S32" s="52" t="s">
        <v>148</v>
      </c>
      <c r="T32" s="47">
        <v>10</v>
      </c>
      <c r="U32" s="47" t="s">
        <v>305</v>
      </c>
      <c r="V32" s="47">
        <f t="shared" ca="1" si="16"/>
        <v>32</v>
      </c>
      <c r="W32" s="53">
        <v>10754300</v>
      </c>
      <c r="X32" s="47">
        <v>193</v>
      </c>
      <c r="Y32" s="54">
        <f>AA32/30</f>
        <v>232.92466666666667</v>
      </c>
      <c r="Z32" s="54">
        <f>AA32/2</f>
        <v>3493.87</v>
      </c>
      <c r="AA32" s="33">
        <v>6987.74</v>
      </c>
      <c r="AB32" s="33">
        <v>284</v>
      </c>
      <c r="AC32" s="57"/>
      <c r="AD32" s="57"/>
      <c r="AE32" s="64"/>
      <c r="AF32" s="65"/>
      <c r="AG32" s="57"/>
      <c r="AH32" s="57"/>
      <c r="AI32" s="33">
        <v>10000</v>
      </c>
      <c r="AJ32" s="33">
        <f>SUM(AA32:AI32)</f>
        <v>17271.739999999998</v>
      </c>
      <c r="AK32" s="54">
        <v>0</v>
      </c>
      <c r="AL32" s="54">
        <f t="shared" si="1"/>
        <v>454.20310000000001</v>
      </c>
      <c r="AM32" s="54">
        <f t="shared" si="1"/>
        <v>908.40620000000001</v>
      </c>
      <c r="AN32" s="55">
        <f>AK32+AM32</f>
        <v>908.40620000000001</v>
      </c>
      <c r="AO32" s="56">
        <f>AJ32-AN32</f>
        <v>16363.333799999999</v>
      </c>
      <c r="AP32" s="55">
        <f>+(AA32+AF32)/30*46</f>
        <v>10714.534666666666</v>
      </c>
      <c r="AQ32" s="55">
        <f>+AI32/30*46</f>
        <v>15333.333333333332</v>
      </c>
      <c r="AR32" s="55">
        <f>+(AA32+AB32+AC32+AD32+AF32)/30*12/2</f>
        <v>1454.348</v>
      </c>
      <c r="AS32" s="71"/>
      <c r="AT32" s="71"/>
      <c r="AU32" s="71"/>
      <c r="AV32" s="57"/>
      <c r="AW32" s="57"/>
      <c r="AX32" s="57"/>
      <c r="AY32" s="55">
        <f>+(AA32+AB32+AC32+AD32+AF32)/30*12</f>
        <v>2908.6959999999999</v>
      </c>
      <c r="AZ32" s="54">
        <v>0.26</v>
      </c>
      <c r="BA32" s="33">
        <f>Z32*AZ32</f>
        <v>908.40620000000001</v>
      </c>
      <c r="BB32" s="33">
        <f>AA32*AZ32</f>
        <v>1816.8124</v>
      </c>
      <c r="BC32" s="58">
        <f t="shared" si="8"/>
        <v>69.877399999999994</v>
      </c>
      <c r="BD32" s="58">
        <f t="shared" si="8"/>
        <v>139.75479999999999</v>
      </c>
      <c r="BE32" s="55">
        <f>AJ32*3%</f>
        <v>518.15219999999988</v>
      </c>
      <c r="BF32" s="55">
        <f>(AJ32+AP32+AQ32+AY32)*3%</f>
        <v>1386.8491199999996</v>
      </c>
      <c r="BG32" s="59" t="s">
        <v>312</v>
      </c>
      <c r="BH32" s="72" t="s">
        <v>307</v>
      </c>
      <c r="BI32" s="76">
        <v>2217700456</v>
      </c>
      <c r="BJ32" s="75" t="s">
        <v>308</v>
      </c>
      <c r="BK32" s="75" t="s">
        <v>317</v>
      </c>
      <c r="BL32" s="61" t="s">
        <v>207</v>
      </c>
      <c r="BM32" s="62" t="s">
        <v>309</v>
      </c>
      <c r="BN32" s="39"/>
    </row>
    <row r="33" spans="1:66" s="2" customFormat="1" ht="39.950000000000003" hidden="1" customHeight="1" x14ac:dyDescent="0.2">
      <c r="A33" s="41">
        <v>105110</v>
      </c>
      <c r="B33" s="42">
        <v>80</v>
      </c>
      <c r="C33" s="77" t="s">
        <v>321</v>
      </c>
      <c r="D33" s="77" t="s">
        <v>324</v>
      </c>
      <c r="E33" s="30" t="s">
        <v>302</v>
      </c>
      <c r="F33" s="46" t="s">
        <v>303</v>
      </c>
      <c r="G33" s="47" t="s">
        <v>304</v>
      </c>
      <c r="H33" s="48" t="s">
        <v>315</v>
      </c>
      <c r="I33" s="30" t="s">
        <v>316</v>
      </c>
      <c r="J33" s="30" t="s">
        <v>325</v>
      </c>
      <c r="K33" s="30" t="s">
        <v>326</v>
      </c>
      <c r="L33" s="30" t="s">
        <v>320</v>
      </c>
      <c r="M33" s="66"/>
      <c r="N33" s="66">
        <v>45062</v>
      </c>
      <c r="O33" s="51"/>
      <c r="P33" s="74"/>
      <c r="Q33" s="48" t="s">
        <v>69</v>
      </c>
      <c r="R33" s="48"/>
      <c r="S33" s="52" t="s">
        <v>148</v>
      </c>
      <c r="T33" s="47">
        <v>10</v>
      </c>
      <c r="U33" s="47" t="s">
        <v>305</v>
      </c>
      <c r="V33" s="47">
        <f t="shared" ca="1" si="16"/>
        <v>32</v>
      </c>
      <c r="W33" s="53">
        <v>10754300</v>
      </c>
      <c r="X33" s="47">
        <v>193</v>
      </c>
      <c r="Y33" s="54">
        <f>AA33/30</f>
        <v>232.92466666666667</v>
      </c>
      <c r="Z33" s="54">
        <f>AA33/2</f>
        <v>3493.87</v>
      </c>
      <c r="AA33" s="33">
        <v>6987.74</v>
      </c>
      <c r="AB33" s="33">
        <v>284</v>
      </c>
      <c r="AC33" s="57"/>
      <c r="AD33" s="57"/>
      <c r="AE33" s="64"/>
      <c r="AF33" s="65"/>
      <c r="AG33" s="57"/>
      <c r="AH33" s="57"/>
      <c r="AI33" s="33">
        <v>10000</v>
      </c>
      <c r="AJ33" s="33">
        <f>SUM(AA33:AI33)</f>
        <v>17271.739999999998</v>
      </c>
      <c r="AK33" s="54">
        <v>0</v>
      </c>
      <c r="AL33" s="54">
        <f t="shared" si="1"/>
        <v>454.20310000000001</v>
      </c>
      <c r="AM33" s="54">
        <f t="shared" si="1"/>
        <v>908.40620000000001</v>
      </c>
      <c r="AN33" s="55">
        <f>AK33+AM33</f>
        <v>908.40620000000001</v>
      </c>
      <c r="AO33" s="56">
        <f>AJ33-AN33</f>
        <v>16363.333799999999</v>
      </c>
      <c r="AP33" s="55">
        <f>+(AA33+AF33)/30*46</f>
        <v>10714.534666666666</v>
      </c>
      <c r="AQ33" s="55">
        <f>+AI33/30*46</f>
        <v>15333.333333333332</v>
      </c>
      <c r="AR33" s="55">
        <f>+(AA33+AB33+AC33+AD33+AF33)/30*12/2</f>
        <v>1454.348</v>
      </c>
      <c r="AS33" s="71"/>
      <c r="AT33" s="71"/>
      <c r="AU33" s="71"/>
      <c r="AV33" s="57"/>
      <c r="AW33" s="57"/>
      <c r="AX33" s="57"/>
      <c r="AY33" s="55">
        <f>+(AA33+AB33+AC33+AD33+AF33)/30*12</f>
        <v>2908.6959999999999</v>
      </c>
      <c r="AZ33" s="54">
        <v>0.26</v>
      </c>
      <c r="BA33" s="33">
        <f>Z33*AZ33</f>
        <v>908.40620000000001</v>
      </c>
      <c r="BB33" s="33">
        <f>AA33*AZ33</f>
        <v>1816.8124</v>
      </c>
      <c r="BC33" s="58">
        <f t="shared" si="8"/>
        <v>69.877399999999994</v>
      </c>
      <c r="BD33" s="58">
        <f t="shared" si="8"/>
        <v>139.75479999999999</v>
      </c>
      <c r="BE33" s="55">
        <f>AJ33*3%</f>
        <v>518.15219999999988</v>
      </c>
      <c r="BF33" s="55">
        <f>(AJ33+AP33+AQ33+AY33)*3%</f>
        <v>1386.8491199999996</v>
      </c>
      <c r="BG33" s="59" t="s">
        <v>312</v>
      </c>
      <c r="BH33" s="72" t="s">
        <v>307</v>
      </c>
      <c r="BI33" s="76">
        <v>2217700456</v>
      </c>
      <c r="BJ33" s="75" t="s">
        <v>308</v>
      </c>
      <c r="BK33" s="75" t="s">
        <v>317</v>
      </c>
      <c r="BL33" s="61" t="s">
        <v>207</v>
      </c>
      <c r="BM33" s="62" t="s">
        <v>309</v>
      </c>
      <c r="BN33" s="39"/>
    </row>
    <row r="34" spans="1:66" s="2" customFormat="1" ht="39.950000000000003" customHeight="1" x14ac:dyDescent="0.2">
      <c r="A34" s="41">
        <v>105110</v>
      </c>
      <c r="B34" s="42">
        <v>12</v>
      </c>
      <c r="C34" s="77" t="s">
        <v>324</v>
      </c>
      <c r="D34" s="28"/>
      <c r="E34" s="30" t="s">
        <v>302</v>
      </c>
      <c r="F34" s="46" t="s">
        <v>303</v>
      </c>
      <c r="G34" s="47" t="s">
        <v>304</v>
      </c>
      <c r="H34" s="48" t="s">
        <v>315</v>
      </c>
      <c r="I34" s="30" t="s">
        <v>316</v>
      </c>
      <c r="J34" s="30" t="s">
        <v>327</v>
      </c>
      <c r="K34" s="30" t="s">
        <v>328</v>
      </c>
      <c r="L34" s="30" t="s">
        <v>329</v>
      </c>
      <c r="M34" s="66"/>
      <c r="N34" s="66">
        <v>45078</v>
      </c>
      <c r="O34" s="51"/>
      <c r="P34" s="74"/>
      <c r="Q34" s="48" t="s">
        <v>69</v>
      </c>
      <c r="R34" s="48"/>
      <c r="S34" s="52" t="s">
        <v>148</v>
      </c>
      <c r="T34" s="47">
        <v>10</v>
      </c>
      <c r="U34" s="47" t="s">
        <v>305</v>
      </c>
      <c r="V34" s="47">
        <f t="shared" ca="1" si="16"/>
        <v>32</v>
      </c>
      <c r="W34" s="53">
        <v>10754300</v>
      </c>
      <c r="X34" s="47">
        <v>168</v>
      </c>
      <c r="Y34" s="54">
        <f>AA34/30</f>
        <v>232.92466666666667</v>
      </c>
      <c r="Z34" s="54">
        <f>AA34/2</f>
        <v>3493.87</v>
      </c>
      <c r="AA34" s="33">
        <v>6987.74</v>
      </c>
      <c r="AB34" s="33">
        <v>284</v>
      </c>
      <c r="AC34" s="57"/>
      <c r="AD34" s="57"/>
      <c r="AE34" s="64"/>
      <c r="AF34" s="65"/>
      <c r="AG34" s="57"/>
      <c r="AH34" s="57"/>
      <c r="AI34" s="33">
        <v>10000</v>
      </c>
      <c r="AJ34" s="33">
        <f>SUM(AA34:AI34)</f>
        <v>17271.739999999998</v>
      </c>
      <c r="AK34" s="54">
        <v>0</v>
      </c>
      <c r="AL34" s="54">
        <f t="shared" si="1"/>
        <v>454.20310000000001</v>
      </c>
      <c r="AM34" s="54">
        <f t="shared" si="1"/>
        <v>908.40620000000001</v>
      </c>
      <c r="AN34" s="55">
        <f>AK34+AM34</f>
        <v>908.40620000000001</v>
      </c>
      <c r="AO34" s="56">
        <f>AJ34-AN34</f>
        <v>16363.333799999999</v>
      </c>
      <c r="AP34" s="55">
        <f>+(AA34+AF34)/30*46</f>
        <v>10714.534666666666</v>
      </c>
      <c r="AQ34" s="55">
        <f>+AI34/30*46</f>
        <v>15333.333333333332</v>
      </c>
      <c r="AR34" s="55">
        <f>+(AA34+AB34+AC34+AD34+AF34)/30*12/2</f>
        <v>1454.348</v>
      </c>
      <c r="AS34" s="71"/>
      <c r="AT34" s="71"/>
      <c r="AU34" s="71"/>
      <c r="AV34" s="57"/>
      <c r="AW34" s="57"/>
      <c r="AX34" s="57"/>
      <c r="AY34" s="55">
        <f>+(AA34+AB34+AC34+AD34+AF34)/30*12</f>
        <v>2908.6959999999999</v>
      </c>
      <c r="AZ34" s="54">
        <v>0.26</v>
      </c>
      <c r="BA34" s="33">
        <f>Z34*AZ34</f>
        <v>908.40620000000001</v>
      </c>
      <c r="BB34" s="33">
        <f>AA34*AZ34</f>
        <v>1816.8124</v>
      </c>
      <c r="BC34" s="58">
        <f t="shared" si="8"/>
        <v>69.877399999999994</v>
      </c>
      <c r="BD34" s="58">
        <f t="shared" si="8"/>
        <v>139.75479999999999</v>
      </c>
      <c r="BE34" s="55">
        <f>AJ34*3%</f>
        <v>518.15219999999988</v>
      </c>
      <c r="BF34" s="55">
        <f>(AJ34+AP34+AQ34+AY34)*3%</f>
        <v>1386.8491199999996</v>
      </c>
      <c r="BG34" s="59" t="s">
        <v>312</v>
      </c>
      <c r="BH34" s="72" t="s">
        <v>307</v>
      </c>
      <c r="BI34" s="76">
        <v>2217700456</v>
      </c>
      <c r="BJ34" s="75" t="s">
        <v>308</v>
      </c>
      <c r="BK34" s="75" t="s">
        <v>317</v>
      </c>
      <c r="BL34" s="61" t="s">
        <v>207</v>
      </c>
      <c r="BM34" s="62" t="s">
        <v>309</v>
      </c>
      <c r="BN34" s="39">
        <v>12</v>
      </c>
    </row>
    <row r="35" spans="1:66" s="2" customFormat="1" ht="39.950000000000003" hidden="1" customHeight="1" x14ac:dyDescent="0.25">
      <c r="A35" s="41">
        <v>105199</v>
      </c>
      <c r="B35" s="42">
        <v>15</v>
      </c>
      <c r="C35" s="43" t="s">
        <v>330</v>
      </c>
      <c r="D35" s="43" t="s">
        <v>331</v>
      </c>
      <c r="E35" s="30" t="s">
        <v>332</v>
      </c>
      <c r="F35" s="46" t="s">
        <v>333</v>
      </c>
      <c r="G35" s="47" t="s">
        <v>334</v>
      </c>
      <c r="H35" s="48" t="s">
        <v>140</v>
      </c>
      <c r="I35" s="30" t="s">
        <v>335</v>
      </c>
      <c r="J35" s="30" t="s">
        <v>280</v>
      </c>
      <c r="K35" s="30" t="s">
        <v>336</v>
      </c>
      <c r="L35" s="30" t="s">
        <v>11</v>
      </c>
      <c r="M35" s="66">
        <v>44044</v>
      </c>
      <c r="N35" s="66"/>
      <c r="O35" s="51">
        <v>45639</v>
      </c>
      <c r="P35" s="46"/>
      <c r="Q35" s="48" t="s">
        <v>69</v>
      </c>
      <c r="R35" s="48"/>
      <c r="S35" s="52" t="s">
        <v>70</v>
      </c>
      <c r="T35" s="47">
        <v>29</v>
      </c>
      <c r="U35" s="47" t="s">
        <v>337</v>
      </c>
      <c r="V35" s="47">
        <f ca="1">DATEDIF(DATE(IF(MID($G35,5,2)+2000&gt;YEAR(TODAY()),MID($G35,5,2)+1900,MID($G35,5,2)+2000),MID($G35,7,2),MID($G35,9,2)),TODAY(),"y")</f>
        <v>67</v>
      </c>
      <c r="W35" s="53">
        <v>10778700</v>
      </c>
      <c r="X35" s="47">
        <v>168</v>
      </c>
      <c r="Y35" s="54">
        <f t="shared" ref="Y35:Y103" si="17">AA35/30</f>
        <v>464.59333333333331</v>
      </c>
      <c r="Z35" s="54">
        <f t="shared" ref="Z35:Z103" si="18">AA35/2</f>
        <v>6968.9</v>
      </c>
      <c r="AA35" s="33">
        <v>13937.8</v>
      </c>
      <c r="AB35" s="33">
        <v>284</v>
      </c>
      <c r="AC35" s="33"/>
      <c r="AD35" s="33"/>
      <c r="AE35" s="33"/>
      <c r="AF35" s="54"/>
      <c r="AG35" s="54"/>
      <c r="AH35" s="54"/>
      <c r="AI35" s="55">
        <v>26400</v>
      </c>
      <c r="AJ35" s="33">
        <f t="shared" ref="AJ35:AJ40" si="19">SUM(AA35:AI35)</f>
        <v>40621.800000000003</v>
      </c>
      <c r="AK35" s="54">
        <v>0</v>
      </c>
      <c r="AL35" s="54">
        <f t="shared" si="1"/>
        <v>905.95699999999999</v>
      </c>
      <c r="AM35" s="54">
        <f t="shared" si="1"/>
        <v>1811.914</v>
      </c>
      <c r="AN35" s="55">
        <f t="shared" ref="AN35:AN108" si="20">AK35+AM35</f>
        <v>1811.914</v>
      </c>
      <c r="AO35" s="56">
        <f t="shared" ref="AO35:AO108" si="21">AJ35-AN35</f>
        <v>38809.886000000006</v>
      </c>
      <c r="AP35" s="55">
        <f t="shared" ref="AP35:AP98" si="22">+(AA35+AF35)/30*46</f>
        <v>21371.293333333331</v>
      </c>
      <c r="AQ35" s="55">
        <f t="shared" ref="AQ35:AQ98" si="23">+AI35/30*46</f>
        <v>40480</v>
      </c>
      <c r="AR35" s="55">
        <f t="shared" ref="AR35:AR98" si="24">+(AA35+AB35+AC35+AD35+AF35)/30*12/2</f>
        <v>2844.36</v>
      </c>
      <c r="AS35" s="55"/>
      <c r="AT35" s="28"/>
      <c r="AU35" s="28"/>
      <c r="AV35" s="28"/>
      <c r="AW35" s="28"/>
      <c r="AX35" s="28"/>
      <c r="AY35" s="55">
        <f t="shared" ref="AY35:AY98" si="25">+(AA35+AB35+AC35+AD35+AF35)/30*12</f>
        <v>5688.72</v>
      </c>
      <c r="AZ35" s="54">
        <v>0.19</v>
      </c>
      <c r="BA35" s="33">
        <f t="shared" ref="BA35:BA98" si="26">Z35*AZ35</f>
        <v>1324.0909999999999</v>
      </c>
      <c r="BB35" s="33">
        <f t="shared" ref="BB35:BB98" si="27">AA35*AZ35</f>
        <v>2648.1819999999998</v>
      </c>
      <c r="BC35" s="58">
        <f t="shared" si="8"/>
        <v>139.37799999999999</v>
      </c>
      <c r="BD35" s="58">
        <f t="shared" si="8"/>
        <v>278.75599999999997</v>
      </c>
      <c r="BE35" s="55">
        <f t="shared" ref="BE35:BE108" si="28">AJ35*3%</f>
        <v>1218.654</v>
      </c>
      <c r="BF35" s="55">
        <f t="shared" ref="BF35:BF108" si="29">(AJ35+AP35+AQ35+AY35)*3%</f>
        <v>3244.8544000000002</v>
      </c>
      <c r="BG35" s="60" t="s">
        <v>338</v>
      </c>
      <c r="BH35" s="59" t="s">
        <v>339</v>
      </c>
      <c r="BI35" s="28" t="s">
        <v>340</v>
      </c>
      <c r="BJ35" s="61" t="s">
        <v>341</v>
      </c>
      <c r="BK35" s="61"/>
      <c r="BL35" s="61" t="s">
        <v>342</v>
      </c>
      <c r="BM35" s="62" t="s">
        <v>343</v>
      </c>
      <c r="BN35" s="39"/>
    </row>
    <row r="36" spans="1:66" s="2" customFormat="1" ht="39.950000000000003" hidden="1" customHeight="1" x14ac:dyDescent="0.25">
      <c r="A36" s="67">
        <v>105933</v>
      </c>
      <c r="B36" s="42">
        <v>11</v>
      </c>
      <c r="C36" s="43" t="s">
        <v>344</v>
      </c>
      <c r="D36" s="43" t="s">
        <v>345</v>
      </c>
      <c r="E36" s="30" t="s">
        <v>346</v>
      </c>
      <c r="F36" s="46" t="s">
        <v>347</v>
      </c>
      <c r="G36" s="47" t="s">
        <v>348</v>
      </c>
      <c r="H36" s="48" t="s">
        <v>349</v>
      </c>
      <c r="I36" s="30" t="s">
        <v>350</v>
      </c>
      <c r="J36" s="30" t="s">
        <v>147</v>
      </c>
      <c r="K36" s="30" t="s">
        <v>147</v>
      </c>
      <c r="L36" s="30" t="s">
        <v>11</v>
      </c>
      <c r="M36" s="50">
        <v>44044</v>
      </c>
      <c r="N36" s="50"/>
      <c r="O36" s="51">
        <v>45639</v>
      </c>
      <c r="P36" s="46"/>
      <c r="Q36" s="48" t="s">
        <v>69</v>
      </c>
      <c r="R36" s="48"/>
      <c r="S36" s="52" t="s">
        <v>70</v>
      </c>
      <c r="T36" s="47">
        <v>24</v>
      </c>
      <c r="U36" s="47" t="s">
        <v>71</v>
      </c>
      <c r="V36" s="47">
        <f t="shared" ref="V36:V99" ca="1" si="30">DATEDIF(DATE(IF(MID($G36,5,2)+2000&gt;YEAR(TODAY()),MID($G36,5,2)+1900,MID($G36,5,2)+2000),MID($G36,7,2),MID($G36,9,2)),TODAY(),"y")</f>
        <v>64</v>
      </c>
      <c r="W36" s="53">
        <v>10769900</v>
      </c>
      <c r="X36" s="47">
        <v>167</v>
      </c>
      <c r="Y36" s="54">
        <f t="shared" si="17"/>
        <v>693.39333333333332</v>
      </c>
      <c r="Z36" s="54">
        <f t="shared" si="18"/>
        <v>10400.9</v>
      </c>
      <c r="AA36" s="33">
        <v>20801.8</v>
      </c>
      <c r="AB36" s="33">
        <v>270</v>
      </c>
      <c r="AC36" s="57"/>
      <c r="AD36" s="57"/>
      <c r="AE36" s="57"/>
      <c r="AF36" s="68"/>
      <c r="AG36" s="57"/>
      <c r="AH36" s="57"/>
      <c r="AI36" s="33">
        <v>39180</v>
      </c>
      <c r="AJ36" s="33">
        <f t="shared" si="19"/>
        <v>60251.8</v>
      </c>
      <c r="AK36" s="54">
        <v>0</v>
      </c>
      <c r="AL36" s="54">
        <f t="shared" si="1"/>
        <v>1352.117</v>
      </c>
      <c r="AM36" s="54">
        <f t="shared" si="1"/>
        <v>2704.2339999999999</v>
      </c>
      <c r="AN36" s="55">
        <f t="shared" si="20"/>
        <v>2704.2339999999999</v>
      </c>
      <c r="AO36" s="56">
        <f t="shared" si="21"/>
        <v>57547.566000000006</v>
      </c>
      <c r="AP36" s="55">
        <f t="shared" si="22"/>
        <v>31896.093333333334</v>
      </c>
      <c r="AQ36" s="55">
        <f t="shared" si="23"/>
        <v>60076</v>
      </c>
      <c r="AR36" s="55">
        <f t="shared" si="24"/>
        <v>4214.3599999999997</v>
      </c>
      <c r="AS36" s="55"/>
      <c r="AT36" s="55"/>
      <c r="AU36" s="55"/>
      <c r="AV36" s="57"/>
      <c r="AW36" s="57"/>
      <c r="AX36" s="57"/>
      <c r="AY36" s="55">
        <f t="shared" si="25"/>
        <v>8428.7199999999993</v>
      </c>
      <c r="AZ36" s="54">
        <v>0.19</v>
      </c>
      <c r="BA36" s="33">
        <f t="shared" si="26"/>
        <v>1976.171</v>
      </c>
      <c r="BB36" s="33">
        <f t="shared" si="27"/>
        <v>3952.3420000000001</v>
      </c>
      <c r="BC36" s="58">
        <f t="shared" si="8"/>
        <v>208.018</v>
      </c>
      <c r="BD36" s="58">
        <f t="shared" si="8"/>
        <v>416.036</v>
      </c>
      <c r="BE36" s="55">
        <f t="shared" si="28"/>
        <v>1807.5540000000001</v>
      </c>
      <c r="BF36" s="55">
        <f t="shared" si="29"/>
        <v>4819.5784000000003</v>
      </c>
      <c r="BG36" s="60" t="s">
        <v>351</v>
      </c>
      <c r="BH36" s="59" t="s">
        <v>351</v>
      </c>
      <c r="BI36" s="28" t="s">
        <v>352</v>
      </c>
      <c r="BJ36" s="61" t="s">
        <v>353</v>
      </c>
      <c r="BK36" s="61"/>
      <c r="BL36" s="61" t="s">
        <v>354</v>
      </c>
      <c r="BM36" s="62" t="s">
        <v>355</v>
      </c>
      <c r="BN36" s="39"/>
    </row>
    <row r="37" spans="1:66" s="2" customFormat="1" ht="39.950000000000003" hidden="1" customHeight="1" x14ac:dyDescent="0.25">
      <c r="A37" s="78">
        <v>106016</v>
      </c>
      <c r="B37" s="42">
        <v>51</v>
      </c>
      <c r="C37" s="43" t="s">
        <v>356</v>
      </c>
      <c r="D37" s="44" t="s">
        <v>357</v>
      </c>
      <c r="E37" s="30" t="s">
        <v>358</v>
      </c>
      <c r="F37" s="30" t="s">
        <v>359</v>
      </c>
      <c r="G37" s="53" t="s">
        <v>360</v>
      </c>
      <c r="H37" s="48" t="s">
        <v>140</v>
      </c>
      <c r="I37" s="30" t="s">
        <v>361</v>
      </c>
      <c r="J37" s="30" t="s">
        <v>86</v>
      </c>
      <c r="K37" s="30" t="s">
        <v>86</v>
      </c>
      <c r="L37" s="30" t="s">
        <v>11</v>
      </c>
      <c r="M37" s="66">
        <v>44044</v>
      </c>
      <c r="N37" s="66"/>
      <c r="O37" s="51">
        <v>45657</v>
      </c>
      <c r="P37" s="46"/>
      <c r="Q37" s="48" t="s">
        <v>69</v>
      </c>
      <c r="R37" s="48"/>
      <c r="S37" s="52" t="s">
        <v>70</v>
      </c>
      <c r="T37" s="47">
        <v>31</v>
      </c>
      <c r="U37" s="47" t="s">
        <v>337</v>
      </c>
      <c r="V37" s="47">
        <f t="shared" ca="1" si="30"/>
        <v>52</v>
      </c>
      <c r="W37" s="53">
        <v>10753100</v>
      </c>
      <c r="X37" s="47">
        <v>191</v>
      </c>
      <c r="Y37" s="54">
        <f t="shared" si="17"/>
        <v>464.59333333333331</v>
      </c>
      <c r="Z37" s="54">
        <f t="shared" si="18"/>
        <v>6968.9</v>
      </c>
      <c r="AA37" s="33">
        <v>13937.8</v>
      </c>
      <c r="AB37" s="33">
        <v>284</v>
      </c>
      <c r="AC37" s="57"/>
      <c r="AD37" s="57"/>
      <c r="AE37" s="64"/>
      <c r="AF37" s="65"/>
      <c r="AG37" s="57"/>
      <c r="AH37" s="57"/>
      <c r="AI37" s="33">
        <v>26400</v>
      </c>
      <c r="AJ37" s="33">
        <f t="shared" si="19"/>
        <v>40621.800000000003</v>
      </c>
      <c r="AK37" s="54">
        <v>0</v>
      </c>
      <c r="AL37" s="54">
        <f t="shared" si="1"/>
        <v>905.95699999999999</v>
      </c>
      <c r="AM37" s="54">
        <f t="shared" si="1"/>
        <v>1811.914</v>
      </c>
      <c r="AN37" s="55">
        <f t="shared" si="20"/>
        <v>1811.914</v>
      </c>
      <c r="AO37" s="56">
        <f t="shared" si="21"/>
        <v>38809.886000000006</v>
      </c>
      <c r="AP37" s="55">
        <f t="shared" si="22"/>
        <v>21371.293333333331</v>
      </c>
      <c r="AQ37" s="55">
        <f t="shared" si="23"/>
        <v>40480</v>
      </c>
      <c r="AR37" s="55">
        <f t="shared" si="24"/>
        <v>2844.36</v>
      </c>
      <c r="AS37" s="55"/>
      <c r="AT37" s="55"/>
      <c r="AU37" s="55"/>
      <c r="AV37" s="57"/>
      <c r="AW37" s="57"/>
      <c r="AX37" s="57"/>
      <c r="AY37" s="55">
        <f t="shared" si="25"/>
        <v>5688.72</v>
      </c>
      <c r="AZ37" s="54">
        <v>0.26</v>
      </c>
      <c r="BA37" s="33">
        <f t="shared" si="26"/>
        <v>1811.914</v>
      </c>
      <c r="BB37" s="33">
        <f t="shared" si="27"/>
        <v>3623.828</v>
      </c>
      <c r="BC37" s="58">
        <f t="shared" si="8"/>
        <v>139.37799999999999</v>
      </c>
      <c r="BD37" s="58">
        <f t="shared" si="8"/>
        <v>278.75599999999997</v>
      </c>
      <c r="BE37" s="55">
        <f t="shared" si="28"/>
        <v>1218.654</v>
      </c>
      <c r="BF37" s="55">
        <f t="shared" si="29"/>
        <v>3244.8544000000002</v>
      </c>
      <c r="BG37" s="59" t="s">
        <v>362</v>
      </c>
      <c r="BH37" s="59" t="s">
        <v>363</v>
      </c>
      <c r="BI37" s="28" t="s">
        <v>364</v>
      </c>
      <c r="BJ37" s="61" t="s">
        <v>365</v>
      </c>
      <c r="BK37" s="61"/>
      <c r="BL37" s="61" t="s">
        <v>366</v>
      </c>
      <c r="BM37" s="62" t="s">
        <v>367</v>
      </c>
      <c r="BN37" s="39"/>
    </row>
    <row r="38" spans="1:66" s="2" customFormat="1" ht="39.950000000000003" hidden="1" customHeight="1" x14ac:dyDescent="0.25">
      <c r="A38" s="67">
        <v>107526</v>
      </c>
      <c r="B38" s="79">
        <v>63</v>
      </c>
      <c r="C38" s="80" t="s">
        <v>368</v>
      </c>
      <c r="D38" s="80" t="s">
        <v>369</v>
      </c>
      <c r="E38" s="30" t="s">
        <v>370</v>
      </c>
      <c r="F38" s="60" t="s">
        <v>371</v>
      </c>
      <c r="G38" s="28" t="s">
        <v>372</v>
      </c>
      <c r="H38" s="48" t="s">
        <v>373</v>
      </c>
      <c r="I38" s="30" t="s">
        <v>202</v>
      </c>
      <c r="J38" s="30" t="s">
        <v>68</v>
      </c>
      <c r="K38" s="30" t="s">
        <v>374</v>
      </c>
      <c r="L38" s="30" t="s">
        <v>255</v>
      </c>
      <c r="M38" s="66">
        <v>44044</v>
      </c>
      <c r="N38" s="66"/>
      <c r="O38" s="51">
        <v>44196</v>
      </c>
      <c r="P38" s="46"/>
      <c r="Q38" s="48" t="s">
        <v>69</v>
      </c>
      <c r="R38" s="48"/>
      <c r="S38" s="52" t="s">
        <v>70</v>
      </c>
      <c r="T38" s="47">
        <v>19</v>
      </c>
      <c r="U38" s="47" t="s">
        <v>88</v>
      </c>
      <c r="V38" s="47">
        <f t="shared" ca="1" si="30"/>
        <v>52</v>
      </c>
      <c r="W38" s="53" t="e">
        <v>#N/A</v>
      </c>
      <c r="X38" s="47">
        <v>190</v>
      </c>
      <c r="Y38" s="54">
        <f t="shared" si="17"/>
        <v>126.4</v>
      </c>
      <c r="Z38" s="54">
        <f t="shared" si="18"/>
        <v>1896</v>
      </c>
      <c r="AA38" s="33">
        <v>3792</v>
      </c>
      <c r="AB38" s="33">
        <v>311</v>
      </c>
      <c r="AC38" s="57"/>
      <c r="AD38" s="57"/>
      <c r="AE38" s="64"/>
      <c r="AF38" s="65"/>
      <c r="AG38" s="57"/>
      <c r="AH38" s="57"/>
      <c r="AI38" s="33">
        <v>9000</v>
      </c>
      <c r="AJ38" s="33">
        <f t="shared" si="19"/>
        <v>13103</v>
      </c>
      <c r="AK38" s="54">
        <v>0</v>
      </c>
      <c r="AL38" s="54">
        <f t="shared" ref="AL38:AM70" si="31">Z38*13%</f>
        <v>246.48000000000002</v>
      </c>
      <c r="AM38" s="54">
        <f t="shared" si="31"/>
        <v>492.96000000000004</v>
      </c>
      <c r="AN38" s="55">
        <f t="shared" si="20"/>
        <v>492.96000000000004</v>
      </c>
      <c r="AO38" s="56">
        <f t="shared" si="21"/>
        <v>12610.04</v>
      </c>
      <c r="AP38" s="55">
        <f t="shared" si="22"/>
        <v>5814.4000000000005</v>
      </c>
      <c r="AQ38" s="55">
        <f t="shared" si="23"/>
        <v>13800</v>
      </c>
      <c r="AR38" s="55">
        <f t="shared" si="24"/>
        <v>820.60000000000014</v>
      </c>
      <c r="AS38" s="55"/>
      <c r="AT38" s="55"/>
      <c r="AU38" s="55"/>
      <c r="AV38" s="57"/>
      <c r="AW38" s="57"/>
      <c r="AX38" s="57"/>
      <c r="AY38" s="55">
        <f t="shared" si="25"/>
        <v>1641.2000000000003</v>
      </c>
      <c r="AZ38" s="54">
        <v>0.26</v>
      </c>
      <c r="BA38" s="33">
        <f t="shared" si="26"/>
        <v>492.96000000000004</v>
      </c>
      <c r="BB38" s="33">
        <f t="shared" si="27"/>
        <v>985.92000000000007</v>
      </c>
      <c r="BC38" s="58">
        <f t="shared" ref="BC38:BD70" si="32">Z38*2%</f>
        <v>37.92</v>
      </c>
      <c r="BD38" s="58">
        <f t="shared" si="32"/>
        <v>75.84</v>
      </c>
      <c r="BE38" s="55">
        <f t="shared" si="28"/>
        <v>393.09</v>
      </c>
      <c r="BF38" s="55">
        <f t="shared" si="29"/>
        <v>1030.7579999999998</v>
      </c>
      <c r="BG38" s="59" t="s">
        <v>375</v>
      </c>
      <c r="BH38" s="60" t="s">
        <v>376</v>
      </c>
      <c r="BI38" s="28" t="s">
        <v>377</v>
      </c>
      <c r="BJ38" s="61" t="s">
        <v>378</v>
      </c>
      <c r="BK38" s="61"/>
      <c r="BL38" s="61" t="s">
        <v>366</v>
      </c>
      <c r="BM38" s="62" t="s">
        <v>379</v>
      </c>
      <c r="BN38" s="39"/>
    </row>
    <row r="39" spans="1:66" s="2" customFormat="1" ht="39.950000000000003" hidden="1" customHeight="1" x14ac:dyDescent="0.25">
      <c r="A39" s="41">
        <v>107527</v>
      </c>
      <c r="B39" s="42">
        <v>53</v>
      </c>
      <c r="C39" s="43" t="s">
        <v>380</v>
      </c>
      <c r="D39" s="43" t="s">
        <v>381</v>
      </c>
      <c r="E39" s="30" t="s">
        <v>382</v>
      </c>
      <c r="F39" s="46" t="s">
        <v>383</v>
      </c>
      <c r="G39" s="47" t="s">
        <v>384</v>
      </c>
      <c r="H39" s="48" t="s">
        <v>161</v>
      </c>
      <c r="I39" s="30" t="s">
        <v>162</v>
      </c>
      <c r="J39" s="30" t="s">
        <v>86</v>
      </c>
      <c r="K39" s="30" t="s">
        <v>87</v>
      </c>
      <c r="L39" s="30" t="s">
        <v>131</v>
      </c>
      <c r="M39" s="66">
        <v>44044</v>
      </c>
      <c r="N39" s="66">
        <v>44743</v>
      </c>
      <c r="O39" s="47"/>
      <c r="P39" s="46"/>
      <c r="Q39" s="48" t="s">
        <v>69</v>
      </c>
      <c r="R39" s="48"/>
      <c r="S39" s="52" t="s">
        <v>148</v>
      </c>
      <c r="T39" s="47">
        <v>7</v>
      </c>
      <c r="U39" s="47" t="s">
        <v>116</v>
      </c>
      <c r="V39" s="47">
        <f t="shared" ca="1" si="30"/>
        <v>56</v>
      </c>
      <c r="W39" s="53">
        <v>10753300</v>
      </c>
      <c r="X39" s="47">
        <v>192</v>
      </c>
      <c r="Y39" s="54">
        <f t="shared" si="17"/>
        <v>200.13333333333333</v>
      </c>
      <c r="Z39" s="54">
        <f t="shared" si="18"/>
        <v>3002</v>
      </c>
      <c r="AA39" s="33">
        <v>6004</v>
      </c>
      <c r="AB39" s="33">
        <v>284</v>
      </c>
      <c r="AC39" s="57"/>
      <c r="AD39" s="57"/>
      <c r="AE39" s="64"/>
      <c r="AF39" s="65"/>
      <c r="AG39" s="57"/>
      <c r="AH39" s="57"/>
      <c r="AI39" s="33">
        <v>10984</v>
      </c>
      <c r="AJ39" s="33">
        <f t="shared" si="19"/>
        <v>17272</v>
      </c>
      <c r="AK39" s="54">
        <v>0</v>
      </c>
      <c r="AL39" s="54">
        <f t="shared" si="31"/>
        <v>390.26</v>
      </c>
      <c r="AM39" s="54">
        <f t="shared" si="31"/>
        <v>780.52</v>
      </c>
      <c r="AN39" s="55">
        <f t="shared" si="20"/>
        <v>780.52</v>
      </c>
      <c r="AO39" s="56">
        <f t="shared" si="21"/>
        <v>16491.48</v>
      </c>
      <c r="AP39" s="55">
        <f t="shared" si="22"/>
        <v>9206.1333333333332</v>
      </c>
      <c r="AQ39" s="55">
        <f t="shared" si="23"/>
        <v>16842.133333333331</v>
      </c>
      <c r="AR39" s="55">
        <f t="shared" si="24"/>
        <v>1257.5999999999999</v>
      </c>
      <c r="AS39" s="55"/>
      <c r="AT39" s="55"/>
      <c r="AU39" s="55"/>
      <c r="AV39" s="57"/>
      <c r="AW39" s="57"/>
      <c r="AX39" s="57"/>
      <c r="AY39" s="55">
        <f t="shared" si="25"/>
        <v>2515.1999999999998</v>
      </c>
      <c r="AZ39" s="54">
        <v>0.19</v>
      </c>
      <c r="BA39" s="33">
        <f t="shared" si="26"/>
        <v>570.38</v>
      </c>
      <c r="BB39" s="33">
        <f t="shared" si="27"/>
        <v>1140.76</v>
      </c>
      <c r="BC39" s="58">
        <f t="shared" si="32"/>
        <v>60.04</v>
      </c>
      <c r="BD39" s="58">
        <f t="shared" si="32"/>
        <v>120.08</v>
      </c>
      <c r="BE39" s="55">
        <f t="shared" si="28"/>
        <v>518.16</v>
      </c>
      <c r="BF39" s="55">
        <f t="shared" si="29"/>
        <v>1375.0639999999999</v>
      </c>
      <c r="BG39" s="60" t="s">
        <v>385</v>
      </c>
      <c r="BH39" s="60" t="s">
        <v>386</v>
      </c>
      <c r="BI39" s="28" t="s">
        <v>387</v>
      </c>
      <c r="BJ39" s="61" t="s">
        <v>388</v>
      </c>
      <c r="BK39" s="61"/>
      <c r="BL39" s="61" t="s">
        <v>389</v>
      </c>
      <c r="BM39" s="62" t="s">
        <v>390</v>
      </c>
      <c r="BN39" s="39"/>
    </row>
    <row r="40" spans="1:66" s="2" customFormat="1" ht="39.950000000000003" hidden="1" customHeight="1" x14ac:dyDescent="0.25">
      <c r="A40" s="41">
        <v>107527</v>
      </c>
      <c r="B40" s="42">
        <v>52</v>
      </c>
      <c r="C40" s="43" t="s">
        <v>381</v>
      </c>
      <c r="D40" s="44" t="s">
        <v>391</v>
      </c>
      <c r="E40" s="30" t="s">
        <v>382</v>
      </c>
      <c r="F40" s="46" t="s">
        <v>383</v>
      </c>
      <c r="G40" s="47" t="s">
        <v>384</v>
      </c>
      <c r="H40" s="48" t="s">
        <v>84</v>
      </c>
      <c r="I40" s="30" t="s">
        <v>311</v>
      </c>
      <c r="J40" s="30" t="s">
        <v>86</v>
      </c>
      <c r="K40" s="30" t="s">
        <v>87</v>
      </c>
      <c r="L40" s="30" t="s">
        <v>131</v>
      </c>
      <c r="M40" s="66"/>
      <c r="N40" s="66">
        <v>44743</v>
      </c>
      <c r="O40" s="47"/>
      <c r="P40" s="46"/>
      <c r="Q40" s="48" t="s">
        <v>69</v>
      </c>
      <c r="R40" s="48"/>
      <c r="S40" s="52" t="s">
        <v>148</v>
      </c>
      <c r="T40" s="47">
        <v>7</v>
      </c>
      <c r="U40" s="47" t="s">
        <v>116</v>
      </c>
      <c r="V40" s="47">
        <f t="shared" ca="1" si="30"/>
        <v>56</v>
      </c>
      <c r="W40" s="53">
        <v>10753300</v>
      </c>
      <c r="X40" s="47">
        <v>192</v>
      </c>
      <c r="Y40" s="54">
        <f t="shared" si="17"/>
        <v>232.92466666666667</v>
      </c>
      <c r="Z40" s="54">
        <f t="shared" si="18"/>
        <v>3493.87</v>
      </c>
      <c r="AA40" s="33">
        <v>6987.74</v>
      </c>
      <c r="AB40" s="33">
        <v>284</v>
      </c>
      <c r="AC40" s="57"/>
      <c r="AD40" s="57"/>
      <c r="AE40" s="64"/>
      <c r="AF40" s="65"/>
      <c r="AG40" s="57"/>
      <c r="AH40" s="57"/>
      <c r="AI40" s="33">
        <v>11283.15</v>
      </c>
      <c r="AJ40" s="33">
        <f t="shared" si="19"/>
        <v>18554.89</v>
      </c>
      <c r="AK40" s="54">
        <v>0</v>
      </c>
      <c r="AL40" s="54">
        <f t="shared" si="31"/>
        <v>454.20310000000001</v>
      </c>
      <c r="AM40" s="54">
        <f t="shared" si="31"/>
        <v>908.40620000000001</v>
      </c>
      <c r="AN40" s="55">
        <f t="shared" si="20"/>
        <v>908.40620000000001</v>
      </c>
      <c r="AO40" s="56">
        <f t="shared" si="21"/>
        <v>17646.483799999998</v>
      </c>
      <c r="AP40" s="55">
        <f t="shared" si="22"/>
        <v>10714.534666666666</v>
      </c>
      <c r="AQ40" s="55">
        <f t="shared" si="23"/>
        <v>17300.829999999998</v>
      </c>
      <c r="AR40" s="55">
        <f t="shared" si="24"/>
        <v>1454.348</v>
      </c>
      <c r="AS40" s="55"/>
      <c r="AT40" s="55"/>
      <c r="AU40" s="55"/>
      <c r="AV40" s="57"/>
      <c r="AW40" s="57"/>
      <c r="AX40" s="57"/>
      <c r="AY40" s="55">
        <f t="shared" si="25"/>
        <v>2908.6959999999999</v>
      </c>
      <c r="AZ40" s="54">
        <v>0.19</v>
      </c>
      <c r="BA40" s="33">
        <f t="shared" si="26"/>
        <v>663.83529999999996</v>
      </c>
      <c r="BB40" s="33">
        <f t="shared" si="27"/>
        <v>1327.6705999999999</v>
      </c>
      <c r="BC40" s="58">
        <f t="shared" si="32"/>
        <v>69.877399999999994</v>
      </c>
      <c r="BD40" s="58">
        <f t="shared" si="32"/>
        <v>139.75479999999999</v>
      </c>
      <c r="BE40" s="55">
        <f t="shared" si="28"/>
        <v>556.64670000000001</v>
      </c>
      <c r="BF40" s="55">
        <f t="shared" si="29"/>
        <v>1484.3685199999995</v>
      </c>
      <c r="BG40" s="60" t="s">
        <v>385</v>
      </c>
      <c r="BH40" s="60" t="s">
        <v>386</v>
      </c>
      <c r="BI40" s="28" t="s">
        <v>387</v>
      </c>
      <c r="BJ40" s="61" t="s">
        <v>388</v>
      </c>
      <c r="BK40" s="61"/>
      <c r="BL40" s="61" t="s">
        <v>389</v>
      </c>
      <c r="BM40" s="62" t="s">
        <v>390</v>
      </c>
      <c r="BN40" s="39"/>
    </row>
    <row r="41" spans="1:66" s="2" customFormat="1" ht="39.950000000000003" hidden="1" customHeight="1" x14ac:dyDescent="0.25">
      <c r="A41" s="41">
        <v>107527</v>
      </c>
      <c r="B41" s="42">
        <v>53</v>
      </c>
      <c r="C41" s="44" t="s">
        <v>391</v>
      </c>
      <c r="D41" s="44" t="s">
        <v>392</v>
      </c>
      <c r="E41" s="30" t="s">
        <v>382</v>
      </c>
      <c r="F41" s="46" t="s">
        <v>383</v>
      </c>
      <c r="G41" s="47" t="s">
        <v>384</v>
      </c>
      <c r="H41" s="48" t="s">
        <v>315</v>
      </c>
      <c r="I41" s="30" t="s">
        <v>316</v>
      </c>
      <c r="J41" s="30" t="s">
        <v>86</v>
      </c>
      <c r="K41" s="30" t="s">
        <v>87</v>
      </c>
      <c r="L41" s="30" t="s">
        <v>11</v>
      </c>
      <c r="M41" s="66"/>
      <c r="N41" s="66">
        <v>45689</v>
      </c>
      <c r="O41" s="51">
        <v>45747</v>
      </c>
      <c r="P41" s="46"/>
      <c r="Q41" s="48" t="s">
        <v>69</v>
      </c>
      <c r="R41" s="48"/>
      <c r="S41" s="52" t="s">
        <v>148</v>
      </c>
      <c r="T41" s="47">
        <v>7</v>
      </c>
      <c r="U41" s="47" t="s">
        <v>116</v>
      </c>
      <c r="V41" s="47">
        <f t="shared" ca="1" si="30"/>
        <v>56</v>
      </c>
      <c r="W41" s="53">
        <v>10753300</v>
      </c>
      <c r="X41" s="47">
        <v>192</v>
      </c>
      <c r="Y41" s="54">
        <f t="shared" si="17"/>
        <v>232.92466666666667</v>
      </c>
      <c r="Z41" s="54">
        <f t="shared" si="18"/>
        <v>3493.87</v>
      </c>
      <c r="AA41" s="33">
        <v>6987.74</v>
      </c>
      <c r="AB41" s="33">
        <v>284</v>
      </c>
      <c r="AC41" s="57"/>
      <c r="AD41" s="57"/>
      <c r="AE41" s="64"/>
      <c r="AF41" s="65"/>
      <c r="AG41" s="57"/>
      <c r="AH41" s="57"/>
      <c r="AI41" s="33">
        <v>11283.15</v>
      </c>
      <c r="AJ41" s="33">
        <f t="shared" ref="AJ41" si="33">SUM(AA41:AI41)</f>
        <v>18554.89</v>
      </c>
      <c r="AK41" s="54">
        <v>0</v>
      </c>
      <c r="AL41" s="54">
        <f t="shared" si="31"/>
        <v>454.20310000000001</v>
      </c>
      <c r="AM41" s="54">
        <f t="shared" si="31"/>
        <v>908.40620000000001</v>
      </c>
      <c r="AN41" s="55">
        <f t="shared" si="20"/>
        <v>908.40620000000001</v>
      </c>
      <c r="AO41" s="56">
        <f t="shared" si="21"/>
        <v>17646.483799999998</v>
      </c>
      <c r="AP41" s="55">
        <f t="shared" si="22"/>
        <v>10714.534666666666</v>
      </c>
      <c r="AQ41" s="55">
        <f t="shared" si="23"/>
        <v>17300.829999999998</v>
      </c>
      <c r="AR41" s="55">
        <f t="shared" si="24"/>
        <v>1454.348</v>
      </c>
      <c r="AS41" s="55"/>
      <c r="AT41" s="55"/>
      <c r="AU41" s="55"/>
      <c r="AV41" s="57"/>
      <c r="AW41" s="57"/>
      <c r="AX41" s="57"/>
      <c r="AY41" s="55">
        <f t="shared" si="25"/>
        <v>2908.6959999999999</v>
      </c>
      <c r="AZ41" s="54">
        <v>0.19</v>
      </c>
      <c r="BA41" s="33">
        <f t="shared" si="26"/>
        <v>663.83529999999996</v>
      </c>
      <c r="BB41" s="33">
        <f t="shared" si="27"/>
        <v>1327.6705999999999</v>
      </c>
      <c r="BC41" s="58">
        <f t="shared" si="32"/>
        <v>69.877399999999994</v>
      </c>
      <c r="BD41" s="58">
        <f t="shared" si="32"/>
        <v>139.75479999999999</v>
      </c>
      <c r="BE41" s="55">
        <f t="shared" si="28"/>
        <v>556.64670000000001</v>
      </c>
      <c r="BF41" s="55">
        <f t="shared" si="29"/>
        <v>1484.3685199999995</v>
      </c>
      <c r="BG41" s="60" t="s">
        <v>385</v>
      </c>
      <c r="BH41" s="60" t="s">
        <v>386</v>
      </c>
      <c r="BI41" s="28" t="s">
        <v>387</v>
      </c>
      <c r="BJ41" s="61" t="s">
        <v>388</v>
      </c>
      <c r="BK41" s="61"/>
      <c r="BL41" s="61" t="s">
        <v>389</v>
      </c>
      <c r="BM41" s="62" t="s">
        <v>390</v>
      </c>
      <c r="BN41" s="39"/>
    </row>
    <row r="42" spans="1:66" s="2" customFormat="1" ht="39.950000000000003" hidden="1" customHeight="1" x14ac:dyDescent="0.25">
      <c r="A42" s="41">
        <v>107528</v>
      </c>
      <c r="B42" s="42">
        <v>23</v>
      </c>
      <c r="C42" s="43" t="s">
        <v>393</v>
      </c>
      <c r="D42" s="44" t="s">
        <v>394</v>
      </c>
      <c r="E42" s="30" t="s">
        <v>395</v>
      </c>
      <c r="F42" s="46" t="s">
        <v>396</v>
      </c>
      <c r="G42" s="47" t="s">
        <v>397</v>
      </c>
      <c r="H42" s="48" t="s">
        <v>140</v>
      </c>
      <c r="I42" s="30" t="s">
        <v>398</v>
      </c>
      <c r="J42" s="30" t="s">
        <v>399</v>
      </c>
      <c r="K42" s="30" t="s">
        <v>399</v>
      </c>
      <c r="L42" s="30" t="s">
        <v>11</v>
      </c>
      <c r="M42" s="50">
        <v>44044</v>
      </c>
      <c r="N42" s="50"/>
      <c r="O42" s="51">
        <v>45657</v>
      </c>
      <c r="P42" s="46"/>
      <c r="Q42" s="48" t="s">
        <v>69</v>
      </c>
      <c r="R42" s="48"/>
      <c r="S42" s="52" t="s">
        <v>70</v>
      </c>
      <c r="T42" s="47">
        <v>30</v>
      </c>
      <c r="U42" s="47" t="s">
        <v>400</v>
      </c>
      <c r="V42" s="47">
        <f t="shared" ca="1" si="30"/>
        <v>62</v>
      </c>
      <c r="W42" s="53">
        <v>10635300</v>
      </c>
      <c r="X42" s="47">
        <v>174</v>
      </c>
      <c r="Y42" s="54">
        <f t="shared" si="17"/>
        <v>464.59333333333331</v>
      </c>
      <c r="Z42" s="54">
        <f t="shared" si="18"/>
        <v>6968.9</v>
      </c>
      <c r="AA42" s="33">
        <v>13937.8</v>
      </c>
      <c r="AB42" s="33">
        <v>284</v>
      </c>
      <c r="AC42" s="57"/>
      <c r="AD42" s="57"/>
      <c r="AE42" s="57"/>
      <c r="AF42" s="68"/>
      <c r="AG42" s="57"/>
      <c r="AH42" s="57"/>
      <c r="AI42" s="33">
        <v>26400</v>
      </c>
      <c r="AJ42" s="33">
        <f t="shared" ref="AJ42:AJ70" si="34">SUM(AA42:AI42)</f>
        <v>40621.800000000003</v>
      </c>
      <c r="AK42" s="54">
        <v>0</v>
      </c>
      <c r="AL42" s="54">
        <f t="shared" si="31"/>
        <v>905.95699999999999</v>
      </c>
      <c r="AM42" s="54">
        <f t="shared" si="31"/>
        <v>1811.914</v>
      </c>
      <c r="AN42" s="55">
        <f t="shared" si="20"/>
        <v>1811.914</v>
      </c>
      <c r="AO42" s="56">
        <f t="shared" si="21"/>
        <v>38809.886000000006</v>
      </c>
      <c r="AP42" s="55">
        <f t="shared" si="22"/>
        <v>21371.293333333331</v>
      </c>
      <c r="AQ42" s="55">
        <f t="shared" si="23"/>
        <v>40480</v>
      </c>
      <c r="AR42" s="55">
        <f t="shared" si="24"/>
        <v>2844.36</v>
      </c>
      <c r="AS42" s="81"/>
      <c r="AT42" s="81"/>
      <c r="AU42" s="81"/>
      <c r="AV42" s="57"/>
      <c r="AW42" s="57"/>
      <c r="AX42" s="57"/>
      <c r="AY42" s="55">
        <f t="shared" si="25"/>
        <v>5688.72</v>
      </c>
      <c r="AZ42" s="54">
        <v>0.19</v>
      </c>
      <c r="BA42" s="33">
        <f t="shared" si="26"/>
        <v>1324.0909999999999</v>
      </c>
      <c r="BB42" s="33">
        <f t="shared" si="27"/>
        <v>2648.1819999999998</v>
      </c>
      <c r="BC42" s="58">
        <f t="shared" si="32"/>
        <v>139.37799999999999</v>
      </c>
      <c r="BD42" s="58">
        <f t="shared" si="32"/>
        <v>278.75599999999997</v>
      </c>
      <c r="BE42" s="55">
        <f t="shared" si="28"/>
        <v>1218.654</v>
      </c>
      <c r="BF42" s="55">
        <f t="shared" si="29"/>
        <v>3244.8544000000002</v>
      </c>
      <c r="BG42" s="59" t="s">
        <v>401</v>
      </c>
      <c r="BH42" s="59" t="s">
        <v>402</v>
      </c>
      <c r="BI42" s="28" t="s">
        <v>403</v>
      </c>
      <c r="BJ42" s="61" t="s">
        <v>404</v>
      </c>
      <c r="BK42" s="61" t="s">
        <v>405</v>
      </c>
      <c r="BL42" s="61" t="s">
        <v>406</v>
      </c>
      <c r="BM42" s="62" t="s">
        <v>407</v>
      </c>
      <c r="BN42" s="39"/>
    </row>
    <row r="43" spans="1:66" s="2" customFormat="1" ht="39.950000000000003" hidden="1" customHeight="1" x14ac:dyDescent="0.25">
      <c r="A43" s="67">
        <v>107529</v>
      </c>
      <c r="B43" s="42">
        <v>12</v>
      </c>
      <c r="C43" s="43" t="s">
        <v>408</v>
      </c>
      <c r="D43" s="43" t="s">
        <v>409</v>
      </c>
      <c r="E43" s="30" t="s">
        <v>410</v>
      </c>
      <c r="F43" s="46" t="s">
        <v>411</v>
      </c>
      <c r="G43" s="47" t="s">
        <v>412</v>
      </c>
      <c r="H43" s="48" t="s">
        <v>161</v>
      </c>
      <c r="I43" s="30" t="s">
        <v>162</v>
      </c>
      <c r="J43" s="30" t="s">
        <v>147</v>
      </c>
      <c r="K43" s="30" t="s">
        <v>336</v>
      </c>
      <c r="L43" s="30" t="s">
        <v>255</v>
      </c>
      <c r="M43" s="50">
        <v>44044</v>
      </c>
      <c r="N43" s="50"/>
      <c r="O43" s="51">
        <v>44196</v>
      </c>
      <c r="P43" s="46"/>
      <c r="Q43" s="48" t="s">
        <v>69</v>
      </c>
      <c r="R43" s="48"/>
      <c r="S43" s="52" t="s">
        <v>148</v>
      </c>
      <c r="T43" s="47">
        <v>28</v>
      </c>
      <c r="U43" s="47" t="s">
        <v>149</v>
      </c>
      <c r="V43" s="47">
        <f t="shared" ca="1" si="30"/>
        <v>38</v>
      </c>
      <c r="W43" s="53" t="e">
        <v>#N/A</v>
      </c>
      <c r="X43" s="47">
        <v>167</v>
      </c>
      <c r="Y43" s="54">
        <f t="shared" si="17"/>
        <v>200.13333333333333</v>
      </c>
      <c r="Z43" s="54">
        <f t="shared" si="18"/>
        <v>3002</v>
      </c>
      <c r="AA43" s="33">
        <v>6004</v>
      </c>
      <c r="AB43" s="33">
        <v>284</v>
      </c>
      <c r="AC43" s="57"/>
      <c r="AD43" s="57"/>
      <c r="AE43" s="64"/>
      <c r="AF43" s="65"/>
      <c r="AG43" s="57"/>
      <c r="AH43" s="57"/>
      <c r="AI43" s="33">
        <v>10984</v>
      </c>
      <c r="AJ43" s="33">
        <f t="shared" si="34"/>
        <v>17272</v>
      </c>
      <c r="AK43" s="54">
        <v>0</v>
      </c>
      <c r="AL43" s="54">
        <f t="shared" si="31"/>
        <v>390.26</v>
      </c>
      <c r="AM43" s="54">
        <f t="shared" si="31"/>
        <v>780.52</v>
      </c>
      <c r="AN43" s="55">
        <f t="shared" si="20"/>
        <v>780.52</v>
      </c>
      <c r="AO43" s="56">
        <f t="shared" si="21"/>
        <v>16491.48</v>
      </c>
      <c r="AP43" s="55">
        <f t="shared" si="22"/>
        <v>9206.1333333333332</v>
      </c>
      <c r="AQ43" s="55">
        <f t="shared" si="23"/>
        <v>16842.133333333331</v>
      </c>
      <c r="AR43" s="55">
        <f t="shared" si="24"/>
        <v>1257.5999999999999</v>
      </c>
      <c r="AS43" s="55"/>
      <c r="AT43" s="55"/>
      <c r="AU43" s="55"/>
      <c r="AV43" s="57"/>
      <c r="AW43" s="57"/>
      <c r="AX43" s="57"/>
      <c r="AY43" s="55">
        <f t="shared" si="25"/>
        <v>2515.1999999999998</v>
      </c>
      <c r="AZ43" s="54">
        <v>0.26</v>
      </c>
      <c r="BA43" s="33">
        <f t="shared" si="26"/>
        <v>780.52</v>
      </c>
      <c r="BB43" s="33">
        <f t="shared" si="27"/>
        <v>1561.04</v>
      </c>
      <c r="BC43" s="58">
        <f t="shared" si="32"/>
        <v>60.04</v>
      </c>
      <c r="BD43" s="58">
        <f t="shared" si="32"/>
        <v>120.08</v>
      </c>
      <c r="BE43" s="55">
        <f t="shared" si="28"/>
        <v>518.16</v>
      </c>
      <c r="BF43" s="55">
        <f t="shared" si="29"/>
        <v>1375.0639999999999</v>
      </c>
      <c r="BG43" s="59" t="s">
        <v>413</v>
      </c>
      <c r="BH43" s="60" t="s">
        <v>414</v>
      </c>
      <c r="BI43" s="28" t="s">
        <v>415</v>
      </c>
      <c r="BJ43" s="61" t="s">
        <v>416</v>
      </c>
      <c r="BK43" s="61"/>
      <c r="BL43" s="61" t="s">
        <v>154</v>
      </c>
      <c r="BM43" s="62" t="s">
        <v>417</v>
      </c>
      <c r="BN43" s="39"/>
    </row>
    <row r="44" spans="1:66" s="2" customFormat="1" ht="39.950000000000003" customHeight="1" x14ac:dyDescent="0.25">
      <c r="A44" s="41">
        <v>107530</v>
      </c>
      <c r="B44" s="42">
        <v>17</v>
      </c>
      <c r="C44" s="43" t="s">
        <v>418</v>
      </c>
      <c r="D44" s="43"/>
      <c r="E44" s="30" t="s">
        <v>419</v>
      </c>
      <c r="F44" s="46" t="s">
        <v>420</v>
      </c>
      <c r="G44" s="47" t="s">
        <v>421</v>
      </c>
      <c r="H44" s="48" t="s">
        <v>267</v>
      </c>
      <c r="I44" s="30" t="s">
        <v>422</v>
      </c>
      <c r="J44" s="30" t="s">
        <v>423</v>
      </c>
      <c r="K44" s="30" t="s">
        <v>424</v>
      </c>
      <c r="L44" s="30" t="s">
        <v>329</v>
      </c>
      <c r="M44" s="50">
        <v>44044</v>
      </c>
      <c r="N44" s="50"/>
      <c r="O44" s="47"/>
      <c r="P44" s="46"/>
      <c r="Q44" s="48" t="s">
        <v>69</v>
      </c>
      <c r="R44" s="48"/>
      <c r="S44" s="52" t="s">
        <v>70</v>
      </c>
      <c r="T44" s="47">
        <v>17</v>
      </c>
      <c r="U44" s="47" t="s">
        <v>337</v>
      </c>
      <c r="V44" s="47">
        <f t="shared" ca="1" si="30"/>
        <v>46</v>
      </c>
      <c r="W44" s="53">
        <v>10781800</v>
      </c>
      <c r="X44" s="47">
        <v>169</v>
      </c>
      <c r="Y44" s="54">
        <f t="shared" si="17"/>
        <v>264.86533333333335</v>
      </c>
      <c r="Z44" s="54">
        <f t="shared" si="18"/>
        <v>3972.98</v>
      </c>
      <c r="AA44" s="33">
        <v>7945.96</v>
      </c>
      <c r="AB44" s="33">
        <v>284</v>
      </c>
      <c r="AC44" s="57"/>
      <c r="AD44" s="57"/>
      <c r="AE44" s="64"/>
      <c r="AF44" s="65"/>
      <c r="AG44" s="57"/>
      <c r="AH44" s="57"/>
      <c r="AI44" s="33">
        <v>18000</v>
      </c>
      <c r="AJ44" s="33">
        <f t="shared" si="34"/>
        <v>26229.96</v>
      </c>
      <c r="AK44" s="54">
        <v>0</v>
      </c>
      <c r="AL44" s="54">
        <f t="shared" si="31"/>
        <v>516.48739999999998</v>
      </c>
      <c r="AM44" s="54">
        <f t="shared" si="31"/>
        <v>1032.9748</v>
      </c>
      <c r="AN44" s="55">
        <f t="shared" si="20"/>
        <v>1032.9748</v>
      </c>
      <c r="AO44" s="56">
        <f t="shared" si="21"/>
        <v>25196.985199999999</v>
      </c>
      <c r="AP44" s="55">
        <f t="shared" si="22"/>
        <v>12183.805333333334</v>
      </c>
      <c r="AQ44" s="55">
        <f t="shared" si="23"/>
        <v>27600</v>
      </c>
      <c r="AR44" s="55">
        <f t="shared" si="24"/>
        <v>1645.992</v>
      </c>
      <c r="AS44" s="55"/>
      <c r="AT44" s="55"/>
      <c r="AU44" s="55"/>
      <c r="AV44" s="57"/>
      <c r="AW44" s="57"/>
      <c r="AX44" s="57"/>
      <c r="AY44" s="55">
        <f t="shared" si="25"/>
        <v>3291.9839999999999</v>
      </c>
      <c r="AZ44" s="54">
        <v>0.26</v>
      </c>
      <c r="BA44" s="33">
        <f t="shared" si="26"/>
        <v>1032.9748</v>
      </c>
      <c r="BB44" s="33">
        <f t="shared" si="27"/>
        <v>2065.9495999999999</v>
      </c>
      <c r="BC44" s="58">
        <f t="shared" si="32"/>
        <v>79.459600000000009</v>
      </c>
      <c r="BD44" s="58">
        <f t="shared" si="32"/>
        <v>158.91920000000002</v>
      </c>
      <c r="BE44" s="55">
        <f t="shared" si="28"/>
        <v>786.89879999999994</v>
      </c>
      <c r="BF44" s="55">
        <f t="shared" si="29"/>
        <v>2079.1724799999997</v>
      </c>
      <c r="BG44" s="60" t="s">
        <v>425</v>
      </c>
      <c r="BH44" s="60" t="s">
        <v>426</v>
      </c>
      <c r="BI44" s="28" t="s">
        <v>427</v>
      </c>
      <c r="BJ44" s="61" t="s">
        <v>428</v>
      </c>
      <c r="BK44" s="61" t="s">
        <v>429</v>
      </c>
      <c r="BL44" s="61" t="s">
        <v>430</v>
      </c>
      <c r="BM44" s="62" t="s">
        <v>431</v>
      </c>
      <c r="BN44" s="39">
        <v>17</v>
      </c>
    </row>
    <row r="45" spans="1:66" s="2" customFormat="1" ht="39.950000000000003" hidden="1" customHeight="1" x14ac:dyDescent="0.2">
      <c r="A45" s="41">
        <v>107544</v>
      </c>
      <c r="B45" s="42">
        <v>41</v>
      </c>
      <c r="C45" s="43" t="s">
        <v>432</v>
      </c>
      <c r="D45" s="43" t="s">
        <v>433</v>
      </c>
      <c r="E45" s="30" t="s">
        <v>434</v>
      </c>
      <c r="F45" s="46" t="s">
        <v>435</v>
      </c>
      <c r="G45" s="47" t="s">
        <v>436</v>
      </c>
      <c r="H45" s="48" t="s">
        <v>140</v>
      </c>
      <c r="I45" s="30" t="s">
        <v>437</v>
      </c>
      <c r="J45" s="30" t="s">
        <v>129</v>
      </c>
      <c r="K45" s="30" t="s">
        <v>129</v>
      </c>
      <c r="L45" s="30" t="s">
        <v>11</v>
      </c>
      <c r="M45" s="50">
        <v>44044</v>
      </c>
      <c r="N45" s="50"/>
      <c r="O45" s="51">
        <v>44576</v>
      </c>
      <c r="P45" s="46"/>
      <c r="Q45" s="48" t="s">
        <v>69</v>
      </c>
      <c r="R45" s="82"/>
      <c r="S45" s="52" t="s">
        <v>148</v>
      </c>
      <c r="T45" s="47">
        <v>23</v>
      </c>
      <c r="U45" s="47" t="s">
        <v>243</v>
      </c>
      <c r="V45" s="47">
        <f t="shared" ca="1" si="30"/>
        <v>47</v>
      </c>
      <c r="W45" s="53">
        <v>10769500</v>
      </c>
      <c r="X45" s="47">
        <v>182</v>
      </c>
      <c r="Y45" s="54">
        <f t="shared" si="17"/>
        <v>464.59333333333331</v>
      </c>
      <c r="Z45" s="54">
        <f t="shared" si="18"/>
        <v>6968.9</v>
      </c>
      <c r="AA45" s="33">
        <v>13937.8</v>
      </c>
      <c r="AB45" s="33">
        <v>284</v>
      </c>
      <c r="AC45" s="57"/>
      <c r="AD45" s="57"/>
      <c r="AE45" s="57"/>
      <c r="AF45" s="68"/>
      <c r="AG45" s="57"/>
      <c r="AH45" s="57"/>
      <c r="AI45" s="33">
        <v>26400</v>
      </c>
      <c r="AJ45" s="33">
        <f t="shared" si="34"/>
        <v>40621.800000000003</v>
      </c>
      <c r="AK45" s="54">
        <v>0</v>
      </c>
      <c r="AL45" s="54">
        <f t="shared" si="31"/>
        <v>905.95699999999999</v>
      </c>
      <c r="AM45" s="54">
        <f t="shared" si="31"/>
        <v>1811.914</v>
      </c>
      <c r="AN45" s="55">
        <f t="shared" si="20"/>
        <v>1811.914</v>
      </c>
      <c r="AO45" s="56">
        <f t="shared" si="21"/>
        <v>38809.886000000006</v>
      </c>
      <c r="AP45" s="55">
        <f t="shared" si="22"/>
        <v>21371.293333333331</v>
      </c>
      <c r="AQ45" s="55">
        <f t="shared" si="23"/>
        <v>40480</v>
      </c>
      <c r="AR45" s="55">
        <f t="shared" si="24"/>
        <v>2844.36</v>
      </c>
      <c r="AS45" s="55"/>
      <c r="AT45" s="55"/>
      <c r="AU45" s="55"/>
      <c r="AV45" s="57"/>
      <c r="AW45" s="57"/>
      <c r="AX45" s="57"/>
      <c r="AY45" s="55">
        <f t="shared" si="25"/>
        <v>5688.72</v>
      </c>
      <c r="AZ45" s="54">
        <v>0.26</v>
      </c>
      <c r="BA45" s="33">
        <f t="shared" si="26"/>
        <v>1811.914</v>
      </c>
      <c r="BB45" s="33">
        <f t="shared" si="27"/>
        <v>3623.828</v>
      </c>
      <c r="BC45" s="58">
        <f t="shared" si="32"/>
        <v>139.37799999999999</v>
      </c>
      <c r="BD45" s="58">
        <f t="shared" si="32"/>
        <v>278.75599999999997</v>
      </c>
      <c r="BE45" s="55">
        <f t="shared" si="28"/>
        <v>1218.654</v>
      </c>
      <c r="BF45" s="55">
        <f t="shared" si="29"/>
        <v>3244.8544000000002</v>
      </c>
      <c r="BG45" s="59" t="s">
        <v>438</v>
      </c>
      <c r="BH45" s="72" t="s">
        <v>439</v>
      </c>
      <c r="BI45" s="76" t="s">
        <v>440</v>
      </c>
      <c r="BJ45" s="61" t="s">
        <v>441</v>
      </c>
      <c r="BK45" s="61"/>
      <c r="BL45" s="61" t="s">
        <v>136</v>
      </c>
      <c r="BM45" s="62" t="s">
        <v>442</v>
      </c>
      <c r="BN45" s="39"/>
    </row>
    <row r="46" spans="1:66" s="2" customFormat="1" ht="39.950000000000003" hidden="1" customHeight="1" x14ac:dyDescent="0.25">
      <c r="A46" s="67">
        <v>107673</v>
      </c>
      <c r="B46" s="42">
        <v>49</v>
      </c>
      <c r="C46" s="43" t="s">
        <v>443</v>
      </c>
      <c r="D46" s="44" t="s">
        <v>444</v>
      </c>
      <c r="E46" s="30" t="s">
        <v>445</v>
      </c>
      <c r="F46" s="46" t="s">
        <v>446</v>
      </c>
      <c r="G46" s="47" t="s">
        <v>447</v>
      </c>
      <c r="H46" s="48" t="s">
        <v>84</v>
      </c>
      <c r="I46" s="30" t="s">
        <v>448</v>
      </c>
      <c r="J46" s="30" t="s">
        <v>449</v>
      </c>
      <c r="K46" s="30" t="s">
        <v>450</v>
      </c>
      <c r="L46" s="30" t="s">
        <v>11</v>
      </c>
      <c r="M46" s="50">
        <v>44044</v>
      </c>
      <c r="N46" s="50"/>
      <c r="O46" s="51">
        <v>45657</v>
      </c>
      <c r="P46" s="46"/>
      <c r="Q46" s="48" t="s">
        <v>69</v>
      </c>
      <c r="R46" s="48"/>
      <c r="S46" s="52" t="s">
        <v>70</v>
      </c>
      <c r="T46" s="47">
        <v>5</v>
      </c>
      <c r="U46" s="47" t="s">
        <v>116</v>
      </c>
      <c r="V46" s="47">
        <f t="shared" ca="1" si="30"/>
        <v>39</v>
      </c>
      <c r="W46" s="53">
        <v>10781400</v>
      </c>
      <c r="X46" s="47">
        <v>189</v>
      </c>
      <c r="Y46" s="54">
        <f t="shared" si="17"/>
        <v>232.92466666666667</v>
      </c>
      <c r="Z46" s="54">
        <f t="shared" si="18"/>
        <v>3493.87</v>
      </c>
      <c r="AA46" s="33">
        <v>6987.74</v>
      </c>
      <c r="AB46" s="33">
        <v>284</v>
      </c>
      <c r="AC46" s="57"/>
      <c r="AD46" s="57"/>
      <c r="AE46" s="64"/>
      <c r="AF46" s="65"/>
      <c r="AG46" s="57"/>
      <c r="AH46" s="57"/>
      <c r="AI46" s="33">
        <v>11283.15</v>
      </c>
      <c r="AJ46" s="33">
        <f t="shared" si="34"/>
        <v>18554.89</v>
      </c>
      <c r="AK46" s="54">
        <v>0</v>
      </c>
      <c r="AL46" s="54">
        <f t="shared" si="31"/>
        <v>454.20310000000001</v>
      </c>
      <c r="AM46" s="54">
        <f t="shared" si="31"/>
        <v>908.40620000000001</v>
      </c>
      <c r="AN46" s="55">
        <f t="shared" si="20"/>
        <v>908.40620000000001</v>
      </c>
      <c r="AO46" s="56">
        <f t="shared" si="21"/>
        <v>17646.483799999998</v>
      </c>
      <c r="AP46" s="55">
        <f t="shared" si="22"/>
        <v>10714.534666666666</v>
      </c>
      <c r="AQ46" s="55">
        <f t="shared" si="23"/>
        <v>17300.829999999998</v>
      </c>
      <c r="AR46" s="55">
        <f t="shared" si="24"/>
        <v>1454.348</v>
      </c>
      <c r="AS46" s="55"/>
      <c r="AT46" s="55"/>
      <c r="AU46" s="55"/>
      <c r="AV46" s="57"/>
      <c r="AW46" s="57"/>
      <c r="AX46" s="57"/>
      <c r="AY46" s="55">
        <f t="shared" si="25"/>
        <v>2908.6959999999999</v>
      </c>
      <c r="AZ46" s="54">
        <v>0.26</v>
      </c>
      <c r="BA46" s="33">
        <f t="shared" si="26"/>
        <v>908.40620000000001</v>
      </c>
      <c r="BB46" s="33">
        <f t="shared" si="27"/>
        <v>1816.8124</v>
      </c>
      <c r="BC46" s="58">
        <f t="shared" si="32"/>
        <v>69.877399999999994</v>
      </c>
      <c r="BD46" s="58">
        <f t="shared" si="32"/>
        <v>139.75479999999999</v>
      </c>
      <c r="BE46" s="55">
        <f t="shared" si="28"/>
        <v>556.64670000000001</v>
      </c>
      <c r="BF46" s="55">
        <f t="shared" si="29"/>
        <v>1484.3685199999995</v>
      </c>
      <c r="BG46" s="59" t="s">
        <v>451</v>
      </c>
      <c r="BH46" s="59" t="s">
        <v>452</v>
      </c>
      <c r="BI46" s="28" t="s">
        <v>453</v>
      </c>
      <c r="BJ46" s="61" t="s">
        <v>454</v>
      </c>
      <c r="BK46" s="61"/>
      <c r="BL46" s="61" t="s">
        <v>455</v>
      </c>
      <c r="BM46" s="62" t="s">
        <v>456</v>
      </c>
      <c r="BN46" s="39"/>
    </row>
    <row r="47" spans="1:66" s="2" customFormat="1" ht="39.950000000000003" hidden="1" customHeight="1" x14ac:dyDescent="0.25">
      <c r="A47" s="67">
        <v>107674</v>
      </c>
      <c r="B47" s="42">
        <v>48</v>
      </c>
      <c r="C47" s="43" t="s">
        <v>457</v>
      </c>
      <c r="D47" s="43" t="s">
        <v>458</v>
      </c>
      <c r="E47" s="30" t="s">
        <v>459</v>
      </c>
      <c r="F47" s="46" t="s">
        <v>460</v>
      </c>
      <c r="G47" s="47" t="s">
        <v>461</v>
      </c>
      <c r="H47" s="48" t="s">
        <v>84</v>
      </c>
      <c r="I47" s="30" t="s">
        <v>462</v>
      </c>
      <c r="J47" s="30" t="s">
        <v>449</v>
      </c>
      <c r="K47" s="30" t="s">
        <v>323</v>
      </c>
      <c r="L47" s="30" t="s">
        <v>11</v>
      </c>
      <c r="M47" s="50">
        <v>44044</v>
      </c>
      <c r="N47" s="50"/>
      <c r="O47" s="51">
        <v>44255</v>
      </c>
      <c r="P47" s="74">
        <v>44424</v>
      </c>
      <c r="Q47" s="48" t="s">
        <v>69</v>
      </c>
      <c r="R47" s="48"/>
      <c r="S47" s="52" t="s">
        <v>70</v>
      </c>
      <c r="T47" s="47">
        <v>18</v>
      </c>
      <c r="U47" s="47" t="s">
        <v>463</v>
      </c>
      <c r="V47" s="47">
        <f t="shared" ca="1" si="30"/>
        <v>42</v>
      </c>
      <c r="W47" s="53">
        <v>10755900</v>
      </c>
      <c r="X47" s="47">
        <v>188</v>
      </c>
      <c r="Y47" s="54">
        <f t="shared" si="17"/>
        <v>232.92466666666667</v>
      </c>
      <c r="Z47" s="54">
        <f t="shared" si="18"/>
        <v>3493.87</v>
      </c>
      <c r="AA47" s="33">
        <v>6987.74</v>
      </c>
      <c r="AB47" s="33">
        <v>284</v>
      </c>
      <c r="AC47" s="57"/>
      <c r="AD47" s="57"/>
      <c r="AE47" s="64"/>
      <c r="AF47" s="65"/>
      <c r="AG47" s="57"/>
      <c r="AH47" s="57"/>
      <c r="AI47" s="33">
        <v>11283.15</v>
      </c>
      <c r="AJ47" s="33">
        <f t="shared" si="34"/>
        <v>18554.89</v>
      </c>
      <c r="AK47" s="54">
        <v>0</v>
      </c>
      <c r="AL47" s="54">
        <f t="shared" si="31"/>
        <v>454.20310000000001</v>
      </c>
      <c r="AM47" s="54">
        <f t="shared" si="31"/>
        <v>908.40620000000001</v>
      </c>
      <c r="AN47" s="55">
        <f t="shared" si="20"/>
        <v>908.40620000000001</v>
      </c>
      <c r="AO47" s="56">
        <f t="shared" si="21"/>
        <v>17646.483799999998</v>
      </c>
      <c r="AP47" s="55">
        <f t="shared" si="22"/>
        <v>10714.534666666666</v>
      </c>
      <c r="AQ47" s="55">
        <f t="shared" si="23"/>
        <v>17300.829999999998</v>
      </c>
      <c r="AR47" s="55">
        <f t="shared" si="24"/>
        <v>1454.348</v>
      </c>
      <c r="AS47" s="55"/>
      <c r="AT47" s="55"/>
      <c r="AU47" s="55"/>
      <c r="AV47" s="57"/>
      <c r="AW47" s="57"/>
      <c r="AX47" s="57"/>
      <c r="AY47" s="55">
        <f t="shared" si="25"/>
        <v>2908.6959999999999</v>
      </c>
      <c r="AZ47" s="54">
        <v>0.26</v>
      </c>
      <c r="BA47" s="33">
        <f t="shared" si="26"/>
        <v>908.40620000000001</v>
      </c>
      <c r="BB47" s="33">
        <f t="shared" si="27"/>
        <v>1816.8124</v>
      </c>
      <c r="BC47" s="58">
        <f t="shared" si="32"/>
        <v>69.877399999999994</v>
      </c>
      <c r="BD47" s="58">
        <f t="shared" si="32"/>
        <v>139.75479999999999</v>
      </c>
      <c r="BE47" s="55">
        <f t="shared" si="28"/>
        <v>556.64670000000001</v>
      </c>
      <c r="BF47" s="55">
        <f t="shared" si="29"/>
        <v>1484.3685199999995</v>
      </c>
      <c r="BG47" s="59" t="s">
        <v>464</v>
      </c>
      <c r="BH47" s="60" t="s">
        <v>465</v>
      </c>
      <c r="BI47" s="28" t="s">
        <v>466</v>
      </c>
      <c r="BJ47" s="61" t="s">
        <v>467</v>
      </c>
      <c r="BK47" s="61"/>
      <c r="BL47" s="61" t="s">
        <v>194</v>
      </c>
      <c r="BM47" s="62" t="s">
        <v>468</v>
      </c>
      <c r="BN47" s="39"/>
    </row>
    <row r="48" spans="1:66" s="2" customFormat="1" ht="39.950000000000003" hidden="1" customHeight="1" x14ac:dyDescent="0.25">
      <c r="A48" s="67">
        <v>107674</v>
      </c>
      <c r="B48" s="42">
        <v>48</v>
      </c>
      <c r="C48" s="43" t="s">
        <v>469</v>
      </c>
      <c r="D48" s="43" t="s">
        <v>470</v>
      </c>
      <c r="E48" s="30" t="s">
        <v>459</v>
      </c>
      <c r="F48" s="46" t="s">
        <v>460</v>
      </c>
      <c r="G48" s="47" t="s">
        <v>461</v>
      </c>
      <c r="H48" s="48" t="s">
        <v>84</v>
      </c>
      <c r="I48" s="30" t="s">
        <v>462</v>
      </c>
      <c r="J48" s="30" t="s">
        <v>449</v>
      </c>
      <c r="K48" s="30" t="s">
        <v>323</v>
      </c>
      <c r="L48" s="30" t="s">
        <v>11</v>
      </c>
      <c r="M48" s="50" t="s">
        <v>471</v>
      </c>
      <c r="N48" s="50"/>
      <c r="O48" s="51">
        <v>44533</v>
      </c>
      <c r="P48" s="74"/>
      <c r="Q48" s="48" t="s">
        <v>69</v>
      </c>
      <c r="R48" s="48"/>
      <c r="S48" s="52" t="s">
        <v>70</v>
      </c>
      <c r="T48" s="47">
        <v>18</v>
      </c>
      <c r="U48" s="47" t="s">
        <v>463</v>
      </c>
      <c r="V48" s="47">
        <f t="shared" ca="1" si="30"/>
        <v>42</v>
      </c>
      <c r="W48" s="53">
        <v>10755900</v>
      </c>
      <c r="X48" s="47">
        <v>188</v>
      </c>
      <c r="Y48" s="54">
        <f t="shared" si="17"/>
        <v>232.92466666666667</v>
      </c>
      <c r="Z48" s="54">
        <f t="shared" si="18"/>
        <v>3493.87</v>
      </c>
      <c r="AA48" s="33">
        <v>6987.74</v>
      </c>
      <c r="AB48" s="33">
        <v>284</v>
      </c>
      <c r="AC48" s="57"/>
      <c r="AD48" s="57"/>
      <c r="AE48" s="64"/>
      <c r="AF48" s="65"/>
      <c r="AG48" s="57"/>
      <c r="AH48" s="57"/>
      <c r="AI48" s="33">
        <v>11283.15</v>
      </c>
      <c r="AJ48" s="33">
        <f t="shared" si="34"/>
        <v>18554.89</v>
      </c>
      <c r="AK48" s="54">
        <v>0</v>
      </c>
      <c r="AL48" s="54">
        <f t="shared" si="31"/>
        <v>454.20310000000001</v>
      </c>
      <c r="AM48" s="54">
        <f t="shared" si="31"/>
        <v>908.40620000000001</v>
      </c>
      <c r="AN48" s="55">
        <f t="shared" si="20"/>
        <v>908.40620000000001</v>
      </c>
      <c r="AO48" s="56">
        <f t="shared" si="21"/>
        <v>17646.483799999998</v>
      </c>
      <c r="AP48" s="55">
        <f t="shared" si="22"/>
        <v>10714.534666666666</v>
      </c>
      <c r="AQ48" s="55">
        <f t="shared" si="23"/>
        <v>17300.829999999998</v>
      </c>
      <c r="AR48" s="55">
        <f t="shared" si="24"/>
        <v>1454.348</v>
      </c>
      <c r="AS48" s="55"/>
      <c r="AT48" s="55"/>
      <c r="AU48" s="55"/>
      <c r="AV48" s="57"/>
      <c r="AW48" s="57"/>
      <c r="AX48" s="57"/>
      <c r="AY48" s="55">
        <f t="shared" si="25"/>
        <v>2908.6959999999999</v>
      </c>
      <c r="AZ48" s="54">
        <v>0.26</v>
      </c>
      <c r="BA48" s="33">
        <f t="shared" si="26"/>
        <v>908.40620000000001</v>
      </c>
      <c r="BB48" s="33">
        <f t="shared" si="27"/>
        <v>1816.8124</v>
      </c>
      <c r="BC48" s="58">
        <f t="shared" si="32"/>
        <v>69.877399999999994</v>
      </c>
      <c r="BD48" s="58">
        <f t="shared" si="32"/>
        <v>139.75479999999999</v>
      </c>
      <c r="BE48" s="55">
        <f t="shared" si="28"/>
        <v>556.64670000000001</v>
      </c>
      <c r="BF48" s="55">
        <f t="shared" si="29"/>
        <v>1484.3685199999995</v>
      </c>
      <c r="BG48" s="59" t="s">
        <v>464</v>
      </c>
      <c r="BH48" s="60" t="s">
        <v>465</v>
      </c>
      <c r="BI48" s="28" t="s">
        <v>466</v>
      </c>
      <c r="BJ48" s="61" t="s">
        <v>467</v>
      </c>
      <c r="BK48" s="61"/>
      <c r="BL48" s="61" t="s">
        <v>194</v>
      </c>
      <c r="BM48" s="62" t="s">
        <v>468</v>
      </c>
      <c r="BN48" s="39"/>
    </row>
    <row r="49" spans="1:66" s="2" customFormat="1" ht="39.950000000000003" hidden="1" customHeight="1" x14ac:dyDescent="0.25">
      <c r="A49" s="41">
        <v>107675</v>
      </c>
      <c r="B49" s="42">
        <v>32</v>
      </c>
      <c r="C49" s="43" t="s">
        <v>472</v>
      </c>
      <c r="D49" s="43" t="s">
        <v>473</v>
      </c>
      <c r="E49" s="30" t="s">
        <v>474</v>
      </c>
      <c r="F49" s="46" t="s">
        <v>475</v>
      </c>
      <c r="G49" s="47" t="s">
        <v>476</v>
      </c>
      <c r="H49" s="48" t="s">
        <v>140</v>
      </c>
      <c r="I49" s="30" t="s">
        <v>477</v>
      </c>
      <c r="J49" s="30" t="s">
        <v>67</v>
      </c>
      <c r="K49" s="30" t="s">
        <v>478</v>
      </c>
      <c r="L49" s="30" t="s">
        <v>11</v>
      </c>
      <c r="M49" s="50">
        <v>44044</v>
      </c>
      <c r="N49" s="50"/>
      <c r="O49" s="51">
        <v>45639</v>
      </c>
      <c r="P49" s="46"/>
      <c r="Q49" s="48" t="s">
        <v>69</v>
      </c>
      <c r="R49" s="82"/>
      <c r="S49" s="52" t="s">
        <v>148</v>
      </c>
      <c r="T49" s="47">
        <v>24</v>
      </c>
      <c r="U49" s="47" t="s">
        <v>175</v>
      </c>
      <c r="V49" s="47">
        <f t="shared" ca="1" si="30"/>
        <v>32</v>
      </c>
      <c r="W49" s="53">
        <v>10789700</v>
      </c>
      <c r="X49" s="47">
        <v>178</v>
      </c>
      <c r="Y49" s="54">
        <f t="shared" si="17"/>
        <v>464.59333333333331</v>
      </c>
      <c r="Z49" s="54">
        <f t="shared" si="18"/>
        <v>6968.9</v>
      </c>
      <c r="AA49" s="33">
        <v>13937.8</v>
      </c>
      <c r="AB49" s="33">
        <v>284</v>
      </c>
      <c r="AC49" s="57"/>
      <c r="AD49" s="57"/>
      <c r="AE49" s="57"/>
      <c r="AF49" s="68"/>
      <c r="AG49" s="57"/>
      <c r="AH49" s="57"/>
      <c r="AI49" s="33">
        <v>26400</v>
      </c>
      <c r="AJ49" s="33">
        <f t="shared" si="34"/>
        <v>40621.800000000003</v>
      </c>
      <c r="AK49" s="54">
        <v>0</v>
      </c>
      <c r="AL49" s="54">
        <f t="shared" si="31"/>
        <v>905.95699999999999</v>
      </c>
      <c r="AM49" s="54">
        <f t="shared" si="31"/>
        <v>1811.914</v>
      </c>
      <c r="AN49" s="55">
        <f t="shared" si="20"/>
        <v>1811.914</v>
      </c>
      <c r="AO49" s="56">
        <f t="shared" si="21"/>
        <v>38809.886000000006</v>
      </c>
      <c r="AP49" s="55">
        <f t="shared" si="22"/>
        <v>21371.293333333331</v>
      </c>
      <c r="AQ49" s="55">
        <f t="shared" si="23"/>
        <v>40480</v>
      </c>
      <c r="AR49" s="55">
        <f t="shared" si="24"/>
        <v>2844.36</v>
      </c>
      <c r="AS49" s="55"/>
      <c r="AT49" s="55"/>
      <c r="AU49" s="55"/>
      <c r="AV49" s="57"/>
      <c r="AW49" s="57"/>
      <c r="AX49" s="57"/>
      <c r="AY49" s="55">
        <f t="shared" si="25"/>
        <v>5688.72</v>
      </c>
      <c r="AZ49" s="54">
        <v>0.26</v>
      </c>
      <c r="BA49" s="33">
        <f t="shared" si="26"/>
        <v>1811.914</v>
      </c>
      <c r="BB49" s="33">
        <f t="shared" si="27"/>
        <v>3623.828</v>
      </c>
      <c r="BC49" s="58">
        <f t="shared" si="32"/>
        <v>139.37799999999999</v>
      </c>
      <c r="BD49" s="58">
        <f t="shared" si="32"/>
        <v>278.75599999999997</v>
      </c>
      <c r="BE49" s="55">
        <f t="shared" si="28"/>
        <v>1218.654</v>
      </c>
      <c r="BF49" s="55">
        <f t="shared" si="29"/>
        <v>3244.8544000000002</v>
      </c>
      <c r="BG49" s="59" t="s">
        <v>479</v>
      </c>
      <c r="BH49" s="59" t="s">
        <v>480</v>
      </c>
      <c r="BI49" s="28" t="s">
        <v>481</v>
      </c>
      <c r="BJ49" s="61" t="s">
        <v>482</v>
      </c>
      <c r="BK49" s="61" t="s">
        <v>483</v>
      </c>
      <c r="BL49" s="61" t="s">
        <v>484</v>
      </c>
      <c r="BM49" s="62" t="s">
        <v>485</v>
      </c>
      <c r="BN49" s="39"/>
    </row>
    <row r="50" spans="1:66" s="2" customFormat="1" ht="39.950000000000003" hidden="1" customHeight="1" x14ac:dyDescent="0.25">
      <c r="A50" s="41">
        <v>92700100</v>
      </c>
      <c r="B50" s="42">
        <v>1</v>
      </c>
      <c r="C50" s="43" t="s">
        <v>486</v>
      </c>
      <c r="D50" s="43" t="s">
        <v>487</v>
      </c>
      <c r="E50" s="83" t="s">
        <v>488</v>
      </c>
      <c r="F50" s="84" t="s">
        <v>489</v>
      </c>
      <c r="G50" s="47" t="s">
        <v>490</v>
      </c>
      <c r="H50" s="48" t="s">
        <v>161</v>
      </c>
      <c r="I50" s="30" t="s">
        <v>162</v>
      </c>
      <c r="J50" s="30" t="s">
        <v>491</v>
      </c>
      <c r="K50" s="30" t="s">
        <v>492</v>
      </c>
      <c r="L50" s="30" t="s">
        <v>11</v>
      </c>
      <c r="M50" s="50">
        <v>44013</v>
      </c>
      <c r="N50" s="50"/>
      <c r="O50" s="51">
        <v>44196</v>
      </c>
      <c r="P50" s="46"/>
      <c r="Q50" s="48" t="s">
        <v>69</v>
      </c>
      <c r="R50" s="48"/>
      <c r="S50" s="52" t="s">
        <v>70</v>
      </c>
      <c r="T50" s="47">
        <v>31</v>
      </c>
      <c r="U50" s="47" t="s">
        <v>175</v>
      </c>
      <c r="V50" s="47">
        <f t="shared" ca="1" si="30"/>
        <v>32</v>
      </c>
      <c r="W50" s="53">
        <v>10748000</v>
      </c>
      <c r="X50" s="47">
        <v>170</v>
      </c>
      <c r="Y50" s="54">
        <f t="shared" si="17"/>
        <v>200.13333333333333</v>
      </c>
      <c r="Z50" s="54">
        <f t="shared" si="18"/>
        <v>3002</v>
      </c>
      <c r="AA50" s="33">
        <v>6004</v>
      </c>
      <c r="AB50" s="33">
        <v>284</v>
      </c>
      <c r="AC50" s="57"/>
      <c r="AD50" s="57"/>
      <c r="AE50" s="57"/>
      <c r="AF50" s="68"/>
      <c r="AG50" s="57"/>
      <c r="AH50" s="57"/>
      <c r="AI50" s="33">
        <v>10984</v>
      </c>
      <c r="AJ50" s="33">
        <f t="shared" si="34"/>
        <v>17272</v>
      </c>
      <c r="AK50" s="54">
        <v>0</v>
      </c>
      <c r="AL50" s="54">
        <f t="shared" si="31"/>
        <v>390.26</v>
      </c>
      <c r="AM50" s="54">
        <f t="shared" si="31"/>
        <v>780.52</v>
      </c>
      <c r="AN50" s="55">
        <f t="shared" si="20"/>
        <v>780.52</v>
      </c>
      <c r="AO50" s="56">
        <f t="shared" si="21"/>
        <v>16491.48</v>
      </c>
      <c r="AP50" s="55">
        <f t="shared" si="22"/>
        <v>9206.1333333333332</v>
      </c>
      <c r="AQ50" s="55">
        <f t="shared" si="23"/>
        <v>16842.133333333331</v>
      </c>
      <c r="AR50" s="55">
        <f t="shared" si="24"/>
        <v>1257.5999999999999</v>
      </c>
      <c r="AS50" s="55"/>
      <c r="AT50" s="55"/>
      <c r="AU50" s="55"/>
      <c r="AV50" s="57"/>
      <c r="AW50" s="57"/>
      <c r="AX50" s="57"/>
      <c r="AY50" s="55">
        <f t="shared" si="25"/>
        <v>2515.1999999999998</v>
      </c>
      <c r="AZ50" s="54">
        <v>0.26</v>
      </c>
      <c r="BA50" s="33">
        <f t="shared" si="26"/>
        <v>780.52</v>
      </c>
      <c r="BB50" s="33">
        <f t="shared" si="27"/>
        <v>1561.04</v>
      </c>
      <c r="BC50" s="58">
        <f t="shared" si="32"/>
        <v>60.04</v>
      </c>
      <c r="BD50" s="58">
        <f t="shared" si="32"/>
        <v>120.08</v>
      </c>
      <c r="BE50" s="55">
        <f t="shared" si="28"/>
        <v>518.16</v>
      </c>
      <c r="BF50" s="55">
        <f t="shared" si="29"/>
        <v>1375.0639999999999</v>
      </c>
      <c r="BG50" s="59" t="s">
        <v>493</v>
      </c>
      <c r="BH50" s="59" t="s">
        <v>494</v>
      </c>
      <c r="BI50" s="28" t="s">
        <v>495</v>
      </c>
      <c r="BJ50" s="61" t="s">
        <v>496</v>
      </c>
      <c r="BK50" s="61"/>
      <c r="BL50" s="61" t="s">
        <v>497</v>
      </c>
      <c r="BM50" s="62" t="s">
        <v>498</v>
      </c>
      <c r="BN50" s="39"/>
    </row>
    <row r="51" spans="1:66" s="2" customFormat="1" ht="39.950000000000003" hidden="1" customHeight="1" x14ac:dyDescent="0.25">
      <c r="A51" s="41">
        <v>92700100</v>
      </c>
      <c r="B51" s="42">
        <v>45</v>
      </c>
      <c r="C51" s="43" t="s">
        <v>499</v>
      </c>
      <c r="D51" s="43" t="s">
        <v>500</v>
      </c>
      <c r="E51" s="83" t="s">
        <v>488</v>
      </c>
      <c r="F51" s="84" t="s">
        <v>489</v>
      </c>
      <c r="G51" s="47" t="s">
        <v>490</v>
      </c>
      <c r="H51" s="48" t="s">
        <v>161</v>
      </c>
      <c r="I51" s="30" t="s">
        <v>162</v>
      </c>
      <c r="J51" s="30" t="s">
        <v>129</v>
      </c>
      <c r="K51" s="30" t="s">
        <v>501</v>
      </c>
      <c r="L51" s="30" t="s">
        <v>11</v>
      </c>
      <c r="M51" s="50">
        <v>44197</v>
      </c>
      <c r="N51" s="50"/>
      <c r="O51" s="51">
        <v>44592</v>
      </c>
      <c r="P51" s="46"/>
      <c r="Q51" s="48" t="s">
        <v>69</v>
      </c>
      <c r="R51" s="48"/>
      <c r="S51" s="52" t="s">
        <v>70</v>
      </c>
      <c r="T51" s="47">
        <v>31</v>
      </c>
      <c r="U51" s="47" t="s">
        <v>175</v>
      </c>
      <c r="V51" s="47">
        <f t="shared" ca="1" si="30"/>
        <v>32</v>
      </c>
      <c r="W51" s="53">
        <v>10748000</v>
      </c>
      <c r="X51" s="47">
        <v>184</v>
      </c>
      <c r="Y51" s="54">
        <f t="shared" si="17"/>
        <v>200.13333333333333</v>
      </c>
      <c r="Z51" s="54">
        <f t="shared" si="18"/>
        <v>3002</v>
      </c>
      <c r="AA51" s="33">
        <v>6004</v>
      </c>
      <c r="AB51" s="33">
        <v>284</v>
      </c>
      <c r="AC51" s="57"/>
      <c r="AD51" s="57"/>
      <c r="AE51" s="64"/>
      <c r="AF51" s="65"/>
      <c r="AG51" s="57"/>
      <c r="AH51" s="57"/>
      <c r="AI51" s="33">
        <v>7000</v>
      </c>
      <c r="AJ51" s="33">
        <f t="shared" si="34"/>
        <v>13288</v>
      </c>
      <c r="AK51" s="54">
        <v>0</v>
      </c>
      <c r="AL51" s="54">
        <f t="shared" si="31"/>
        <v>390.26</v>
      </c>
      <c r="AM51" s="54">
        <f t="shared" si="31"/>
        <v>780.52</v>
      </c>
      <c r="AN51" s="55">
        <f t="shared" si="20"/>
        <v>780.52</v>
      </c>
      <c r="AO51" s="56">
        <f t="shared" si="21"/>
        <v>12507.48</v>
      </c>
      <c r="AP51" s="55">
        <f t="shared" si="22"/>
        <v>9206.1333333333332</v>
      </c>
      <c r="AQ51" s="55">
        <f t="shared" si="23"/>
        <v>10733.333333333334</v>
      </c>
      <c r="AR51" s="55">
        <f t="shared" si="24"/>
        <v>1257.5999999999999</v>
      </c>
      <c r="AS51" s="55">
        <f>+(AB51+AC51+AD51+AE51+AG51)/30*12/2</f>
        <v>56.8</v>
      </c>
      <c r="AT51" s="55">
        <f>+(AC51+AD51+AE51+AF51+AH51)/30*12/2</f>
        <v>0</v>
      </c>
      <c r="AU51" s="55">
        <f>+(AD51+AE51+AF51+AG51+AI51)/30*12/2</f>
        <v>1400</v>
      </c>
      <c r="AV51" s="57" t="e">
        <f>+(AE51+AF51+AG51+AH51+#REF!)/30*12/2</f>
        <v>#REF!</v>
      </c>
      <c r="AW51" s="57">
        <f>+(AF51+AG51+AH51+AI51+AJ51)/30*12/2</f>
        <v>4057.6</v>
      </c>
      <c r="AX51" s="57" t="e">
        <f>+(AG51+AH51+AI51+#REF!+AK51)/30*12/2</f>
        <v>#REF!</v>
      </c>
      <c r="AY51" s="55">
        <f t="shared" si="25"/>
        <v>2515.1999999999998</v>
      </c>
      <c r="AZ51" s="54">
        <v>0.26</v>
      </c>
      <c r="BA51" s="33">
        <f t="shared" si="26"/>
        <v>780.52</v>
      </c>
      <c r="BB51" s="33">
        <f t="shared" si="27"/>
        <v>1561.04</v>
      </c>
      <c r="BC51" s="58">
        <f t="shared" si="32"/>
        <v>60.04</v>
      </c>
      <c r="BD51" s="58">
        <f t="shared" si="32"/>
        <v>120.08</v>
      </c>
      <c r="BE51" s="55">
        <f t="shared" si="28"/>
        <v>398.64</v>
      </c>
      <c r="BF51" s="55">
        <f t="shared" si="29"/>
        <v>1072.28</v>
      </c>
      <c r="BG51" s="59" t="s">
        <v>493</v>
      </c>
      <c r="BH51" s="59" t="s">
        <v>494</v>
      </c>
      <c r="BI51" s="28" t="s">
        <v>495</v>
      </c>
      <c r="BJ51" s="61" t="s">
        <v>496</v>
      </c>
      <c r="BK51" s="61"/>
      <c r="BL51" s="61" t="s">
        <v>497</v>
      </c>
      <c r="BM51" s="62" t="s">
        <v>498</v>
      </c>
      <c r="BN51" s="39"/>
    </row>
    <row r="52" spans="1:66" s="2" customFormat="1" ht="39.950000000000003" hidden="1" customHeight="1" x14ac:dyDescent="0.2">
      <c r="A52" s="41" t="s">
        <v>502</v>
      </c>
      <c r="B52" s="42">
        <v>2</v>
      </c>
      <c r="C52" s="43" t="s">
        <v>503</v>
      </c>
      <c r="D52" s="43" t="s">
        <v>504</v>
      </c>
      <c r="E52" s="83" t="s">
        <v>505</v>
      </c>
      <c r="F52" s="84" t="s">
        <v>506</v>
      </c>
      <c r="G52" s="47" t="s">
        <v>507</v>
      </c>
      <c r="H52" s="48" t="s">
        <v>161</v>
      </c>
      <c r="I52" s="30" t="s">
        <v>162</v>
      </c>
      <c r="J52" s="30" t="s">
        <v>491</v>
      </c>
      <c r="K52" s="30" t="s">
        <v>492</v>
      </c>
      <c r="L52" s="30" t="s">
        <v>255</v>
      </c>
      <c r="M52" s="50">
        <v>44013</v>
      </c>
      <c r="N52" s="50"/>
      <c r="O52" s="51">
        <v>44196</v>
      </c>
      <c r="P52" s="46"/>
      <c r="Q52" s="48" t="s">
        <v>69</v>
      </c>
      <c r="R52" s="48"/>
      <c r="S52" s="52" t="s">
        <v>148</v>
      </c>
      <c r="T52" s="47">
        <v>27</v>
      </c>
      <c r="U52" s="47" t="s">
        <v>103</v>
      </c>
      <c r="V52" s="47">
        <f t="shared" ca="1" si="30"/>
        <v>34</v>
      </c>
      <c r="W52" s="53" t="e">
        <v>#N/A</v>
      </c>
      <c r="X52" s="47">
        <v>170</v>
      </c>
      <c r="Y52" s="54">
        <f t="shared" si="17"/>
        <v>200.13333333333333</v>
      </c>
      <c r="Z52" s="54">
        <f t="shared" si="18"/>
        <v>3002</v>
      </c>
      <c r="AA52" s="33">
        <v>6004</v>
      </c>
      <c r="AB52" s="33">
        <v>284</v>
      </c>
      <c r="AC52" s="57"/>
      <c r="AD52" s="57"/>
      <c r="AE52" s="64"/>
      <c r="AF52" s="65"/>
      <c r="AG52" s="57"/>
      <c r="AH52" s="57"/>
      <c r="AI52" s="33">
        <v>7000</v>
      </c>
      <c r="AJ52" s="33">
        <f t="shared" si="34"/>
        <v>13288</v>
      </c>
      <c r="AK52" s="54">
        <v>0</v>
      </c>
      <c r="AL52" s="54">
        <f t="shared" si="31"/>
        <v>390.26</v>
      </c>
      <c r="AM52" s="54">
        <f t="shared" si="31"/>
        <v>780.52</v>
      </c>
      <c r="AN52" s="55">
        <f t="shared" si="20"/>
        <v>780.52</v>
      </c>
      <c r="AO52" s="56">
        <f t="shared" si="21"/>
        <v>12507.48</v>
      </c>
      <c r="AP52" s="55">
        <f t="shared" si="22"/>
        <v>9206.1333333333332</v>
      </c>
      <c r="AQ52" s="55">
        <f t="shared" si="23"/>
        <v>10733.333333333334</v>
      </c>
      <c r="AR52" s="55">
        <f t="shared" si="24"/>
        <v>1257.5999999999999</v>
      </c>
      <c r="AS52" s="55"/>
      <c r="AT52" s="55"/>
      <c r="AU52" s="55"/>
      <c r="AV52" s="57"/>
      <c r="AW52" s="57"/>
      <c r="AX52" s="57"/>
      <c r="AY52" s="55">
        <f t="shared" si="25"/>
        <v>2515.1999999999998</v>
      </c>
      <c r="AZ52" s="54">
        <v>0.26</v>
      </c>
      <c r="BA52" s="33">
        <f t="shared" si="26"/>
        <v>780.52</v>
      </c>
      <c r="BB52" s="33">
        <f t="shared" si="27"/>
        <v>1561.04</v>
      </c>
      <c r="BC52" s="58">
        <f t="shared" si="32"/>
        <v>60.04</v>
      </c>
      <c r="BD52" s="58">
        <f t="shared" si="32"/>
        <v>120.08</v>
      </c>
      <c r="BE52" s="55">
        <f t="shared" si="28"/>
        <v>398.64</v>
      </c>
      <c r="BF52" s="55">
        <f t="shared" si="29"/>
        <v>1072.28</v>
      </c>
      <c r="BG52" s="60"/>
      <c r="BH52" s="72" t="s">
        <v>508</v>
      </c>
      <c r="BI52" s="76" t="s">
        <v>509</v>
      </c>
      <c r="BJ52" s="61" t="s">
        <v>510</v>
      </c>
      <c r="BK52" s="61"/>
      <c r="BL52" s="61" t="s">
        <v>511</v>
      </c>
      <c r="BM52" s="62" t="s">
        <v>512</v>
      </c>
      <c r="BN52" s="39"/>
    </row>
    <row r="53" spans="1:66" s="2" customFormat="1" ht="39.950000000000003" hidden="1" customHeight="1" x14ac:dyDescent="0.25">
      <c r="A53" s="41" t="s">
        <v>513</v>
      </c>
      <c r="B53" s="42">
        <v>3</v>
      </c>
      <c r="C53" s="43" t="s">
        <v>514</v>
      </c>
      <c r="D53" s="43" t="s">
        <v>515</v>
      </c>
      <c r="E53" s="30" t="s">
        <v>516</v>
      </c>
      <c r="F53" s="46" t="s">
        <v>517</v>
      </c>
      <c r="G53" s="47" t="s">
        <v>518</v>
      </c>
      <c r="H53" s="48" t="s">
        <v>84</v>
      </c>
      <c r="I53" s="30" t="s">
        <v>519</v>
      </c>
      <c r="J53" s="30" t="s">
        <v>129</v>
      </c>
      <c r="K53" s="30" t="s">
        <v>520</v>
      </c>
      <c r="L53" s="30" t="s">
        <v>255</v>
      </c>
      <c r="M53" s="50">
        <v>44013</v>
      </c>
      <c r="N53" s="50"/>
      <c r="O53" s="51">
        <v>44196</v>
      </c>
      <c r="P53" s="46"/>
      <c r="Q53" s="48" t="s">
        <v>69</v>
      </c>
      <c r="R53" s="82"/>
      <c r="S53" s="52" t="s">
        <v>70</v>
      </c>
      <c r="T53" s="47">
        <v>14</v>
      </c>
      <c r="U53" s="47" t="s">
        <v>243</v>
      </c>
      <c r="V53" s="47">
        <f t="shared" ca="1" si="30"/>
        <v>49</v>
      </c>
      <c r="W53" s="53" t="e">
        <v>#N/A</v>
      </c>
      <c r="X53" s="47">
        <v>183</v>
      </c>
      <c r="Y53" s="54">
        <f t="shared" si="17"/>
        <v>232.92466666666667</v>
      </c>
      <c r="Z53" s="54">
        <f t="shared" si="18"/>
        <v>3493.87</v>
      </c>
      <c r="AA53" s="33">
        <v>6987.74</v>
      </c>
      <c r="AB53" s="33">
        <v>284</v>
      </c>
      <c r="AC53" s="57"/>
      <c r="AD53" s="57"/>
      <c r="AE53" s="57"/>
      <c r="AF53" s="68"/>
      <c r="AG53" s="57"/>
      <c r="AH53" s="57"/>
      <c r="AI53" s="33">
        <v>11283.15</v>
      </c>
      <c r="AJ53" s="33">
        <f t="shared" si="34"/>
        <v>18554.89</v>
      </c>
      <c r="AK53" s="54">
        <v>0</v>
      </c>
      <c r="AL53" s="54">
        <f t="shared" si="31"/>
        <v>454.20310000000001</v>
      </c>
      <c r="AM53" s="54">
        <f t="shared" si="31"/>
        <v>908.40620000000001</v>
      </c>
      <c r="AN53" s="55">
        <f t="shared" si="20"/>
        <v>908.40620000000001</v>
      </c>
      <c r="AO53" s="56">
        <f t="shared" si="21"/>
        <v>17646.483799999998</v>
      </c>
      <c r="AP53" s="55">
        <f t="shared" si="22"/>
        <v>10714.534666666666</v>
      </c>
      <c r="AQ53" s="55">
        <f t="shared" si="23"/>
        <v>17300.829999999998</v>
      </c>
      <c r="AR53" s="55">
        <f t="shared" si="24"/>
        <v>1454.348</v>
      </c>
      <c r="AS53" s="55"/>
      <c r="AT53" s="55"/>
      <c r="AU53" s="55"/>
      <c r="AV53" s="57"/>
      <c r="AW53" s="57"/>
      <c r="AX53" s="57"/>
      <c r="AY53" s="55">
        <f t="shared" si="25"/>
        <v>2908.6959999999999</v>
      </c>
      <c r="AZ53" s="54">
        <v>0.26</v>
      </c>
      <c r="BA53" s="33">
        <f t="shared" si="26"/>
        <v>908.40620000000001</v>
      </c>
      <c r="BB53" s="33">
        <f t="shared" si="27"/>
        <v>1816.8124</v>
      </c>
      <c r="BC53" s="58">
        <f t="shared" si="32"/>
        <v>69.877399999999994</v>
      </c>
      <c r="BD53" s="58">
        <f t="shared" si="32"/>
        <v>139.75479999999999</v>
      </c>
      <c r="BE53" s="55">
        <f t="shared" si="28"/>
        <v>556.64670000000001</v>
      </c>
      <c r="BF53" s="55">
        <f t="shared" si="29"/>
        <v>1484.3685199999995</v>
      </c>
      <c r="BG53" s="60"/>
      <c r="BH53" s="60" t="s">
        <v>521</v>
      </c>
      <c r="BI53" s="28" t="s">
        <v>522</v>
      </c>
      <c r="BJ53" s="61" t="s">
        <v>523</v>
      </c>
      <c r="BK53" s="61"/>
      <c r="BL53" s="61" t="s">
        <v>524</v>
      </c>
      <c r="BM53" s="62" t="s">
        <v>525</v>
      </c>
      <c r="BN53" s="39"/>
    </row>
    <row r="54" spans="1:66" s="2" customFormat="1" ht="39.950000000000003" hidden="1" customHeight="1" x14ac:dyDescent="0.25">
      <c r="A54" s="41" t="s">
        <v>526</v>
      </c>
      <c r="B54" s="42">
        <v>4</v>
      </c>
      <c r="C54" s="43" t="s">
        <v>527</v>
      </c>
      <c r="D54" s="43" t="s">
        <v>528</v>
      </c>
      <c r="E54" s="45" t="s">
        <v>529</v>
      </c>
      <c r="F54" s="46" t="s">
        <v>530</v>
      </c>
      <c r="G54" s="47" t="s">
        <v>531</v>
      </c>
      <c r="H54" s="48" t="s">
        <v>84</v>
      </c>
      <c r="I54" s="30" t="s">
        <v>532</v>
      </c>
      <c r="J54" s="30" t="s">
        <v>129</v>
      </c>
      <c r="K54" s="30" t="s">
        <v>501</v>
      </c>
      <c r="L54" s="30" t="s">
        <v>11</v>
      </c>
      <c r="M54" s="50">
        <v>44013</v>
      </c>
      <c r="N54" s="50"/>
      <c r="O54" s="51">
        <v>44408</v>
      </c>
      <c r="P54" s="46"/>
      <c r="Q54" s="48" t="s">
        <v>69</v>
      </c>
      <c r="R54" s="48"/>
      <c r="S54" s="52" t="s">
        <v>70</v>
      </c>
      <c r="T54" s="47">
        <v>28</v>
      </c>
      <c r="U54" s="47" t="s">
        <v>88</v>
      </c>
      <c r="V54" s="47">
        <f t="shared" ca="1" si="30"/>
        <v>41</v>
      </c>
      <c r="W54" s="53">
        <v>10769700</v>
      </c>
      <c r="X54" s="47">
        <v>185</v>
      </c>
      <c r="Y54" s="54">
        <f t="shared" si="17"/>
        <v>232.92466666666667</v>
      </c>
      <c r="Z54" s="54">
        <f t="shared" si="18"/>
        <v>3493.87</v>
      </c>
      <c r="AA54" s="33">
        <v>6987.74</v>
      </c>
      <c r="AB54" s="33">
        <v>284</v>
      </c>
      <c r="AC54" s="57"/>
      <c r="AD54" s="57"/>
      <c r="AE54" s="64"/>
      <c r="AF54" s="65"/>
      <c r="AG54" s="57"/>
      <c r="AH54" s="57"/>
      <c r="AI54" s="33">
        <v>11283.15</v>
      </c>
      <c r="AJ54" s="33">
        <f t="shared" si="34"/>
        <v>18554.89</v>
      </c>
      <c r="AK54" s="54">
        <v>0</v>
      </c>
      <c r="AL54" s="54">
        <f t="shared" si="31"/>
        <v>454.20310000000001</v>
      </c>
      <c r="AM54" s="54">
        <f t="shared" si="31"/>
        <v>908.40620000000001</v>
      </c>
      <c r="AN54" s="55">
        <f t="shared" si="20"/>
        <v>908.40620000000001</v>
      </c>
      <c r="AO54" s="56">
        <f t="shared" si="21"/>
        <v>17646.483799999998</v>
      </c>
      <c r="AP54" s="55">
        <f t="shared" si="22"/>
        <v>10714.534666666666</v>
      </c>
      <c r="AQ54" s="55">
        <f t="shared" si="23"/>
        <v>17300.829999999998</v>
      </c>
      <c r="AR54" s="55">
        <f t="shared" si="24"/>
        <v>1454.348</v>
      </c>
      <c r="AS54" s="55"/>
      <c r="AT54" s="55"/>
      <c r="AU54" s="55"/>
      <c r="AV54" s="57"/>
      <c r="AW54" s="57"/>
      <c r="AX54" s="57"/>
      <c r="AY54" s="55">
        <f t="shared" si="25"/>
        <v>2908.6959999999999</v>
      </c>
      <c r="AZ54" s="54">
        <v>0.26</v>
      </c>
      <c r="BA54" s="33">
        <f t="shared" si="26"/>
        <v>908.40620000000001</v>
      </c>
      <c r="BB54" s="33">
        <f t="shared" si="27"/>
        <v>1816.8124</v>
      </c>
      <c r="BC54" s="58">
        <f t="shared" si="32"/>
        <v>69.877399999999994</v>
      </c>
      <c r="BD54" s="58">
        <f t="shared" si="32"/>
        <v>139.75479999999999</v>
      </c>
      <c r="BE54" s="55">
        <f t="shared" si="28"/>
        <v>556.64670000000001</v>
      </c>
      <c r="BF54" s="55">
        <f t="shared" si="29"/>
        <v>1484.3685199999995</v>
      </c>
      <c r="BG54" s="60" t="s">
        <v>533</v>
      </c>
      <c r="BH54" s="60" t="s">
        <v>534</v>
      </c>
      <c r="BI54" s="28" t="s">
        <v>535</v>
      </c>
      <c r="BJ54" s="61" t="s">
        <v>536</v>
      </c>
      <c r="BK54" s="61"/>
      <c r="BL54" s="61"/>
      <c r="BM54" s="62" t="s">
        <v>537</v>
      </c>
      <c r="BN54" s="39"/>
    </row>
    <row r="55" spans="1:66" s="2" customFormat="1" ht="39.950000000000003" hidden="1" customHeight="1" x14ac:dyDescent="0.25">
      <c r="A55" s="41" t="s">
        <v>538</v>
      </c>
      <c r="B55" s="42">
        <v>7</v>
      </c>
      <c r="C55" s="43" t="s">
        <v>539</v>
      </c>
      <c r="D55" s="44" t="s">
        <v>540</v>
      </c>
      <c r="E55" s="85" t="s">
        <v>541</v>
      </c>
      <c r="F55" s="60" t="s">
        <v>542</v>
      </c>
      <c r="G55" s="28" t="s">
        <v>543</v>
      </c>
      <c r="H55" s="48" t="s">
        <v>140</v>
      </c>
      <c r="I55" s="30" t="s">
        <v>544</v>
      </c>
      <c r="J55" s="30" t="s">
        <v>544</v>
      </c>
      <c r="K55" s="30" t="s">
        <v>545</v>
      </c>
      <c r="L55" s="30" t="s">
        <v>11</v>
      </c>
      <c r="M55" s="66">
        <v>44013</v>
      </c>
      <c r="N55" s="66"/>
      <c r="O55" s="51">
        <v>45657</v>
      </c>
      <c r="P55" s="46"/>
      <c r="Q55" s="48" t="s">
        <v>69</v>
      </c>
      <c r="R55" s="48"/>
      <c r="S55" s="52" t="s">
        <v>70</v>
      </c>
      <c r="T55" s="47">
        <v>5</v>
      </c>
      <c r="U55" s="47" t="s">
        <v>337</v>
      </c>
      <c r="V55" s="47">
        <f t="shared" ca="1" si="30"/>
        <v>63</v>
      </c>
      <c r="W55" s="53">
        <v>10752800</v>
      </c>
      <c r="X55" s="47">
        <v>190</v>
      </c>
      <c r="Y55" s="54">
        <f t="shared" si="17"/>
        <v>464.59333333333331</v>
      </c>
      <c r="Z55" s="54">
        <f t="shared" si="18"/>
        <v>6968.9</v>
      </c>
      <c r="AA55" s="33">
        <v>13937.8</v>
      </c>
      <c r="AB55" s="33">
        <v>284</v>
      </c>
      <c r="AC55" s="57"/>
      <c r="AD55" s="57"/>
      <c r="AE55" s="64"/>
      <c r="AF55" s="65"/>
      <c r="AG55" s="57"/>
      <c r="AH55" s="57"/>
      <c r="AI55" s="33">
        <v>26400</v>
      </c>
      <c r="AJ55" s="33">
        <f t="shared" si="34"/>
        <v>40621.800000000003</v>
      </c>
      <c r="AK55" s="54">
        <v>0</v>
      </c>
      <c r="AL55" s="54">
        <f t="shared" si="31"/>
        <v>905.95699999999999</v>
      </c>
      <c r="AM55" s="54">
        <f t="shared" si="31"/>
        <v>1811.914</v>
      </c>
      <c r="AN55" s="55">
        <f t="shared" si="20"/>
        <v>1811.914</v>
      </c>
      <c r="AO55" s="56">
        <f t="shared" si="21"/>
        <v>38809.886000000006</v>
      </c>
      <c r="AP55" s="55">
        <f t="shared" si="22"/>
        <v>21371.293333333331</v>
      </c>
      <c r="AQ55" s="55">
        <f t="shared" si="23"/>
        <v>40480</v>
      </c>
      <c r="AR55" s="55">
        <f t="shared" si="24"/>
        <v>2844.36</v>
      </c>
      <c r="AS55" s="55"/>
      <c r="AT55" s="55"/>
      <c r="AU55" s="55"/>
      <c r="AV55" s="57"/>
      <c r="AW55" s="57"/>
      <c r="AX55" s="57"/>
      <c r="AY55" s="55">
        <f t="shared" si="25"/>
        <v>5688.72</v>
      </c>
      <c r="AZ55" s="54">
        <v>0.19</v>
      </c>
      <c r="BA55" s="33">
        <f t="shared" si="26"/>
        <v>1324.0909999999999</v>
      </c>
      <c r="BB55" s="33">
        <f t="shared" si="27"/>
        <v>2648.1819999999998</v>
      </c>
      <c r="BC55" s="58">
        <f t="shared" si="32"/>
        <v>139.37799999999999</v>
      </c>
      <c r="BD55" s="58">
        <f t="shared" si="32"/>
        <v>278.75599999999997</v>
      </c>
      <c r="BE55" s="55">
        <f t="shared" si="28"/>
        <v>1218.654</v>
      </c>
      <c r="BF55" s="55">
        <f t="shared" si="29"/>
        <v>3244.8544000000002</v>
      </c>
      <c r="BG55" s="59" t="s">
        <v>546</v>
      </c>
      <c r="BH55" s="59" t="s">
        <v>547</v>
      </c>
      <c r="BI55" s="28" t="s">
        <v>548</v>
      </c>
      <c r="BJ55" s="61" t="s">
        <v>549</v>
      </c>
      <c r="BK55" s="61"/>
      <c r="BL55" s="61" t="s">
        <v>550</v>
      </c>
      <c r="BM55" s="62" t="s">
        <v>551</v>
      </c>
      <c r="BN55" s="39"/>
    </row>
    <row r="56" spans="1:66" s="2" customFormat="1" ht="39.950000000000003" hidden="1" customHeight="1" x14ac:dyDescent="0.25">
      <c r="A56" s="41" t="s">
        <v>552</v>
      </c>
      <c r="B56" s="42">
        <v>8</v>
      </c>
      <c r="C56" s="43" t="s">
        <v>553</v>
      </c>
      <c r="D56" s="43" t="s">
        <v>554</v>
      </c>
      <c r="E56" s="85" t="s">
        <v>555</v>
      </c>
      <c r="F56" s="60" t="s">
        <v>556</v>
      </c>
      <c r="G56" s="28" t="s">
        <v>557</v>
      </c>
      <c r="H56" s="48" t="s">
        <v>161</v>
      </c>
      <c r="I56" s="30" t="s">
        <v>162</v>
      </c>
      <c r="J56" s="30" t="s">
        <v>68</v>
      </c>
      <c r="K56" s="30" t="s">
        <v>558</v>
      </c>
      <c r="L56" s="30" t="s">
        <v>11</v>
      </c>
      <c r="M56" s="66">
        <v>44013</v>
      </c>
      <c r="N56" s="66"/>
      <c r="O56" s="51">
        <v>44255</v>
      </c>
      <c r="P56" s="74">
        <v>44287</v>
      </c>
      <c r="Q56" s="48" t="s">
        <v>69</v>
      </c>
      <c r="R56" s="48"/>
      <c r="S56" s="52" t="s">
        <v>70</v>
      </c>
      <c r="T56" s="47">
        <v>22</v>
      </c>
      <c r="U56" s="47" t="s">
        <v>337</v>
      </c>
      <c r="V56" s="47">
        <f t="shared" ca="1" si="30"/>
        <v>45</v>
      </c>
      <c r="W56" s="53">
        <v>10767500</v>
      </c>
      <c r="X56" s="47">
        <v>190</v>
      </c>
      <c r="Y56" s="54">
        <f t="shared" si="17"/>
        <v>200.13333333333333</v>
      </c>
      <c r="Z56" s="54">
        <f t="shared" si="18"/>
        <v>3002</v>
      </c>
      <c r="AA56" s="33">
        <v>6004</v>
      </c>
      <c r="AB56" s="33">
        <v>284</v>
      </c>
      <c r="AC56" s="57"/>
      <c r="AD56" s="57"/>
      <c r="AE56" s="64"/>
      <c r="AF56" s="65"/>
      <c r="AG56" s="57"/>
      <c r="AH56" s="57"/>
      <c r="AI56" s="33">
        <v>10984</v>
      </c>
      <c r="AJ56" s="33">
        <f t="shared" si="34"/>
        <v>17272</v>
      </c>
      <c r="AK56" s="54">
        <v>0</v>
      </c>
      <c r="AL56" s="54">
        <f t="shared" si="31"/>
        <v>390.26</v>
      </c>
      <c r="AM56" s="54">
        <f t="shared" si="31"/>
        <v>780.52</v>
      </c>
      <c r="AN56" s="55">
        <f t="shared" si="20"/>
        <v>780.52</v>
      </c>
      <c r="AO56" s="56">
        <f t="shared" si="21"/>
        <v>16491.48</v>
      </c>
      <c r="AP56" s="55">
        <f t="shared" si="22"/>
        <v>9206.1333333333332</v>
      </c>
      <c r="AQ56" s="55">
        <f t="shared" si="23"/>
        <v>16842.133333333331</v>
      </c>
      <c r="AR56" s="55">
        <f t="shared" si="24"/>
        <v>1257.5999999999999</v>
      </c>
      <c r="AS56" s="55"/>
      <c r="AT56" s="55"/>
      <c r="AU56" s="55"/>
      <c r="AV56" s="57"/>
      <c r="AW56" s="57"/>
      <c r="AX56" s="57"/>
      <c r="AY56" s="55">
        <f t="shared" si="25"/>
        <v>2515.1999999999998</v>
      </c>
      <c r="AZ56" s="54">
        <v>0.26</v>
      </c>
      <c r="BA56" s="33">
        <f t="shared" si="26"/>
        <v>780.52</v>
      </c>
      <c r="BB56" s="33">
        <f t="shared" si="27"/>
        <v>1561.04</v>
      </c>
      <c r="BC56" s="58">
        <f t="shared" si="32"/>
        <v>60.04</v>
      </c>
      <c r="BD56" s="58">
        <f t="shared" si="32"/>
        <v>120.08</v>
      </c>
      <c r="BE56" s="55">
        <f t="shared" si="28"/>
        <v>518.16</v>
      </c>
      <c r="BF56" s="55">
        <f t="shared" si="29"/>
        <v>1375.0639999999999</v>
      </c>
      <c r="BG56" s="59" t="s">
        <v>559</v>
      </c>
      <c r="BH56" s="60" t="s">
        <v>560</v>
      </c>
      <c r="BI56" s="28" t="s">
        <v>561</v>
      </c>
      <c r="BJ56" s="61" t="s">
        <v>562</v>
      </c>
      <c r="BK56" s="61"/>
      <c r="BL56" s="61" t="s">
        <v>563</v>
      </c>
      <c r="BM56" s="62" t="s">
        <v>564</v>
      </c>
      <c r="BN56" s="39"/>
    </row>
    <row r="57" spans="1:66" s="2" customFormat="1" ht="39.950000000000003" hidden="1" customHeight="1" x14ac:dyDescent="0.25">
      <c r="A57" s="41" t="s">
        <v>552</v>
      </c>
      <c r="B57" s="42">
        <v>8</v>
      </c>
      <c r="C57" s="43" t="s">
        <v>565</v>
      </c>
      <c r="D57" s="43" t="s">
        <v>566</v>
      </c>
      <c r="E57" s="85" t="s">
        <v>555</v>
      </c>
      <c r="F57" s="60" t="s">
        <v>556</v>
      </c>
      <c r="G57" s="28" t="s">
        <v>557</v>
      </c>
      <c r="H57" s="48" t="s">
        <v>161</v>
      </c>
      <c r="I57" s="30" t="s">
        <v>162</v>
      </c>
      <c r="J57" s="30" t="s">
        <v>68</v>
      </c>
      <c r="K57" s="30" t="s">
        <v>558</v>
      </c>
      <c r="L57" s="30" t="s">
        <v>131</v>
      </c>
      <c r="M57" s="66">
        <v>44287</v>
      </c>
      <c r="N57" s="66"/>
      <c r="O57" s="51"/>
      <c r="P57" s="74"/>
      <c r="Q57" s="48" t="s">
        <v>69</v>
      </c>
      <c r="R57" s="48"/>
      <c r="S57" s="52" t="s">
        <v>70</v>
      </c>
      <c r="T57" s="47">
        <v>22</v>
      </c>
      <c r="U57" s="47" t="s">
        <v>337</v>
      </c>
      <c r="V57" s="47">
        <f t="shared" ca="1" si="30"/>
        <v>45</v>
      </c>
      <c r="W57" s="53">
        <v>10767500</v>
      </c>
      <c r="X57" s="47">
        <v>190</v>
      </c>
      <c r="Y57" s="54">
        <f t="shared" si="17"/>
        <v>200.13333333333333</v>
      </c>
      <c r="Z57" s="54">
        <f t="shared" si="18"/>
        <v>3002</v>
      </c>
      <c r="AA57" s="33">
        <v>6004</v>
      </c>
      <c r="AB57" s="33">
        <v>284</v>
      </c>
      <c r="AC57" s="57"/>
      <c r="AD57" s="57"/>
      <c r="AE57" s="64"/>
      <c r="AF57" s="65"/>
      <c r="AG57" s="57"/>
      <c r="AH57" s="57"/>
      <c r="AI57" s="33">
        <v>10984</v>
      </c>
      <c r="AJ57" s="33">
        <f t="shared" si="34"/>
        <v>17272</v>
      </c>
      <c r="AK57" s="54">
        <v>0</v>
      </c>
      <c r="AL57" s="54">
        <f t="shared" si="31"/>
        <v>390.26</v>
      </c>
      <c r="AM57" s="54">
        <f t="shared" si="31"/>
        <v>780.52</v>
      </c>
      <c r="AN57" s="55">
        <f t="shared" si="20"/>
        <v>780.52</v>
      </c>
      <c r="AO57" s="56">
        <f t="shared" si="21"/>
        <v>16491.48</v>
      </c>
      <c r="AP57" s="55">
        <f t="shared" si="22"/>
        <v>9206.1333333333332</v>
      </c>
      <c r="AQ57" s="55">
        <f t="shared" si="23"/>
        <v>16842.133333333331</v>
      </c>
      <c r="AR57" s="55">
        <f t="shared" si="24"/>
        <v>1257.5999999999999</v>
      </c>
      <c r="AS57" s="55"/>
      <c r="AT57" s="55"/>
      <c r="AU57" s="55"/>
      <c r="AV57" s="57"/>
      <c r="AW57" s="57"/>
      <c r="AX57" s="57"/>
      <c r="AY57" s="55">
        <f t="shared" si="25"/>
        <v>2515.1999999999998</v>
      </c>
      <c r="AZ57" s="54">
        <v>0.26</v>
      </c>
      <c r="BA57" s="33">
        <f t="shared" si="26"/>
        <v>780.52</v>
      </c>
      <c r="BB57" s="33">
        <f t="shared" si="27"/>
        <v>1561.04</v>
      </c>
      <c r="BC57" s="58">
        <f t="shared" si="32"/>
        <v>60.04</v>
      </c>
      <c r="BD57" s="58">
        <f t="shared" si="32"/>
        <v>120.08</v>
      </c>
      <c r="BE57" s="55">
        <f t="shared" si="28"/>
        <v>518.16</v>
      </c>
      <c r="BF57" s="55">
        <f t="shared" si="29"/>
        <v>1375.0639999999999</v>
      </c>
      <c r="BG57" s="60" t="s">
        <v>559</v>
      </c>
      <c r="BH57" s="59" t="s">
        <v>560</v>
      </c>
      <c r="BI57" s="28" t="s">
        <v>567</v>
      </c>
      <c r="BJ57" s="61" t="s">
        <v>562</v>
      </c>
      <c r="BK57" s="61"/>
      <c r="BL57" s="61" t="s">
        <v>563</v>
      </c>
      <c r="BM57" s="62" t="s">
        <v>564</v>
      </c>
      <c r="BN57" s="39"/>
    </row>
    <row r="58" spans="1:66" s="2" customFormat="1" ht="39.950000000000003" hidden="1" customHeight="1" x14ac:dyDescent="0.25">
      <c r="A58" s="41" t="s">
        <v>552</v>
      </c>
      <c r="B58" s="42">
        <v>8</v>
      </c>
      <c r="C58" s="43" t="s">
        <v>566</v>
      </c>
      <c r="D58" s="44" t="s">
        <v>568</v>
      </c>
      <c r="E58" s="85" t="s">
        <v>555</v>
      </c>
      <c r="F58" s="60" t="s">
        <v>556</v>
      </c>
      <c r="G58" s="28" t="s">
        <v>557</v>
      </c>
      <c r="H58" s="48" t="s">
        <v>315</v>
      </c>
      <c r="I58" s="30" t="s">
        <v>316</v>
      </c>
      <c r="J58" s="30" t="s">
        <v>68</v>
      </c>
      <c r="K58" s="30" t="s">
        <v>558</v>
      </c>
      <c r="L58" s="30" t="s">
        <v>11</v>
      </c>
      <c r="M58" s="66"/>
      <c r="N58" s="66">
        <v>44927</v>
      </c>
      <c r="O58" s="66">
        <v>45657</v>
      </c>
      <c r="P58" s="74"/>
      <c r="Q58" s="48" t="s">
        <v>69</v>
      </c>
      <c r="R58" s="48"/>
      <c r="S58" s="52" t="s">
        <v>70</v>
      </c>
      <c r="T58" s="47">
        <v>22</v>
      </c>
      <c r="U58" s="47" t="s">
        <v>337</v>
      </c>
      <c r="V58" s="47">
        <f t="shared" ca="1" si="30"/>
        <v>45</v>
      </c>
      <c r="W58" s="53">
        <v>10767500</v>
      </c>
      <c r="X58" s="47">
        <v>190</v>
      </c>
      <c r="Y58" s="54">
        <f t="shared" si="17"/>
        <v>232.93333333333334</v>
      </c>
      <c r="Z58" s="54">
        <f t="shared" si="18"/>
        <v>3494</v>
      </c>
      <c r="AA58" s="33">
        <v>6988</v>
      </c>
      <c r="AB58" s="33">
        <v>284</v>
      </c>
      <c r="AC58" s="57"/>
      <c r="AD58" s="57"/>
      <c r="AE58" s="64"/>
      <c r="AF58" s="65"/>
      <c r="AG58" s="57"/>
      <c r="AH58" s="57"/>
      <c r="AI58" s="33">
        <v>10000</v>
      </c>
      <c r="AJ58" s="33">
        <f t="shared" si="34"/>
        <v>17272</v>
      </c>
      <c r="AK58" s="54">
        <v>0</v>
      </c>
      <c r="AL58" s="54">
        <f t="shared" si="31"/>
        <v>454.22</v>
      </c>
      <c r="AM58" s="54">
        <f t="shared" si="31"/>
        <v>908.44</v>
      </c>
      <c r="AN58" s="55">
        <f t="shared" si="20"/>
        <v>908.44</v>
      </c>
      <c r="AO58" s="56">
        <f t="shared" si="21"/>
        <v>16363.56</v>
      </c>
      <c r="AP58" s="55">
        <f t="shared" si="22"/>
        <v>10714.933333333334</v>
      </c>
      <c r="AQ58" s="55">
        <f t="shared" si="23"/>
        <v>15333.333333333332</v>
      </c>
      <c r="AR58" s="55">
        <f t="shared" si="24"/>
        <v>1454.4</v>
      </c>
      <c r="AS58" s="55"/>
      <c r="AT58" s="55"/>
      <c r="AU58" s="55"/>
      <c r="AV58" s="57"/>
      <c r="AW58" s="57"/>
      <c r="AX58" s="57"/>
      <c r="AY58" s="55">
        <f t="shared" si="25"/>
        <v>2908.8</v>
      </c>
      <c r="AZ58" s="54">
        <v>0.26</v>
      </c>
      <c r="BA58" s="33">
        <f t="shared" si="26"/>
        <v>908.44</v>
      </c>
      <c r="BB58" s="33">
        <f t="shared" si="27"/>
        <v>1816.88</v>
      </c>
      <c r="BC58" s="58">
        <f t="shared" si="32"/>
        <v>69.88</v>
      </c>
      <c r="BD58" s="58">
        <f t="shared" si="32"/>
        <v>139.76</v>
      </c>
      <c r="BE58" s="55">
        <f t="shared" si="28"/>
        <v>518.16</v>
      </c>
      <c r="BF58" s="55">
        <f t="shared" si="29"/>
        <v>1386.8719999999998</v>
      </c>
      <c r="BG58" s="60" t="s">
        <v>559</v>
      </c>
      <c r="BH58" s="59" t="s">
        <v>560</v>
      </c>
      <c r="BI58" s="28" t="s">
        <v>567</v>
      </c>
      <c r="BJ58" s="61" t="s">
        <v>562</v>
      </c>
      <c r="BK58" s="61"/>
      <c r="BL58" s="61" t="s">
        <v>563</v>
      </c>
      <c r="BM58" s="62" t="s">
        <v>564</v>
      </c>
      <c r="BN58" s="39"/>
    </row>
    <row r="59" spans="1:66" s="2" customFormat="1" ht="39.950000000000003" hidden="1" customHeight="1" x14ac:dyDescent="0.25">
      <c r="A59" s="41" t="s">
        <v>569</v>
      </c>
      <c r="B59" s="42">
        <v>9</v>
      </c>
      <c r="C59" s="43" t="s">
        <v>570</v>
      </c>
      <c r="D59" s="43" t="s">
        <v>571</v>
      </c>
      <c r="E59" s="85" t="s">
        <v>572</v>
      </c>
      <c r="F59" s="60" t="s">
        <v>573</v>
      </c>
      <c r="G59" s="28" t="s">
        <v>574</v>
      </c>
      <c r="H59" s="48" t="s">
        <v>161</v>
      </c>
      <c r="I59" s="30" t="s">
        <v>162</v>
      </c>
      <c r="J59" s="30" t="s">
        <v>68</v>
      </c>
      <c r="K59" s="30" t="s">
        <v>575</v>
      </c>
      <c r="L59" s="30" t="s">
        <v>131</v>
      </c>
      <c r="M59" s="66">
        <v>44013</v>
      </c>
      <c r="N59" s="66"/>
      <c r="O59" s="51">
        <v>44255</v>
      </c>
      <c r="P59" s="74">
        <v>44287</v>
      </c>
      <c r="Q59" s="48" t="s">
        <v>69</v>
      </c>
      <c r="R59" s="48"/>
      <c r="S59" s="52" t="s">
        <v>70</v>
      </c>
      <c r="T59" s="47">
        <v>9</v>
      </c>
      <c r="U59" s="47" t="s">
        <v>243</v>
      </c>
      <c r="V59" s="47">
        <f t="shared" ca="1" si="30"/>
        <v>38</v>
      </c>
      <c r="W59" s="53">
        <v>10768400</v>
      </c>
      <c r="X59" s="47">
        <v>190</v>
      </c>
      <c r="Y59" s="54">
        <f t="shared" si="17"/>
        <v>200.13333333333333</v>
      </c>
      <c r="Z59" s="54">
        <f t="shared" si="18"/>
        <v>3002</v>
      </c>
      <c r="AA59" s="33">
        <v>6004</v>
      </c>
      <c r="AB59" s="33">
        <v>284</v>
      </c>
      <c r="AC59" s="57"/>
      <c r="AD59" s="57"/>
      <c r="AE59" s="64"/>
      <c r="AF59" s="65"/>
      <c r="AG59" s="57"/>
      <c r="AH59" s="57"/>
      <c r="AI59" s="33">
        <v>10984</v>
      </c>
      <c r="AJ59" s="33">
        <f t="shared" si="34"/>
        <v>17272</v>
      </c>
      <c r="AK59" s="54">
        <v>0</v>
      </c>
      <c r="AL59" s="54">
        <f t="shared" si="31"/>
        <v>390.26</v>
      </c>
      <c r="AM59" s="54">
        <f t="shared" si="31"/>
        <v>780.52</v>
      </c>
      <c r="AN59" s="55">
        <f t="shared" si="20"/>
        <v>780.52</v>
      </c>
      <c r="AO59" s="56">
        <f t="shared" si="21"/>
        <v>16491.48</v>
      </c>
      <c r="AP59" s="55">
        <f t="shared" si="22"/>
        <v>9206.1333333333332</v>
      </c>
      <c r="AQ59" s="55">
        <f t="shared" si="23"/>
        <v>16842.133333333331</v>
      </c>
      <c r="AR59" s="55">
        <f t="shared" si="24"/>
        <v>1257.5999999999999</v>
      </c>
      <c r="AS59" s="55"/>
      <c r="AT59" s="55"/>
      <c r="AU59" s="55"/>
      <c r="AV59" s="57"/>
      <c r="AW59" s="57"/>
      <c r="AX59" s="57"/>
      <c r="AY59" s="55">
        <f t="shared" si="25"/>
        <v>2515.1999999999998</v>
      </c>
      <c r="AZ59" s="54">
        <v>0.26</v>
      </c>
      <c r="BA59" s="33">
        <f t="shared" si="26"/>
        <v>780.52</v>
      </c>
      <c r="BB59" s="33">
        <f t="shared" si="27"/>
        <v>1561.04</v>
      </c>
      <c r="BC59" s="58">
        <f t="shared" si="32"/>
        <v>60.04</v>
      </c>
      <c r="BD59" s="58">
        <f t="shared" si="32"/>
        <v>120.08</v>
      </c>
      <c r="BE59" s="55">
        <f t="shared" si="28"/>
        <v>518.16</v>
      </c>
      <c r="BF59" s="55">
        <f t="shared" si="29"/>
        <v>1375.0639999999999</v>
      </c>
      <c r="BG59" s="59" t="s">
        <v>576</v>
      </c>
      <c r="BH59" s="59" t="s">
        <v>577</v>
      </c>
      <c r="BI59" s="28" t="s">
        <v>578</v>
      </c>
      <c r="BJ59" s="61" t="s">
        <v>579</v>
      </c>
      <c r="BK59" s="61"/>
      <c r="BL59" s="61" t="s">
        <v>580</v>
      </c>
      <c r="BM59" s="62" t="s">
        <v>581</v>
      </c>
      <c r="BN59" s="39"/>
    </row>
    <row r="60" spans="1:66" s="2" customFormat="1" ht="39.950000000000003" hidden="1" customHeight="1" x14ac:dyDescent="0.25">
      <c r="A60" s="41" t="s">
        <v>569</v>
      </c>
      <c r="B60" s="42">
        <v>9</v>
      </c>
      <c r="C60" s="43" t="s">
        <v>582</v>
      </c>
      <c r="D60" s="43" t="s">
        <v>583</v>
      </c>
      <c r="E60" s="85" t="s">
        <v>572</v>
      </c>
      <c r="F60" s="60" t="s">
        <v>573</v>
      </c>
      <c r="G60" s="28" t="s">
        <v>574</v>
      </c>
      <c r="H60" s="48" t="s">
        <v>161</v>
      </c>
      <c r="I60" s="30" t="s">
        <v>162</v>
      </c>
      <c r="J60" s="30" t="s">
        <v>68</v>
      </c>
      <c r="K60" s="30" t="s">
        <v>575</v>
      </c>
      <c r="L60" s="30" t="s">
        <v>131</v>
      </c>
      <c r="M60" s="66">
        <v>44013</v>
      </c>
      <c r="N60" s="66"/>
      <c r="O60" s="51">
        <v>44255</v>
      </c>
      <c r="P60" s="74">
        <v>44287</v>
      </c>
      <c r="Q60" s="48" t="s">
        <v>69</v>
      </c>
      <c r="R60" s="48"/>
      <c r="S60" s="52" t="s">
        <v>70</v>
      </c>
      <c r="T60" s="47">
        <v>9</v>
      </c>
      <c r="U60" s="47" t="s">
        <v>243</v>
      </c>
      <c r="V60" s="47">
        <f t="shared" ca="1" si="30"/>
        <v>38</v>
      </c>
      <c r="W60" s="53">
        <v>10768400</v>
      </c>
      <c r="X60" s="47">
        <v>190</v>
      </c>
      <c r="Y60" s="54">
        <f t="shared" si="17"/>
        <v>200.13333333333333</v>
      </c>
      <c r="Z60" s="54">
        <f t="shared" si="18"/>
        <v>3002</v>
      </c>
      <c r="AA60" s="33">
        <v>6004</v>
      </c>
      <c r="AB60" s="33">
        <v>284</v>
      </c>
      <c r="AC60" s="57"/>
      <c r="AD60" s="57"/>
      <c r="AE60" s="64"/>
      <c r="AF60" s="65"/>
      <c r="AG60" s="57"/>
      <c r="AH60" s="57"/>
      <c r="AI60" s="33">
        <v>10000</v>
      </c>
      <c r="AJ60" s="33">
        <f t="shared" si="34"/>
        <v>16288</v>
      </c>
      <c r="AK60" s="54">
        <v>0</v>
      </c>
      <c r="AL60" s="54">
        <f t="shared" si="31"/>
        <v>390.26</v>
      </c>
      <c r="AM60" s="54">
        <f t="shared" si="31"/>
        <v>780.52</v>
      </c>
      <c r="AN60" s="55">
        <f t="shared" si="20"/>
        <v>780.52</v>
      </c>
      <c r="AO60" s="56">
        <f t="shared" si="21"/>
        <v>15507.48</v>
      </c>
      <c r="AP60" s="55">
        <f t="shared" si="22"/>
        <v>9206.1333333333332</v>
      </c>
      <c r="AQ60" s="55">
        <f t="shared" si="23"/>
        <v>15333.333333333332</v>
      </c>
      <c r="AR60" s="55">
        <f t="shared" si="24"/>
        <v>1257.5999999999999</v>
      </c>
      <c r="AS60" s="55"/>
      <c r="AT60" s="55"/>
      <c r="AU60" s="55"/>
      <c r="AV60" s="57"/>
      <c r="AW60" s="57"/>
      <c r="AX60" s="57"/>
      <c r="AY60" s="55">
        <f t="shared" si="25"/>
        <v>2515.1999999999998</v>
      </c>
      <c r="AZ60" s="54">
        <v>0.26</v>
      </c>
      <c r="BA60" s="33">
        <f t="shared" si="26"/>
        <v>780.52</v>
      </c>
      <c r="BB60" s="33">
        <f t="shared" si="27"/>
        <v>1561.04</v>
      </c>
      <c r="BC60" s="58">
        <f t="shared" si="32"/>
        <v>60.04</v>
      </c>
      <c r="BD60" s="58">
        <f t="shared" si="32"/>
        <v>120.08</v>
      </c>
      <c r="BE60" s="55">
        <f t="shared" si="28"/>
        <v>488.64</v>
      </c>
      <c r="BF60" s="55">
        <f t="shared" si="29"/>
        <v>1300.2799999999997</v>
      </c>
      <c r="BG60" s="60" t="s">
        <v>576</v>
      </c>
      <c r="BH60" s="60" t="s">
        <v>577</v>
      </c>
      <c r="BI60" s="28" t="s">
        <v>584</v>
      </c>
      <c r="BJ60" s="61" t="s">
        <v>579</v>
      </c>
      <c r="BK60" s="61"/>
      <c r="BL60" s="61" t="s">
        <v>580</v>
      </c>
      <c r="BM60" s="62" t="s">
        <v>581</v>
      </c>
      <c r="BN60" s="39"/>
    </row>
    <row r="61" spans="1:66" s="2" customFormat="1" ht="39.950000000000003" hidden="1" customHeight="1" x14ac:dyDescent="0.25">
      <c r="A61" s="41" t="s">
        <v>569</v>
      </c>
      <c r="B61" s="42">
        <v>9</v>
      </c>
      <c r="C61" s="43" t="s">
        <v>583</v>
      </c>
      <c r="D61" s="44" t="s">
        <v>585</v>
      </c>
      <c r="E61" s="85" t="s">
        <v>572</v>
      </c>
      <c r="F61" s="60" t="s">
        <v>573</v>
      </c>
      <c r="G61" s="28" t="s">
        <v>574</v>
      </c>
      <c r="H61" s="48" t="s">
        <v>315</v>
      </c>
      <c r="I61" s="30" t="s">
        <v>316</v>
      </c>
      <c r="J61" s="30" t="s">
        <v>68</v>
      </c>
      <c r="K61" s="30" t="s">
        <v>575</v>
      </c>
      <c r="L61" s="30" t="s">
        <v>11</v>
      </c>
      <c r="M61" s="66"/>
      <c r="N61" s="66">
        <v>44927</v>
      </c>
      <c r="O61" s="66">
        <v>45657</v>
      </c>
      <c r="P61" s="74"/>
      <c r="Q61" s="48" t="s">
        <v>69</v>
      </c>
      <c r="R61" s="48"/>
      <c r="S61" s="52" t="s">
        <v>70</v>
      </c>
      <c r="T61" s="47">
        <v>9</v>
      </c>
      <c r="U61" s="47" t="s">
        <v>243</v>
      </c>
      <c r="V61" s="47">
        <f t="shared" ca="1" si="30"/>
        <v>38</v>
      </c>
      <c r="W61" s="53">
        <v>10768400</v>
      </c>
      <c r="X61" s="47">
        <v>190</v>
      </c>
      <c r="Y61" s="54">
        <f t="shared" si="17"/>
        <v>232.93333333333334</v>
      </c>
      <c r="Z61" s="54">
        <f t="shared" si="18"/>
        <v>3494</v>
      </c>
      <c r="AA61" s="33">
        <v>6988</v>
      </c>
      <c r="AB61" s="33">
        <v>284</v>
      </c>
      <c r="AC61" s="57"/>
      <c r="AD61" s="57"/>
      <c r="AE61" s="64"/>
      <c r="AF61" s="65"/>
      <c r="AG61" s="57"/>
      <c r="AH61" s="57"/>
      <c r="AI61" s="33">
        <v>10000</v>
      </c>
      <c r="AJ61" s="33">
        <f t="shared" si="34"/>
        <v>17272</v>
      </c>
      <c r="AK61" s="54">
        <v>0</v>
      </c>
      <c r="AL61" s="54">
        <f t="shared" si="31"/>
        <v>454.22</v>
      </c>
      <c r="AM61" s="54">
        <f t="shared" si="31"/>
        <v>908.44</v>
      </c>
      <c r="AN61" s="55">
        <f t="shared" si="20"/>
        <v>908.44</v>
      </c>
      <c r="AO61" s="56">
        <f t="shared" si="21"/>
        <v>16363.56</v>
      </c>
      <c r="AP61" s="55">
        <f t="shared" si="22"/>
        <v>10714.933333333334</v>
      </c>
      <c r="AQ61" s="55">
        <f t="shared" si="23"/>
        <v>15333.333333333332</v>
      </c>
      <c r="AR61" s="55">
        <f t="shared" si="24"/>
        <v>1454.4</v>
      </c>
      <c r="AS61" s="55"/>
      <c r="AT61" s="55"/>
      <c r="AU61" s="55"/>
      <c r="AV61" s="57"/>
      <c r="AW61" s="57"/>
      <c r="AX61" s="57"/>
      <c r="AY61" s="55">
        <f t="shared" si="25"/>
        <v>2908.8</v>
      </c>
      <c r="AZ61" s="54">
        <v>0.26</v>
      </c>
      <c r="BA61" s="33">
        <f t="shared" si="26"/>
        <v>908.44</v>
      </c>
      <c r="BB61" s="33">
        <f t="shared" si="27"/>
        <v>1816.88</v>
      </c>
      <c r="BC61" s="58">
        <f t="shared" si="32"/>
        <v>69.88</v>
      </c>
      <c r="BD61" s="58">
        <f t="shared" si="32"/>
        <v>139.76</v>
      </c>
      <c r="BE61" s="55">
        <f t="shared" si="28"/>
        <v>518.16</v>
      </c>
      <c r="BF61" s="55">
        <f t="shared" si="29"/>
        <v>1386.8719999999998</v>
      </c>
      <c r="BG61" s="60" t="s">
        <v>576</v>
      </c>
      <c r="BH61" s="60" t="s">
        <v>577</v>
      </c>
      <c r="BI61" s="28" t="s">
        <v>584</v>
      </c>
      <c r="BJ61" s="61" t="s">
        <v>579</v>
      </c>
      <c r="BK61" s="61" t="s">
        <v>586</v>
      </c>
      <c r="BL61" s="61" t="s">
        <v>580</v>
      </c>
      <c r="BM61" s="62" t="s">
        <v>581</v>
      </c>
      <c r="BN61" s="39"/>
    </row>
    <row r="62" spans="1:66" s="2" customFormat="1" ht="39.950000000000003" hidden="1" customHeight="1" x14ac:dyDescent="0.25">
      <c r="A62" s="41" t="s">
        <v>587</v>
      </c>
      <c r="B62" s="42">
        <v>14</v>
      </c>
      <c r="C62" s="43" t="s">
        <v>588</v>
      </c>
      <c r="D62" s="43" t="s">
        <v>589</v>
      </c>
      <c r="E62" s="45" t="s">
        <v>590</v>
      </c>
      <c r="F62" s="46" t="s">
        <v>591</v>
      </c>
      <c r="G62" s="47" t="s">
        <v>592</v>
      </c>
      <c r="H62" s="48" t="s">
        <v>161</v>
      </c>
      <c r="I62" s="30" t="s">
        <v>162</v>
      </c>
      <c r="J62" s="30" t="s">
        <v>147</v>
      </c>
      <c r="K62" s="30" t="s">
        <v>147</v>
      </c>
      <c r="L62" s="30" t="s">
        <v>131</v>
      </c>
      <c r="M62" s="50">
        <v>44044</v>
      </c>
      <c r="N62" s="50"/>
      <c r="O62" s="47"/>
      <c r="P62" s="46"/>
      <c r="Q62" s="48" t="s">
        <v>69</v>
      </c>
      <c r="R62" s="48"/>
      <c r="S62" s="52" t="s">
        <v>70</v>
      </c>
      <c r="T62" s="47">
        <v>11</v>
      </c>
      <c r="U62" s="47" t="s">
        <v>149</v>
      </c>
      <c r="V62" s="47">
        <f t="shared" ca="1" si="30"/>
        <v>37</v>
      </c>
      <c r="W62" s="53">
        <v>10747400</v>
      </c>
      <c r="X62" s="47">
        <v>167</v>
      </c>
      <c r="Y62" s="54">
        <f t="shared" si="17"/>
        <v>200.13333333333333</v>
      </c>
      <c r="Z62" s="54">
        <f t="shared" si="18"/>
        <v>3002</v>
      </c>
      <c r="AA62" s="33">
        <v>6004</v>
      </c>
      <c r="AB62" s="33">
        <v>284</v>
      </c>
      <c r="AC62" s="57"/>
      <c r="AD62" s="57"/>
      <c r="AE62" s="64"/>
      <c r="AF62" s="65"/>
      <c r="AG62" s="57"/>
      <c r="AH62" s="57"/>
      <c r="AI62" s="33">
        <v>7000</v>
      </c>
      <c r="AJ62" s="33">
        <f t="shared" si="34"/>
        <v>13288</v>
      </c>
      <c r="AK62" s="54">
        <v>0</v>
      </c>
      <c r="AL62" s="54">
        <f t="shared" si="31"/>
        <v>390.26</v>
      </c>
      <c r="AM62" s="54">
        <f t="shared" si="31"/>
        <v>780.52</v>
      </c>
      <c r="AN62" s="55">
        <f t="shared" si="20"/>
        <v>780.52</v>
      </c>
      <c r="AO62" s="56">
        <f t="shared" si="21"/>
        <v>12507.48</v>
      </c>
      <c r="AP62" s="55">
        <f t="shared" si="22"/>
        <v>9206.1333333333332</v>
      </c>
      <c r="AQ62" s="55">
        <f t="shared" si="23"/>
        <v>10733.333333333334</v>
      </c>
      <c r="AR62" s="55">
        <f t="shared" si="24"/>
        <v>1257.5999999999999</v>
      </c>
      <c r="AS62" s="55"/>
      <c r="AT62" s="55"/>
      <c r="AU62" s="55"/>
      <c r="AV62" s="57"/>
      <c r="AW62" s="57"/>
      <c r="AX62" s="57"/>
      <c r="AY62" s="55">
        <f t="shared" si="25"/>
        <v>2515.1999999999998</v>
      </c>
      <c r="AZ62" s="54">
        <v>0.26</v>
      </c>
      <c r="BA62" s="33">
        <f t="shared" si="26"/>
        <v>780.52</v>
      </c>
      <c r="BB62" s="33">
        <f t="shared" si="27"/>
        <v>1561.04</v>
      </c>
      <c r="BC62" s="58">
        <f t="shared" si="32"/>
        <v>60.04</v>
      </c>
      <c r="BD62" s="58">
        <f t="shared" si="32"/>
        <v>120.08</v>
      </c>
      <c r="BE62" s="55">
        <f t="shared" si="28"/>
        <v>398.64</v>
      </c>
      <c r="BF62" s="55">
        <f t="shared" si="29"/>
        <v>1072.28</v>
      </c>
      <c r="BG62" s="60" t="s">
        <v>593</v>
      </c>
      <c r="BH62" s="59" t="s">
        <v>594</v>
      </c>
      <c r="BI62" s="28" t="s">
        <v>595</v>
      </c>
      <c r="BJ62" s="61" t="s">
        <v>596</v>
      </c>
      <c r="BK62" s="61"/>
      <c r="BL62" s="61" t="s">
        <v>597</v>
      </c>
      <c r="BM62" s="62" t="s">
        <v>598</v>
      </c>
      <c r="BN62" s="39"/>
    </row>
    <row r="63" spans="1:66" s="2" customFormat="1" ht="39.950000000000003" hidden="1" customHeight="1" x14ac:dyDescent="0.25">
      <c r="A63" s="41" t="s">
        <v>587</v>
      </c>
      <c r="B63" s="42">
        <v>14</v>
      </c>
      <c r="C63" s="43" t="s">
        <v>589</v>
      </c>
      <c r="D63" s="44" t="s">
        <v>599</v>
      </c>
      <c r="E63" s="45" t="s">
        <v>590</v>
      </c>
      <c r="F63" s="46" t="s">
        <v>591</v>
      </c>
      <c r="G63" s="47" t="s">
        <v>592</v>
      </c>
      <c r="H63" s="48" t="s">
        <v>315</v>
      </c>
      <c r="I63" s="30" t="s">
        <v>316</v>
      </c>
      <c r="J63" s="30" t="s">
        <v>147</v>
      </c>
      <c r="K63" s="30" t="s">
        <v>147</v>
      </c>
      <c r="L63" s="30" t="s">
        <v>11</v>
      </c>
      <c r="M63" s="50"/>
      <c r="N63" s="50">
        <v>44927</v>
      </c>
      <c r="O63" s="51">
        <v>45657</v>
      </c>
      <c r="P63" s="46"/>
      <c r="Q63" s="48" t="s">
        <v>69</v>
      </c>
      <c r="R63" s="48"/>
      <c r="S63" s="52" t="s">
        <v>70</v>
      </c>
      <c r="T63" s="47">
        <v>11</v>
      </c>
      <c r="U63" s="47" t="s">
        <v>149</v>
      </c>
      <c r="V63" s="47">
        <f t="shared" ca="1" si="30"/>
        <v>37</v>
      </c>
      <c r="W63" s="53">
        <v>10747400</v>
      </c>
      <c r="X63" s="47">
        <v>167</v>
      </c>
      <c r="Y63" s="54">
        <f t="shared" si="17"/>
        <v>232.92466666666667</v>
      </c>
      <c r="Z63" s="54">
        <f t="shared" si="18"/>
        <v>3493.87</v>
      </c>
      <c r="AA63" s="33">
        <v>6987.74</v>
      </c>
      <c r="AB63" s="33">
        <v>284</v>
      </c>
      <c r="AC63" s="57"/>
      <c r="AD63" s="57"/>
      <c r="AE63" s="64"/>
      <c r="AF63" s="65"/>
      <c r="AG63" s="57"/>
      <c r="AH63" s="57"/>
      <c r="AI63" s="33">
        <v>7000</v>
      </c>
      <c r="AJ63" s="33">
        <f t="shared" si="34"/>
        <v>14271.74</v>
      </c>
      <c r="AK63" s="54">
        <v>0</v>
      </c>
      <c r="AL63" s="54">
        <f t="shared" si="31"/>
        <v>454.20310000000001</v>
      </c>
      <c r="AM63" s="54">
        <f t="shared" si="31"/>
        <v>908.40620000000001</v>
      </c>
      <c r="AN63" s="55">
        <f t="shared" si="20"/>
        <v>908.40620000000001</v>
      </c>
      <c r="AO63" s="56">
        <f t="shared" si="21"/>
        <v>13363.3338</v>
      </c>
      <c r="AP63" s="55">
        <f t="shared" si="22"/>
        <v>10714.534666666666</v>
      </c>
      <c r="AQ63" s="55">
        <f t="shared" si="23"/>
        <v>10733.333333333334</v>
      </c>
      <c r="AR63" s="55">
        <f t="shared" si="24"/>
        <v>1454.348</v>
      </c>
      <c r="AS63" s="55"/>
      <c r="AT63" s="55"/>
      <c r="AU63" s="55"/>
      <c r="AV63" s="57"/>
      <c r="AW63" s="57"/>
      <c r="AX63" s="57"/>
      <c r="AY63" s="55">
        <f t="shared" si="25"/>
        <v>2908.6959999999999</v>
      </c>
      <c r="AZ63" s="54">
        <v>0.26</v>
      </c>
      <c r="BA63" s="33">
        <f t="shared" si="26"/>
        <v>908.40620000000001</v>
      </c>
      <c r="BB63" s="33">
        <f t="shared" si="27"/>
        <v>1816.8124</v>
      </c>
      <c r="BC63" s="58">
        <f t="shared" si="32"/>
        <v>69.877399999999994</v>
      </c>
      <c r="BD63" s="58">
        <f t="shared" si="32"/>
        <v>139.75479999999999</v>
      </c>
      <c r="BE63" s="55">
        <f t="shared" si="28"/>
        <v>428.15219999999999</v>
      </c>
      <c r="BF63" s="55">
        <f t="shared" si="29"/>
        <v>1158.8491200000001</v>
      </c>
      <c r="BG63" s="60" t="s">
        <v>593</v>
      </c>
      <c r="BH63" s="59" t="s">
        <v>594</v>
      </c>
      <c r="BI63" s="28" t="s">
        <v>595</v>
      </c>
      <c r="BJ63" s="61" t="s">
        <v>596</v>
      </c>
      <c r="BK63" s="61"/>
      <c r="BL63" s="61" t="s">
        <v>597</v>
      </c>
      <c r="BM63" s="62" t="s">
        <v>598</v>
      </c>
      <c r="BN63" s="39"/>
    </row>
    <row r="64" spans="1:66" s="5" customFormat="1" ht="39.950000000000003" hidden="1" customHeight="1" x14ac:dyDescent="0.25">
      <c r="A64" s="41" t="s">
        <v>600</v>
      </c>
      <c r="B64" s="42">
        <v>18</v>
      </c>
      <c r="C64" s="43" t="s">
        <v>601</v>
      </c>
      <c r="D64" s="43" t="s">
        <v>602</v>
      </c>
      <c r="E64" s="83" t="s">
        <v>603</v>
      </c>
      <c r="F64" s="84" t="s">
        <v>604</v>
      </c>
      <c r="G64" s="47" t="s">
        <v>605</v>
      </c>
      <c r="H64" s="48" t="s">
        <v>84</v>
      </c>
      <c r="I64" s="30" t="s">
        <v>606</v>
      </c>
      <c r="J64" s="30" t="s">
        <v>491</v>
      </c>
      <c r="K64" s="30" t="s">
        <v>492</v>
      </c>
      <c r="L64" s="30" t="s">
        <v>255</v>
      </c>
      <c r="M64" s="50">
        <v>44044</v>
      </c>
      <c r="N64" s="50"/>
      <c r="O64" s="51">
        <v>44196</v>
      </c>
      <c r="P64" s="46"/>
      <c r="Q64" s="48" t="s">
        <v>69</v>
      </c>
      <c r="R64" s="48"/>
      <c r="S64" s="52" t="s">
        <v>148</v>
      </c>
      <c r="T64" s="47">
        <v>16</v>
      </c>
      <c r="U64" s="47" t="s">
        <v>607</v>
      </c>
      <c r="V64" s="47">
        <f t="shared" ca="1" si="30"/>
        <v>51</v>
      </c>
      <c r="W64" s="53" t="e">
        <v>#N/A</v>
      </c>
      <c r="X64" s="47">
        <v>170</v>
      </c>
      <c r="Y64" s="54">
        <f t="shared" si="17"/>
        <v>232.92466666666667</v>
      </c>
      <c r="Z64" s="54">
        <f t="shared" si="18"/>
        <v>3493.87</v>
      </c>
      <c r="AA64" s="33">
        <v>6987.74</v>
      </c>
      <c r="AB64" s="33">
        <v>284</v>
      </c>
      <c r="AC64" s="57"/>
      <c r="AD64" s="57"/>
      <c r="AE64" s="64"/>
      <c r="AF64" s="65"/>
      <c r="AG64" s="57"/>
      <c r="AH64" s="57"/>
      <c r="AI64" s="33">
        <v>11283.15</v>
      </c>
      <c r="AJ64" s="33">
        <f t="shared" si="34"/>
        <v>18554.89</v>
      </c>
      <c r="AK64" s="54">
        <v>0</v>
      </c>
      <c r="AL64" s="54">
        <f t="shared" si="31"/>
        <v>454.20310000000001</v>
      </c>
      <c r="AM64" s="54">
        <f t="shared" si="31"/>
        <v>908.40620000000001</v>
      </c>
      <c r="AN64" s="55">
        <f t="shared" si="20"/>
        <v>908.40620000000001</v>
      </c>
      <c r="AO64" s="56">
        <f t="shared" si="21"/>
        <v>17646.483799999998</v>
      </c>
      <c r="AP64" s="55">
        <f t="shared" si="22"/>
        <v>10714.534666666666</v>
      </c>
      <c r="AQ64" s="55">
        <f t="shared" si="23"/>
        <v>17300.829999999998</v>
      </c>
      <c r="AR64" s="55">
        <f t="shared" si="24"/>
        <v>1454.348</v>
      </c>
      <c r="AS64" s="55"/>
      <c r="AT64" s="55"/>
      <c r="AU64" s="55"/>
      <c r="AV64" s="57"/>
      <c r="AW64" s="57"/>
      <c r="AX64" s="57"/>
      <c r="AY64" s="55">
        <f t="shared" si="25"/>
        <v>2908.6959999999999</v>
      </c>
      <c r="AZ64" s="54">
        <v>0.26</v>
      </c>
      <c r="BA64" s="33">
        <f t="shared" si="26"/>
        <v>908.40620000000001</v>
      </c>
      <c r="BB64" s="33">
        <f t="shared" si="27"/>
        <v>1816.8124</v>
      </c>
      <c r="BC64" s="58">
        <f t="shared" si="32"/>
        <v>69.877399999999994</v>
      </c>
      <c r="BD64" s="58">
        <f t="shared" si="32"/>
        <v>139.75479999999999</v>
      </c>
      <c r="BE64" s="55">
        <f t="shared" si="28"/>
        <v>556.64670000000001</v>
      </c>
      <c r="BF64" s="55">
        <f t="shared" si="29"/>
        <v>1484.3685199999995</v>
      </c>
      <c r="BG64" s="60"/>
      <c r="BH64" s="60" t="s">
        <v>608</v>
      </c>
      <c r="BI64" s="28" t="s">
        <v>609</v>
      </c>
      <c r="BJ64" s="61" t="s">
        <v>610</v>
      </c>
      <c r="BK64" s="61"/>
      <c r="BL64" s="61" t="s">
        <v>611</v>
      </c>
      <c r="BM64" s="62" t="s">
        <v>612</v>
      </c>
      <c r="BN64" s="39"/>
    </row>
    <row r="65" spans="1:66" s="2" customFormat="1" ht="39.950000000000003" hidden="1" customHeight="1" x14ac:dyDescent="0.25">
      <c r="A65" s="41" t="s">
        <v>613</v>
      </c>
      <c r="B65" s="42">
        <v>21</v>
      </c>
      <c r="C65" s="43" t="s">
        <v>614</v>
      </c>
      <c r="D65" s="43" t="s">
        <v>615</v>
      </c>
      <c r="E65" s="86" t="s">
        <v>616</v>
      </c>
      <c r="F65" s="63" t="s">
        <v>617</v>
      </c>
      <c r="G65" s="47" t="s">
        <v>618</v>
      </c>
      <c r="H65" s="48" t="s">
        <v>161</v>
      </c>
      <c r="I65" s="30" t="s">
        <v>162</v>
      </c>
      <c r="J65" s="30" t="s">
        <v>101</v>
      </c>
      <c r="K65" s="30" t="s">
        <v>328</v>
      </c>
      <c r="L65" s="30" t="s">
        <v>11</v>
      </c>
      <c r="M65" s="50">
        <v>44044</v>
      </c>
      <c r="N65" s="50"/>
      <c r="O65" s="51">
        <v>44377</v>
      </c>
      <c r="P65" s="46"/>
      <c r="Q65" s="48" t="s">
        <v>69</v>
      </c>
      <c r="R65" s="48"/>
      <c r="S65" s="52" t="s">
        <v>148</v>
      </c>
      <c r="T65" s="47">
        <v>4</v>
      </c>
      <c r="U65" s="47" t="s">
        <v>400</v>
      </c>
      <c r="V65" s="47">
        <f t="shared" ca="1" si="30"/>
        <v>29</v>
      </c>
      <c r="W65" s="53">
        <v>10751300</v>
      </c>
      <c r="X65" s="47">
        <v>173</v>
      </c>
      <c r="Y65" s="54">
        <f t="shared" si="17"/>
        <v>200.13333333333333</v>
      </c>
      <c r="Z65" s="54">
        <f t="shared" si="18"/>
        <v>3002</v>
      </c>
      <c r="AA65" s="33">
        <v>6004</v>
      </c>
      <c r="AB65" s="33">
        <v>284</v>
      </c>
      <c r="AC65" s="57"/>
      <c r="AD65" s="57"/>
      <c r="AE65" s="64"/>
      <c r="AF65" s="65"/>
      <c r="AG65" s="57"/>
      <c r="AH65" s="57"/>
      <c r="AI65" s="33">
        <v>10984</v>
      </c>
      <c r="AJ65" s="33">
        <f t="shared" si="34"/>
        <v>17272</v>
      </c>
      <c r="AK65" s="54">
        <v>0</v>
      </c>
      <c r="AL65" s="54">
        <f t="shared" si="31"/>
        <v>390.26</v>
      </c>
      <c r="AM65" s="54">
        <f t="shared" si="31"/>
        <v>780.52</v>
      </c>
      <c r="AN65" s="55">
        <f t="shared" si="20"/>
        <v>780.52</v>
      </c>
      <c r="AO65" s="56">
        <f t="shared" si="21"/>
        <v>16491.48</v>
      </c>
      <c r="AP65" s="55">
        <f t="shared" si="22"/>
        <v>9206.1333333333332</v>
      </c>
      <c r="AQ65" s="55">
        <f t="shared" si="23"/>
        <v>16842.133333333331</v>
      </c>
      <c r="AR65" s="55">
        <f t="shared" si="24"/>
        <v>1257.5999999999999</v>
      </c>
      <c r="AS65" s="55"/>
      <c r="AT65" s="55"/>
      <c r="AU65" s="55"/>
      <c r="AV65" s="57"/>
      <c r="AW65" s="57"/>
      <c r="AX65" s="57"/>
      <c r="AY65" s="55">
        <f t="shared" si="25"/>
        <v>2515.1999999999998</v>
      </c>
      <c r="AZ65" s="54">
        <v>0.26</v>
      </c>
      <c r="BA65" s="33">
        <f t="shared" si="26"/>
        <v>780.52</v>
      </c>
      <c r="BB65" s="33">
        <f t="shared" si="27"/>
        <v>1561.04</v>
      </c>
      <c r="BC65" s="58">
        <f t="shared" si="32"/>
        <v>60.04</v>
      </c>
      <c r="BD65" s="58">
        <f t="shared" si="32"/>
        <v>120.08</v>
      </c>
      <c r="BE65" s="55">
        <f t="shared" si="28"/>
        <v>518.16</v>
      </c>
      <c r="BF65" s="55">
        <f t="shared" si="29"/>
        <v>1375.0639999999999</v>
      </c>
      <c r="BG65" s="59" t="s">
        <v>619</v>
      </c>
      <c r="BH65" s="59" t="s">
        <v>620</v>
      </c>
      <c r="BI65" s="28" t="s">
        <v>621</v>
      </c>
      <c r="BJ65" s="61" t="s">
        <v>622</v>
      </c>
      <c r="BK65" s="61"/>
      <c r="BL65" s="61" t="s">
        <v>623</v>
      </c>
      <c r="BM65" s="62" t="s">
        <v>624</v>
      </c>
      <c r="BN65" s="39"/>
    </row>
    <row r="66" spans="1:66" s="2" customFormat="1" ht="39.950000000000003" hidden="1" customHeight="1" x14ac:dyDescent="0.25">
      <c r="A66" s="41" t="s">
        <v>625</v>
      </c>
      <c r="B66" s="42">
        <v>22</v>
      </c>
      <c r="C66" s="43" t="s">
        <v>626</v>
      </c>
      <c r="D66" s="43" t="s">
        <v>627</v>
      </c>
      <c r="E66" s="87" t="s">
        <v>628</v>
      </c>
      <c r="F66" s="63" t="s">
        <v>629</v>
      </c>
      <c r="G66" s="47" t="s">
        <v>630</v>
      </c>
      <c r="H66" s="48" t="s">
        <v>161</v>
      </c>
      <c r="I66" s="30" t="s">
        <v>162</v>
      </c>
      <c r="J66" s="30" t="s">
        <v>101</v>
      </c>
      <c r="K66" s="30" t="s">
        <v>102</v>
      </c>
      <c r="L66" s="30" t="s">
        <v>255</v>
      </c>
      <c r="M66" s="50">
        <v>44044</v>
      </c>
      <c r="N66" s="50"/>
      <c r="O66" s="51">
        <v>44196</v>
      </c>
      <c r="P66" s="46"/>
      <c r="Q66" s="48" t="s">
        <v>69</v>
      </c>
      <c r="R66" s="48"/>
      <c r="S66" s="52" t="s">
        <v>148</v>
      </c>
      <c r="T66" s="47">
        <v>1</v>
      </c>
      <c r="U66" s="47" t="s">
        <v>463</v>
      </c>
      <c r="V66" s="47">
        <f t="shared" ca="1" si="30"/>
        <v>35</v>
      </c>
      <c r="W66" s="53" t="e">
        <v>#N/A</v>
      </c>
      <c r="X66" s="47">
        <v>173</v>
      </c>
      <c r="Y66" s="54">
        <f t="shared" si="17"/>
        <v>200.13333333333333</v>
      </c>
      <c r="Z66" s="54">
        <f t="shared" si="18"/>
        <v>3002</v>
      </c>
      <c r="AA66" s="33">
        <v>6004</v>
      </c>
      <c r="AB66" s="33">
        <v>284</v>
      </c>
      <c r="AC66" s="57"/>
      <c r="AD66" s="57"/>
      <c r="AE66" s="64"/>
      <c r="AF66" s="65"/>
      <c r="AG66" s="57"/>
      <c r="AH66" s="57"/>
      <c r="AI66" s="33">
        <v>7000</v>
      </c>
      <c r="AJ66" s="33">
        <f t="shared" si="34"/>
        <v>13288</v>
      </c>
      <c r="AK66" s="54">
        <v>0</v>
      </c>
      <c r="AL66" s="54">
        <f t="shared" si="31"/>
        <v>390.26</v>
      </c>
      <c r="AM66" s="54">
        <f t="shared" si="31"/>
        <v>780.52</v>
      </c>
      <c r="AN66" s="55">
        <f t="shared" si="20"/>
        <v>780.52</v>
      </c>
      <c r="AO66" s="56">
        <f t="shared" si="21"/>
        <v>12507.48</v>
      </c>
      <c r="AP66" s="55">
        <f t="shared" si="22"/>
        <v>9206.1333333333332</v>
      </c>
      <c r="AQ66" s="55">
        <f t="shared" si="23"/>
        <v>10733.333333333334</v>
      </c>
      <c r="AR66" s="55">
        <f t="shared" si="24"/>
        <v>1257.5999999999999</v>
      </c>
      <c r="AS66" s="55"/>
      <c r="AT66" s="55"/>
      <c r="AU66" s="55"/>
      <c r="AV66" s="57"/>
      <c r="AW66" s="57"/>
      <c r="AX66" s="57"/>
      <c r="AY66" s="55">
        <f t="shared" si="25"/>
        <v>2515.1999999999998</v>
      </c>
      <c r="AZ66" s="54">
        <v>0.26</v>
      </c>
      <c r="BA66" s="33">
        <f t="shared" si="26"/>
        <v>780.52</v>
      </c>
      <c r="BB66" s="33">
        <f t="shared" si="27"/>
        <v>1561.04</v>
      </c>
      <c r="BC66" s="58">
        <f t="shared" si="32"/>
        <v>60.04</v>
      </c>
      <c r="BD66" s="58">
        <f t="shared" si="32"/>
        <v>120.08</v>
      </c>
      <c r="BE66" s="55">
        <f t="shared" si="28"/>
        <v>398.64</v>
      </c>
      <c r="BF66" s="55">
        <f t="shared" si="29"/>
        <v>1072.28</v>
      </c>
      <c r="BG66" s="60"/>
      <c r="BH66" s="60" t="s">
        <v>631</v>
      </c>
      <c r="BI66" s="28" t="s">
        <v>632</v>
      </c>
      <c r="BJ66" s="61" t="s">
        <v>633</v>
      </c>
      <c r="BK66" s="61"/>
      <c r="BL66" s="61" t="s">
        <v>634</v>
      </c>
      <c r="BM66" s="62" t="s">
        <v>635</v>
      </c>
      <c r="BN66" s="39"/>
    </row>
    <row r="67" spans="1:66" s="2" customFormat="1" ht="39.950000000000003" hidden="1" customHeight="1" x14ac:dyDescent="0.25">
      <c r="A67" s="41" t="s">
        <v>636</v>
      </c>
      <c r="B67" s="42">
        <v>24</v>
      </c>
      <c r="C67" s="43" t="s">
        <v>637</v>
      </c>
      <c r="D67" s="43" t="s">
        <v>638</v>
      </c>
      <c r="E67" s="30" t="s">
        <v>639</v>
      </c>
      <c r="F67" s="46" t="s">
        <v>640</v>
      </c>
      <c r="G67" s="47" t="s">
        <v>641</v>
      </c>
      <c r="H67" s="48" t="s">
        <v>201</v>
      </c>
      <c r="I67" s="30" t="s">
        <v>202</v>
      </c>
      <c r="J67" s="30" t="s">
        <v>399</v>
      </c>
      <c r="K67" s="30" t="s">
        <v>399</v>
      </c>
      <c r="L67" s="30" t="s">
        <v>255</v>
      </c>
      <c r="M67" s="50">
        <v>44044</v>
      </c>
      <c r="N67" s="50"/>
      <c r="O67" s="51">
        <v>44196</v>
      </c>
      <c r="P67" s="46"/>
      <c r="Q67" s="48" t="s">
        <v>69</v>
      </c>
      <c r="R67" s="82"/>
      <c r="S67" s="52" t="s">
        <v>148</v>
      </c>
      <c r="T67" s="47">
        <v>9</v>
      </c>
      <c r="U67" s="47" t="s">
        <v>243</v>
      </c>
      <c r="V67" s="47">
        <f t="shared" ca="1" si="30"/>
        <v>47</v>
      </c>
      <c r="W67" s="53" t="e">
        <v>#N/A</v>
      </c>
      <c r="X67" s="47">
        <v>176</v>
      </c>
      <c r="Y67" s="54">
        <f t="shared" si="17"/>
        <v>153.1</v>
      </c>
      <c r="Z67" s="54">
        <f t="shared" si="18"/>
        <v>2296.5</v>
      </c>
      <c r="AA67" s="33">
        <v>4593</v>
      </c>
      <c r="AB67" s="33">
        <v>311</v>
      </c>
      <c r="AC67" s="57"/>
      <c r="AD67" s="57"/>
      <c r="AE67" s="57"/>
      <c r="AF67" s="68"/>
      <c r="AG67" s="57"/>
      <c r="AH67" s="57"/>
      <c r="AI67" s="33">
        <v>6500</v>
      </c>
      <c r="AJ67" s="33">
        <f t="shared" si="34"/>
        <v>11404</v>
      </c>
      <c r="AK67" s="54">
        <v>0</v>
      </c>
      <c r="AL67" s="54">
        <f t="shared" si="31"/>
        <v>298.54500000000002</v>
      </c>
      <c r="AM67" s="54">
        <f t="shared" si="31"/>
        <v>597.09</v>
      </c>
      <c r="AN67" s="55">
        <f t="shared" si="20"/>
        <v>597.09</v>
      </c>
      <c r="AO67" s="56">
        <f t="shared" si="21"/>
        <v>10806.91</v>
      </c>
      <c r="AP67" s="55">
        <f t="shared" si="22"/>
        <v>7042.5999999999995</v>
      </c>
      <c r="AQ67" s="55">
        <f t="shared" si="23"/>
        <v>9966.6666666666661</v>
      </c>
      <c r="AR67" s="55">
        <f t="shared" si="24"/>
        <v>980.8</v>
      </c>
      <c r="AS67" s="55"/>
      <c r="AT67" s="55"/>
      <c r="AU67" s="55"/>
      <c r="AV67" s="57"/>
      <c r="AW67" s="57"/>
      <c r="AX67" s="57"/>
      <c r="AY67" s="55">
        <f t="shared" si="25"/>
        <v>1961.6</v>
      </c>
      <c r="AZ67" s="54">
        <v>0.26</v>
      </c>
      <c r="BA67" s="33">
        <f t="shared" si="26"/>
        <v>597.09</v>
      </c>
      <c r="BB67" s="33">
        <f t="shared" si="27"/>
        <v>1194.18</v>
      </c>
      <c r="BC67" s="58">
        <f t="shared" si="32"/>
        <v>45.93</v>
      </c>
      <c r="BD67" s="58">
        <f t="shared" si="32"/>
        <v>91.86</v>
      </c>
      <c r="BE67" s="55">
        <f t="shared" si="28"/>
        <v>342.12</v>
      </c>
      <c r="BF67" s="55">
        <f t="shared" si="29"/>
        <v>911.24599999999975</v>
      </c>
      <c r="BG67" s="60"/>
      <c r="BH67" s="60" t="s">
        <v>642</v>
      </c>
      <c r="BI67" s="28" t="s">
        <v>643</v>
      </c>
      <c r="BJ67" s="61" t="s">
        <v>644</v>
      </c>
      <c r="BK67" s="61"/>
      <c r="BL67" s="61" t="s">
        <v>611</v>
      </c>
      <c r="BM67" s="62" t="s">
        <v>645</v>
      </c>
      <c r="BN67" s="39"/>
    </row>
    <row r="68" spans="1:66" s="2" customFormat="1" ht="39.950000000000003" hidden="1" customHeight="1" x14ac:dyDescent="0.25">
      <c r="A68" s="41" t="s">
        <v>646</v>
      </c>
      <c r="B68" s="42">
        <v>25</v>
      </c>
      <c r="C68" s="43" t="s">
        <v>647</v>
      </c>
      <c r="D68" s="44" t="s">
        <v>648</v>
      </c>
      <c r="E68" s="45" t="s">
        <v>649</v>
      </c>
      <c r="F68" s="46" t="s">
        <v>650</v>
      </c>
      <c r="G68" s="47" t="s">
        <v>651</v>
      </c>
      <c r="H68" s="48" t="s">
        <v>84</v>
      </c>
      <c r="I68" s="30" t="s">
        <v>652</v>
      </c>
      <c r="J68" s="30" t="s">
        <v>399</v>
      </c>
      <c r="K68" s="30" t="s">
        <v>653</v>
      </c>
      <c r="L68" s="30" t="s">
        <v>11</v>
      </c>
      <c r="M68" s="50">
        <v>44075</v>
      </c>
      <c r="N68" s="50"/>
      <c r="O68" s="51">
        <v>45657</v>
      </c>
      <c r="P68" s="46"/>
      <c r="Q68" s="48" t="s">
        <v>69</v>
      </c>
      <c r="R68" s="48"/>
      <c r="S68" s="52" t="s">
        <v>70</v>
      </c>
      <c r="T68" s="47">
        <v>11</v>
      </c>
      <c r="U68" s="47" t="s">
        <v>149</v>
      </c>
      <c r="V68" s="47">
        <f t="shared" ca="1" si="30"/>
        <v>67</v>
      </c>
      <c r="W68" s="53">
        <v>10748400</v>
      </c>
      <c r="X68" s="47">
        <v>175</v>
      </c>
      <c r="Y68" s="54">
        <f t="shared" si="17"/>
        <v>232.92466666666667</v>
      </c>
      <c r="Z68" s="54">
        <f t="shared" si="18"/>
        <v>3493.87</v>
      </c>
      <c r="AA68" s="33">
        <v>6987.74</v>
      </c>
      <c r="AB68" s="33">
        <v>284</v>
      </c>
      <c r="AC68" s="57"/>
      <c r="AD68" s="57"/>
      <c r="AE68" s="57"/>
      <c r="AF68" s="68"/>
      <c r="AG68" s="57"/>
      <c r="AH68" s="57"/>
      <c r="AI68" s="33">
        <v>11283.15</v>
      </c>
      <c r="AJ68" s="33">
        <f t="shared" si="34"/>
        <v>18554.89</v>
      </c>
      <c r="AK68" s="54">
        <v>0</v>
      </c>
      <c r="AL68" s="54">
        <f t="shared" si="31"/>
        <v>454.20310000000001</v>
      </c>
      <c r="AM68" s="54">
        <f t="shared" si="31"/>
        <v>908.40620000000001</v>
      </c>
      <c r="AN68" s="55">
        <f t="shared" si="20"/>
        <v>908.40620000000001</v>
      </c>
      <c r="AO68" s="56">
        <f t="shared" si="21"/>
        <v>17646.483799999998</v>
      </c>
      <c r="AP68" s="55">
        <f t="shared" si="22"/>
        <v>10714.534666666666</v>
      </c>
      <c r="AQ68" s="55">
        <f t="shared" si="23"/>
        <v>17300.829999999998</v>
      </c>
      <c r="AR68" s="55">
        <f t="shared" si="24"/>
        <v>1454.348</v>
      </c>
      <c r="AS68" s="55"/>
      <c r="AT68" s="55"/>
      <c r="AU68" s="55"/>
      <c r="AV68" s="57"/>
      <c r="AW68" s="57"/>
      <c r="AX68" s="57"/>
      <c r="AY68" s="55">
        <f t="shared" si="25"/>
        <v>2908.6959999999999</v>
      </c>
      <c r="AZ68" s="54">
        <v>0.19</v>
      </c>
      <c r="BA68" s="33">
        <f t="shared" si="26"/>
        <v>663.83529999999996</v>
      </c>
      <c r="BB68" s="33">
        <f t="shared" si="27"/>
        <v>1327.6705999999999</v>
      </c>
      <c r="BC68" s="58">
        <f t="shared" si="32"/>
        <v>69.877399999999994</v>
      </c>
      <c r="BD68" s="58">
        <f t="shared" si="32"/>
        <v>139.75479999999999</v>
      </c>
      <c r="BE68" s="55">
        <f t="shared" si="28"/>
        <v>556.64670000000001</v>
      </c>
      <c r="BF68" s="55">
        <f t="shared" si="29"/>
        <v>1484.3685199999995</v>
      </c>
      <c r="BG68" s="59" t="s">
        <v>654</v>
      </c>
      <c r="BH68" s="59" t="s">
        <v>655</v>
      </c>
      <c r="BI68" s="28" t="s">
        <v>656</v>
      </c>
      <c r="BJ68" s="61" t="s">
        <v>657</v>
      </c>
      <c r="BK68" s="61" t="s">
        <v>658</v>
      </c>
      <c r="BL68" s="61" t="s">
        <v>236</v>
      </c>
      <c r="BM68" s="62" t="s">
        <v>659</v>
      </c>
      <c r="BN68" s="39"/>
    </row>
    <row r="69" spans="1:66" s="2" customFormat="1" ht="39.950000000000003" hidden="1" customHeight="1" x14ac:dyDescent="0.25">
      <c r="A69" s="41" t="s">
        <v>660</v>
      </c>
      <c r="B69" s="42">
        <v>26</v>
      </c>
      <c r="C69" s="43" t="s">
        <v>661</v>
      </c>
      <c r="D69" s="43" t="s">
        <v>662</v>
      </c>
      <c r="E69" s="30" t="s">
        <v>663</v>
      </c>
      <c r="F69" s="46" t="s">
        <v>664</v>
      </c>
      <c r="G69" s="47" t="s">
        <v>665</v>
      </c>
      <c r="H69" s="48" t="s">
        <v>84</v>
      </c>
      <c r="I69" s="30" t="s">
        <v>666</v>
      </c>
      <c r="J69" s="30" t="s">
        <v>399</v>
      </c>
      <c r="K69" s="30" t="s">
        <v>667</v>
      </c>
      <c r="L69" s="30" t="s">
        <v>255</v>
      </c>
      <c r="M69" s="50">
        <v>44044</v>
      </c>
      <c r="N69" s="50"/>
      <c r="O69" s="51">
        <v>44196</v>
      </c>
      <c r="P69" s="46"/>
      <c r="Q69" s="48" t="s">
        <v>69</v>
      </c>
      <c r="R69" s="48"/>
      <c r="S69" s="52" t="s">
        <v>148</v>
      </c>
      <c r="T69" s="47">
        <v>4</v>
      </c>
      <c r="U69" s="47" t="s">
        <v>116</v>
      </c>
      <c r="V69" s="47">
        <f t="shared" ca="1" si="30"/>
        <v>42</v>
      </c>
      <c r="W69" s="53" t="e">
        <v>#N/A</v>
      </c>
      <c r="X69" s="47">
        <v>176</v>
      </c>
      <c r="Y69" s="54">
        <f t="shared" si="17"/>
        <v>232.92466666666667</v>
      </c>
      <c r="Z69" s="54">
        <f t="shared" si="18"/>
        <v>3493.87</v>
      </c>
      <c r="AA69" s="33">
        <v>6987.74</v>
      </c>
      <c r="AB69" s="33">
        <v>284</v>
      </c>
      <c r="AC69" s="57"/>
      <c r="AD69" s="57"/>
      <c r="AE69" s="57"/>
      <c r="AF69" s="68"/>
      <c r="AG69" s="57"/>
      <c r="AH69" s="57"/>
      <c r="AI69" s="33">
        <v>11283.15</v>
      </c>
      <c r="AJ69" s="33">
        <f t="shared" si="34"/>
        <v>18554.89</v>
      </c>
      <c r="AK69" s="54">
        <v>0</v>
      </c>
      <c r="AL69" s="54">
        <f t="shared" si="31"/>
        <v>454.20310000000001</v>
      </c>
      <c r="AM69" s="54">
        <f t="shared" si="31"/>
        <v>908.40620000000001</v>
      </c>
      <c r="AN69" s="55">
        <f t="shared" si="20"/>
        <v>908.40620000000001</v>
      </c>
      <c r="AO69" s="56">
        <f t="shared" si="21"/>
        <v>17646.483799999998</v>
      </c>
      <c r="AP69" s="55">
        <f t="shared" si="22"/>
        <v>10714.534666666666</v>
      </c>
      <c r="AQ69" s="55">
        <f t="shared" si="23"/>
        <v>17300.829999999998</v>
      </c>
      <c r="AR69" s="55">
        <f t="shared" si="24"/>
        <v>1454.348</v>
      </c>
      <c r="AS69" s="55"/>
      <c r="AT69" s="55"/>
      <c r="AU69" s="55"/>
      <c r="AV69" s="57"/>
      <c r="AW69" s="57"/>
      <c r="AX69" s="57"/>
      <c r="AY69" s="55">
        <f t="shared" si="25"/>
        <v>2908.6959999999999</v>
      </c>
      <c r="AZ69" s="54">
        <v>0.26</v>
      </c>
      <c r="BA69" s="33">
        <f t="shared" si="26"/>
        <v>908.40620000000001</v>
      </c>
      <c r="BB69" s="33">
        <f t="shared" si="27"/>
        <v>1816.8124</v>
      </c>
      <c r="BC69" s="58">
        <f t="shared" si="32"/>
        <v>69.877399999999994</v>
      </c>
      <c r="BD69" s="58">
        <f t="shared" si="32"/>
        <v>139.75479999999999</v>
      </c>
      <c r="BE69" s="55">
        <f t="shared" si="28"/>
        <v>556.64670000000001</v>
      </c>
      <c r="BF69" s="55">
        <f t="shared" si="29"/>
        <v>1484.3685199999995</v>
      </c>
      <c r="BG69" s="60"/>
      <c r="BH69" s="60" t="s">
        <v>668</v>
      </c>
      <c r="BI69" s="28" t="s">
        <v>669</v>
      </c>
      <c r="BJ69" s="61" t="s">
        <v>670</v>
      </c>
      <c r="BK69" s="61"/>
      <c r="BL69" s="61" t="s">
        <v>671</v>
      </c>
      <c r="BM69" s="62" t="s">
        <v>672</v>
      </c>
      <c r="BN69" s="39"/>
    </row>
    <row r="70" spans="1:66" s="2" customFormat="1" ht="39.950000000000003" hidden="1" customHeight="1" x14ac:dyDescent="0.25">
      <c r="A70" s="41" t="s">
        <v>673</v>
      </c>
      <c r="B70" s="42">
        <v>27</v>
      </c>
      <c r="C70" s="43" t="s">
        <v>674</v>
      </c>
      <c r="D70" s="43" t="s">
        <v>675</v>
      </c>
      <c r="E70" s="45" t="s">
        <v>676</v>
      </c>
      <c r="F70" s="46" t="s">
        <v>677</v>
      </c>
      <c r="G70" s="47" t="s">
        <v>678</v>
      </c>
      <c r="H70" s="48" t="s">
        <v>84</v>
      </c>
      <c r="I70" s="30" t="s">
        <v>679</v>
      </c>
      <c r="J70" s="30" t="s">
        <v>399</v>
      </c>
      <c r="K70" s="30" t="s">
        <v>680</v>
      </c>
      <c r="L70" s="30" t="s">
        <v>131</v>
      </c>
      <c r="M70" s="50">
        <v>44044</v>
      </c>
      <c r="N70" s="50"/>
      <c r="O70" s="51">
        <v>44515</v>
      </c>
      <c r="P70" s="46"/>
      <c r="Q70" s="48" t="s">
        <v>69</v>
      </c>
      <c r="R70" s="82"/>
      <c r="S70" s="52" t="s">
        <v>70</v>
      </c>
      <c r="T70" s="47">
        <v>8</v>
      </c>
      <c r="U70" s="47" t="s">
        <v>88</v>
      </c>
      <c r="V70" s="47">
        <f t="shared" ca="1" si="30"/>
        <v>55</v>
      </c>
      <c r="W70" s="53">
        <v>10770000</v>
      </c>
      <c r="X70" s="47">
        <v>177</v>
      </c>
      <c r="Y70" s="54">
        <f t="shared" si="17"/>
        <v>232.92466666666667</v>
      </c>
      <c r="Z70" s="54">
        <f t="shared" si="18"/>
        <v>3493.87</v>
      </c>
      <c r="AA70" s="33">
        <v>6987.74</v>
      </c>
      <c r="AB70" s="33">
        <v>284</v>
      </c>
      <c r="AC70" s="57"/>
      <c r="AD70" s="57"/>
      <c r="AE70" s="57"/>
      <c r="AF70" s="68"/>
      <c r="AG70" s="57"/>
      <c r="AH70" s="57"/>
      <c r="AI70" s="33">
        <v>11283.15</v>
      </c>
      <c r="AJ70" s="33">
        <f t="shared" si="34"/>
        <v>18554.89</v>
      </c>
      <c r="AK70" s="54">
        <v>0</v>
      </c>
      <c r="AL70" s="54">
        <f t="shared" si="31"/>
        <v>454.20310000000001</v>
      </c>
      <c r="AM70" s="54">
        <f t="shared" si="31"/>
        <v>908.40620000000001</v>
      </c>
      <c r="AN70" s="55">
        <f t="shared" si="20"/>
        <v>908.40620000000001</v>
      </c>
      <c r="AO70" s="56">
        <f t="shared" si="21"/>
        <v>17646.483799999998</v>
      </c>
      <c r="AP70" s="55">
        <f t="shared" si="22"/>
        <v>10714.534666666666</v>
      </c>
      <c r="AQ70" s="55">
        <f t="shared" si="23"/>
        <v>17300.829999999998</v>
      </c>
      <c r="AR70" s="55">
        <f t="shared" si="24"/>
        <v>1454.348</v>
      </c>
      <c r="AS70" s="55"/>
      <c r="AT70" s="55"/>
      <c r="AU70" s="55"/>
      <c r="AV70" s="57"/>
      <c r="AW70" s="57"/>
      <c r="AX70" s="57"/>
      <c r="AY70" s="55">
        <f t="shared" si="25"/>
        <v>2908.6959999999999</v>
      </c>
      <c r="AZ70" s="54">
        <v>0.19</v>
      </c>
      <c r="BA70" s="33">
        <f t="shared" si="26"/>
        <v>663.83529999999996</v>
      </c>
      <c r="BB70" s="33">
        <f t="shared" si="27"/>
        <v>1327.6705999999999</v>
      </c>
      <c r="BC70" s="58">
        <f t="shared" si="32"/>
        <v>69.877399999999994</v>
      </c>
      <c r="BD70" s="58">
        <f t="shared" si="32"/>
        <v>139.75479999999999</v>
      </c>
      <c r="BE70" s="55">
        <f t="shared" si="28"/>
        <v>556.64670000000001</v>
      </c>
      <c r="BF70" s="55">
        <f t="shared" si="29"/>
        <v>1484.3685199999995</v>
      </c>
      <c r="BG70" s="59" t="s">
        <v>681</v>
      </c>
      <c r="BH70" s="60" t="s">
        <v>682</v>
      </c>
      <c r="BI70" s="28" t="s">
        <v>683</v>
      </c>
      <c r="BJ70" s="61" t="s">
        <v>684</v>
      </c>
      <c r="BK70" s="61"/>
      <c r="BL70" s="61" t="s">
        <v>550</v>
      </c>
      <c r="BM70" s="62" t="s">
        <v>685</v>
      </c>
      <c r="BN70" s="39"/>
    </row>
    <row r="71" spans="1:66" s="2" customFormat="1" ht="39.6" hidden="1" customHeight="1" x14ac:dyDescent="0.25">
      <c r="A71" s="41" t="s">
        <v>673</v>
      </c>
      <c r="B71" s="42">
        <v>44</v>
      </c>
      <c r="C71" s="43" t="s">
        <v>686</v>
      </c>
      <c r="D71" s="44" t="s">
        <v>687</v>
      </c>
      <c r="E71" s="45" t="s">
        <v>676</v>
      </c>
      <c r="F71" s="46" t="s">
        <v>677</v>
      </c>
      <c r="G71" s="47" t="s">
        <v>678</v>
      </c>
      <c r="H71" s="48" t="s">
        <v>315</v>
      </c>
      <c r="I71" s="30" t="s">
        <v>316</v>
      </c>
      <c r="J71" s="30" t="s">
        <v>67</v>
      </c>
      <c r="K71" s="30" t="s">
        <v>688</v>
      </c>
      <c r="L71" s="30" t="s">
        <v>131</v>
      </c>
      <c r="M71" s="50">
        <v>45459</v>
      </c>
      <c r="N71" s="50"/>
      <c r="O71" s="51"/>
      <c r="P71" s="74">
        <v>45459</v>
      </c>
      <c r="Q71" s="48" t="s">
        <v>69</v>
      </c>
      <c r="R71" s="82"/>
      <c r="S71" s="52" t="s">
        <v>70</v>
      </c>
      <c r="T71" s="47">
        <v>8</v>
      </c>
      <c r="U71" s="47" t="s">
        <v>103</v>
      </c>
      <c r="V71" s="47">
        <f t="shared" ca="1" si="30"/>
        <v>55</v>
      </c>
      <c r="W71" s="53"/>
      <c r="X71" s="47"/>
      <c r="Y71" s="54">
        <f t="shared" si="17"/>
        <v>248.92999999999998</v>
      </c>
      <c r="Z71" s="54">
        <f t="shared" si="18"/>
        <v>3733.95</v>
      </c>
      <c r="AA71" s="33">
        <v>7467.9</v>
      </c>
      <c r="AB71" s="33">
        <v>284</v>
      </c>
      <c r="AC71" s="47"/>
      <c r="AD71" s="54"/>
      <c r="AE71" s="54"/>
      <c r="AF71" s="33"/>
      <c r="AG71" s="33"/>
      <c r="AH71" s="47"/>
      <c r="AI71" s="54">
        <v>10000</v>
      </c>
      <c r="AJ71" s="33">
        <f t="shared" ref="AJ71" si="35">SUM(AA71:AI71)</f>
        <v>17751.900000000001</v>
      </c>
      <c r="AK71" s="54">
        <v>0</v>
      </c>
      <c r="AL71" s="54">
        <f t="shared" ref="AL71:AM109" si="36">Z71*13%</f>
        <v>485.4135</v>
      </c>
      <c r="AM71" s="54">
        <f t="shared" si="36"/>
        <v>970.827</v>
      </c>
      <c r="AN71" s="55">
        <f t="shared" si="20"/>
        <v>970.827</v>
      </c>
      <c r="AO71" s="56">
        <f t="shared" si="21"/>
        <v>16781.073</v>
      </c>
      <c r="AP71" s="55">
        <f t="shared" si="22"/>
        <v>11450.779999999999</v>
      </c>
      <c r="AQ71" s="55">
        <f t="shared" si="23"/>
        <v>15333.333333333332</v>
      </c>
      <c r="AR71" s="55">
        <f t="shared" si="24"/>
        <v>1550.3799999999999</v>
      </c>
      <c r="AS71" s="55"/>
      <c r="AT71" s="55"/>
      <c r="AU71" s="55"/>
      <c r="AV71" s="57"/>
      <c r="AW71" s="57"/>
      <c r="AX71" s="57"/>
      <c r="AY71" s="55">
        <f t="shared" si="25"/>
        <v>3100.7599999999998</v>
      </c>
      <c r="AZ71" s="54">
        <v>0.19</v>
      </c>
      <c r="BA71" s="33">
        <f t="shared" si="26"/>
        <v>709.45049999999992</v>
      </c>
      <c r="BB71" s="33">
        <f t="shared" si="27"/>
        <v>1418.9009999999998</v>
      </c>
      <c r="BC71" s="58">
        <f t="shared" ref="BC71:BD109" si="37">Z71*2%</f>
        <v>74.679000000000002</v>
      </c>
      <c r="BD71" s="58">
        <f t="shared" si="37"/>
        <v>149.358</v>
      </c>
      <c r="BE71" s="55">
        <f t="shared" si="28"/>
        <v>532.55700000000002</v>
      </c>
      <c r="BF71" s="55">
        <f t="shared" si="29"/>
        <v>1429.1032</v>
      </c>
      <c r="BG71" s="59"/>
      <c r="BH71" s="59" t="s">
        <v>682</v>
      </c>
      <c r="BI71" s="28" t="s">
        <v>689</v>
      </c>
      <c r="BJ71" s="61" t="s">
        <v>690</v>
      </c>
      <c r="BK71" s="61" t="s">
        <v>691</v>
      </c>
      <c r="BL71" s="61"/>
      <c r="BM71" s="62" t="s">
        <v>685</v>
      </c>
      <c r="BN71" s="39"/>
    </row>
    <row r="72" spans="1:66" s="2" customFormat="1" ht="39.950000000000003" hidden="1" customHeight="1" x14ac:dyDescent="0.25">
      <c r="A72" s="41" t="s">
        <v>673</v>
      </c>
      <c r="B72" s="42">
        <v>43</v>
      </c>
      <c r="C72" s="44" t="s">
        <v>687</v>
      </c>
      <c r="D72" s="44" t="s">
        <v>692</v>
      </c>
      <c r="E72" s="45" t="s">
        <v>676</v>
      </c>
      <c r="F72" s="46" t="s">
        <v>677</v>
      </c>
      <c r="G72" s="47" t="s">
        <v>678</v>
      </c>
      <c r="H72" s="48" t="s">
        <v>315</v>
      </c>
      <c r="I72" s="30" t="s">
        <v>128</v>
      </c>
      <c r="J72" s="30" t="s">
        <v>67</v>
      </c>
      <c r="K72" s="30" t="s">
        <v>130</v>
      </c>
      <c r="L72" s="30" t="s">
        <v>131</v>
      </c>
      <c r="M72" s="28"/>
      <c r="N72" s="50">
        <v>45658</v>
      </c>
      <c r="O72" s="51"/>
      <c r="P72" s="74"/>
      <c r="Q72" s="48" t="s">
        <v>69</v>
      </c>
      <c r="R72" s="82"/>
      <c r="S72" s="52" t="s">
        <v>70</v>
      </c>
      <c r="T72" s="47">
        <v>8</v>
      </c>
      <c r="U72" s="47" t="s">
        <v>103</v>
      </c>
      <c r="V72" s="47">
        <f t="shared" ca="1" si="30"/>
        <v>55</v>
      </c>
      <c r="W72" s="53"/>
      <c r="X72" s="47"/>
      <c r="Y72" s="54">
        <f t="shared" si="17"/>
        <v>248.92999999999998</v>
      </c>
      <c r="Z72" s="54">
        <f t="shared" si="18"/>
        <v>3733.95</v>
      </c>
      <c r="AA72" s="33">
        <v>7467.9</v>
      </c>
      <c r="AB72" s="33">
        <v>284</v>
      </c>
      <c r="AC72" s="47"/>
      <c r="AD72" s="54"/>
      <c r="AE72" s="54"/>
      <c r="AF72" s="33"/>
      <c r="AG72" s="33"/>
      <c r="AH72" s="47"/>
      <c r="AI72" s="54">
        <v>10000</v>
      </c>
      <c r="AJ72" s="33">
        <f t="shared" ref="AJ72:AJ74" si="38">SUM(AA72:AI72)</f>
        <v>17751.900000000001</v>
      </c>
      <c r="AK72" s="54">
        <v>0</v>
      </c>
      <c r="AL72" s="54">
        <f t="shared" si="36"/>
        <v>485.4135</v>
      </c>
      <c r="AM72" s="54">
        <f t="shared" si="36"/>
        <v>970.827</v>
      </c>
      <c r="AN72" s="55">
        <f t="shared" si="20"/>
        <v>970.827</v>
      </c>
      <c r="AO72" s="56">
        <f t="shared" si="21"/>
        <v>16781.073</v>
      </c>
      <c r="AP72" s="55">
        <f t="shared" si="22"/>
        <v>11450.779999999999</v>
      </c>
      <c r="AQ72" s="55">
        <f t="shared" si="23"/>
        <v>15333.333333333332</v>
      </c>
      <c r="AR72" s="55">
        <f t="shared" si="24"/>
        <v>1550.3799999999999</v>
      </c>
      <c r="AS72" s="55"/>
      <c r="AT72" s="55"/>
      <c r="AU72" s="55"/>
      <c r="AV72" s="57"/>
      <c r="AW72" s="57"/>
      <c r="AX72" s="57"/>
      <c r="AY72" s="55">
        <f t="shared" si="25"/>
        <v>3100.7599999999998</v>
      </c>
      <c r="AZ72" s="54">
        <v>0.19</v>
      </c>
      <c r="BA72" s="33">
        <f t="shared" si="26"/>
        <v>709.45049999999992</v>
      </c>
      <c r="BB72" s="33">
        <f t="shared" si="27"/>
        <v>1418.9009999999998</v>
      </c>
      <c r="BC72" s="58">
        <f t="shared" si="37"/>
        <v>74.679000000000002</v>
      </c>
      <c r="BD72" s="58">
        <f t="shared" si="37"/>
        <v>149.358</v>
      </c>
      <c r="BE72" s="55">
        <f t="shared" si="28"/>
        <v>532.55700000000002</v>
      </c>
      <c r="BF72" s="55">
        <f t="shared" si="29"/>
        <v>1429.1032</v>
      </c>
      <c r="BG72" s="59"/>
      <c r="BH72" s="59" t="s">
        <v>682</v>
      </c>
      <c r="BI72" s="28" t="s">
        <v>689</v>
      </c>
      <c r="BJ72" s="61" t="s">
        <v>690</v>
      </c>
      <c r="BK72" s="61" t="s">
        <v>691</v>
      </c>
      <c r="BL72" s="61"/>
      <c r="BM72" s="62" t="s">
        <v>685</v>
      </c>
      <c r="BN72" s="39"/>
    </row>
    <row r="73" spans="1:66" s="2" customFormat="1" ht="39.950000000000003" hidden="1" customHeight="1" x14ac:dyDescent="0.25">
      <c r="A73" s="41" t="s">
        <v>673</v>
      </c>
      <c r="B73" s="42">
        <v>13</v>
      </c>
      <c r="C73" s="44" t="s">
        <v>692</v>
      </c>
      <c r="D73" s="28">
        <v>399</v>
      </c>
      <c r="E73" s="45" t="s">
        <v>676</v>
      </c>
      <c r="F73" s="46" t="s">
        <v>677</v>
      </c>
      <c r="G73" s="47" t="s">
        <v>678</v>
      </c>
      <c r="H73" s="88" t="s">
        <v>65</v>
      </c>
      <c r="I73" s="40" t="s">
        <v>693</v>
      </c>
      <c r="J73" s="40" t="s">
        <v>147</v>
      </c>
      <c r="K73" s="40" t="s">
        <v>147</v>
      </c>
      <c r="L73" s="30" t="s">
        <v>131</v>
      </c>
      <c r="M73" s="28"/>
      <c r="N73" s="50">
        <v>45717</v>
      </c>
      <c r="O73" s="51"/>
      <c r="P73" s="74"/>
      <c r="Q73" s="48" t="s">
        <v>69</v>
      </c>
      <c r="R73" s="82"/>
      <c r="S73" s="52" t="s">
        <v>70</v>
      </c>
      <c r="T73" s="47">
        <v>8</v>
      </c>
      <c r="U73" s="47" t="s">
        <v>103</v>
      </c>
      <c r="V73" s="47">
        <f t="shared" ca="1" si="30"/>
        <v>55</v>
      </c>
      <c r="W73" s="53"/>
      <c r="X73" s="47"/>
      <c r="Y73" s="54">
        <f t="shared" si="17"/>
        <v>248.92999999999998</v>
      </c>
      <c r="Z73" s="54">
        <f t="shared" si="18"/>
        <v>3733.95</v>
      </c>
      <c r="AA73" s="33">
        <v>7467.9</v>
      </c>
      <c r="AB73" s="33">
        <v>284</v>
      </c>
      <c r="AC73" s="47"/>
      <c r="AD73" s="54"/>
      <c r="AE73" s="54"/>
      <c r="AF73" s="33"/>
      <c r="AG73" s="33"/>
      <c r="AH73" s="47"/>
      <c r="AI73" s="54">
        <v>10000</v>
      </c>
      <c r="AJ73" s="33">
        <f t="shared" si="38"/>
        <v>17751.900000000001</v>
      </c>
      <c r="AK73" s="54">
        <v>0</v>
      </c>
      <c r="AL73" s="54">
        <f t="shared" si="36"/>
        <v>485.4135</v>
      </c>
      <c r="AM73" s="54">
        <f t="shared" si="36"/>
        <v>970.827</v>
      </c>
      <c r="AN73" s="55">
        <f t="shared" si="20"/>
        <v>970.827</v>
      </c>
      <c r="AO73" s="56">
        <f t="shared" si="21"/>
        <v>16781.073</v>
      </c>
      <c r="AP73" s="55">
        <f t="shared" si="22"/>
        <v>11450.779999999999</v>
      </c>
      <c r="AQ73" s="55">
        <f t="shared" si="23"/>
        <v>15333.333333333332</v>
      </c>
      <c r="AR73" s="55">
        <f t="shared" si="24"/>
        <v>1550.3799999999999</v>
      </c>
      <c r="AS73" s="55"/>
      <c r="AT73" s="55"/>
      <c r="AU73" s="55"/>
      <c r="AV73" s="57"/>
      <c r="AW73" s="57"/>
      <c r="AX73" s="57"/>
      <c r="AY73" s="55">
        <f t="shared" si="25"/>
        <v>3100.7599999999998</v>
      </c>
      <c r="AZ73" s="54">
        <v>0.19</v>
      </c>
      <c r="BA73" s="33">
        <f t="shared" si="26"/>
        <v>709.45049999999992</v>
      </c>
      <c r="BB73" s="33">
        <f t="shared" si="27"/>
        <v>1418.9009999999998</v>
      </c>
      <c r="BC73" s="58">
        <f t="shared" si="37"/>
        <v>74.679000000000002</v>
      </c>
      <c r="BD73" s="58">
        <f t="shared" si="37"/>
        <v>149.358</v>
      </c>
      <c r="BE73" s="55">
        <f t="shared" si="28"/>
        <v>532.55700000000002</v>
      </c>
      <c r="BF73" s="55">
        <f t="shared" si="29"/>
        <v>1429.1032</v>
      </c>
      <c r="BG73" s="59"/>
      <c r="BH73" s="59" t="s">
        <v>682</v>
      </c>
      <c r="BI73" s="28" t="s">
        <v>689</v>
      </c>
      <c r="BJ73" s="61" t="s">
        <v>690</v>
      </c>
      <c r="BK73" s="61" t="s">
        <v>691</v>
      </c>
      <c r="BL73" s="61"/>
      <c r="BM73" s="62" t="s">
        <v>685</v>
      </c>
      <c r="BN73" s="39"/>
    </row>
    <row r="74" spans="1:66" s="2" customFormat="1" ht="39.950000000000003" hidden="1" customHeight="1" x14ac:dyDescent="0.25">
      <c r="A74" s="41" t="s">
        <v>673</v>
      </c>
      <c r="B74" s="42">
        <v>43</v>
      </c>
      <c r="C74" s="44" t="s">
        <v>694</v>
      </c>
      <c r="D74" s="77" t="s">
        <v>695</v>
      </c>
      <c r="E74" s="45" t="s">
        <v>676</v>
      </c>
      <c r="F74" s="46" t="s">
        <v>677</v>
      </c>
      <c r="G74" s="47" t="s">
        <v>678</v>
      </c>
      <c r="H74" s="88" t="s">
        <v>84</v>
      </c>
      <c r="I74" s="40" t="s">
        <v>696</v>
      </c>
      <c r="J74" s="40" t="s">
        <v>147</v>
      </c>
      <c r="K74" s="40" t="s">
        <v>129</v>
      </c>
      <c r="L74" s="30" t="s">
        <v>11</v>
      </c>
      <c r="M74" s="28"/>
      <c r="N74" s="50">
        <v>45748</v>
      </c>
      <c r="O74" s="51">
        <v>45884</v>
      </c>
      <c r="P74" s="74"/>
      <c r="Q74" s="48" t="s">
        <v>69</v>
      </c>
      <c r="R74" s="82"/>
      <c r="S74" s="52" t="s">
        <v>70</v>
      </c>
      <c r="T74" s="47">
        <v>8</v>
      </c>
      <c r="U74" s="47" t="s">
        <v>103</v>
      </c>
      <c r="V74" s="47">
        <f t="shared" ca="1" si="30"/>
        <v>55</v>
      </c>
      <c r="W74" s="53"/>
      <c r="X74" s="47"/>
      <c r="Y74" s="54">
        <f t="shared" si="17"/>
        <v>248.92999999999998</v>
      </c>
      <c r="Z74" s="54">
        <f t="shared" si="18"/>
        <v>3733.95</v>
      </c>
      <c r="AA74" s="33">
        <v>7467.9</v>
      </c>
      <c r="AB74" s="33">
        <v>284</v>
      </c>
      <c r="AC74" s="47"/>
      <c r="AD74" s="54"/>
      <c r="AE74" s="54"/>
      <c r="AF74" s="33"/>
      <c r="AG74" s="33"/>
      <c r="AH74" s="47"/>
      <c r="AI74" s="54">
        <v>10000</v>
      </c>
      <c r="AJ74" s="33">
        <f t="shared" si="38"/>
        <v>17751.900000000001</v>
      </c>
      <c r="AK74" s="54">
        <v>0</v>
      </c>
      <c r="AL74" s="54">
        <f t="shared" si="36"/>
        <v>485.4135</v>
      </c>
      <c r="AM74" s="54">
        <f t="shared" si="36"/>
        <v>970.827</v>
      </c>
      <c r="AN74" s="55">
        <f t="shared" si="20"/>
        <v>970.827</v>
      </c>
      <c r="AO74" s="56">
        <f t="shared" si="21"/>
        <v>16781.073</v>
      </c>
      <c r="AP74" s="55">
        <f t="shared" si="22"/>
        <v>11450.779999999999</v>
      </c>
      <c r="AQ74" s="55">
        <f t="shared" si="23"/>
        <v>15333.333333333332</v>
      </c>
      <c r="AR74" s="55">
        <f t="shared" si="24"/>
        <v>1550.3799999999999</v>
      </c>
      <c r="AS74" s="55"/>
      <c r="AT74" s="55"/>
      <c r="AU74" s="55"/>
      <c r="AV74" s="57"/>
      <c r="AW74" s="57"/>
      <c r="AX74" s="57"/>
      <c r="AY74" s="55">
        <f t="shared" si="25"/>
        <v>3100.7599999999998</v>
      </c>
      <c r="AZ74" s="54">
        <v>0.19</v>
      </c>
      <c r="BA74" s="33">
        <f t="shared" si="26"/>
        <v>709.45049999999992</v>
      </c>
      <c r="BB74" s="33">
        <f t="shared" si="27"/>
        <v>1418.9009999999998</v>
      </c>
      <c r="BC74" s="58">
        <f t="shared" si="37"/>
        <v>74.679000000000002</v>
      </c>
      <c r="BD74" s="58">
        <f t="shared" si="37"/>
        <v>149.358</v>
      </c>
      <c r="BE74" s="55">
        <f t="shared" si="28"/>
        <v>532.55700000000002</v>
      </c>
      <c r="BF74" s="55">
        <f t="shared" si="29"/>
        <v>1429.1032</v>
      </c>
      <c r="BG74" s="59"/>
      <c r="BH74" s="59" t="s">
        <v>682</v>
      </c>
      <c r="BI74" s="28" t="s">
        <v>689</v>
      </c>
      <c r="BJ74" s="61" t="s">
        <v>690</v>
      </c>
      <c r="BK74" s="61" t="s">
        <v>691</v>
      </c>
      <c r="BL74" s="61"/>
      <c r="BM74" s="62" t="s">
        <v>685</v>
      </c>
      <c r="BN74" s="39"/>
    </row>
    <row r="75" spans="1:66" s="2" customFormat="1" ht="39.950000000000003" hidden="1" customHeight="1" x14ac:dyDescent="0.25">
      <c r="A75" s="41" t="s">
        <v>697</v>
      </c>
      <c r="B75" s="42">
        <v>28</v>
      </c>
      <c r="C75" s="43" t="s">
        <v>698</v>
      </c>
      <c r="D75" s="43" t="s">
        <v>699</v>
      </c>
      <c r="E75" s="45" t="s">
        <v>700</v>
      </c>
      <c r="F75" s="46" t="s">
        <v>701</v>
      </c>
      <c r="G75" s="47" t="s">
        <v>702</v>
      </c>
      <c r="H75" s="48" t="s">
        <v>161</v>
      </c>
      <c r="I75" s="30" t="s">
        <v>162</v>
      </c>
      <c r="J75" s="30" t="s">
        <v>399</v>
      </c>
      <c r="K75" s="30" t="s">
        <v>653</v>
      </c>
      <c r="L75" s="30" t="s">
        <v>131</v>
      </c>
      <c r="M75" s="50">
        <v>44044</v>
      </c>
      <c r="N75" s="50"/>
      <c r="O75" s="47"/>
      <c r="P75" s="46"/>
      <c r="Q75" s="48" t="s">
        <v>69</v>
      </c>
      <c r="R75" s="82"/>
      <c r="S75" s="52" t="s">
        <v>148</v>
      </c>
      <c r="T75" s="47">
        <v>13</v>
      </c>
      <c r="U75" s="47" t="s">
        <v>149</v>
      </c>
      <c r="V75" s="47">
        <f t="shared" ca="1" si="30"/>
        <v>37</v>
      </c>
      <c r="W75" s="53">
        <v>10752500</v>
      </c>
      <c r="X75" s="47">
        <v>175</v>
      </c>
      <c r="Y75" s="54">
        <f t="shared" si="17"/>
        <v>200.13333333333333</v>
      </c>
      <c r="Z75" s="54">
        <f t="shared" si="18"/>
        <v>3002</v>
      </c>
      <c r="AA75" s="33">
        <v>6004</v>
      </c>
      <c r="AB75" s="33">
        <v>284</v>
      </c>
      <c r="AC75" s="57"/>
      <c r="AD75" s="57"/>
      <c r="AE75" s="57"/>
      <c r="AF75" s="68"/>
      <c r="AG75" s="57"/>
      <c r="AH75" s="57"/>
      <c r="AI75" s="33">
        <v>10984</v>
      </c>
      <c r="AJ75" s="33">
        <f t="shared" ref="AJ75:AJ104" si="39">SUM(AA75:AI75)</f>
        <v>17272</v>
      </c>
      <c r="AK75" s="54">
        <v>0</v>
      </c>
      <c r="AL75" s="54">
        <f t="shared" si="36"/>
        <v>390.26</v>
      </c>
      <c r="AM75" s="54">
        <f t="shared" si="36"/>
        <v>780.52</v>
      </c>
      <c r="AN75" s="55">
        <f t="shared" si="20"/>
        <v>780.52</v>
      </c>
      <c r="AO75" s="56">
        <f t="shared" si="21"/>
        <v>16491.48</v>
      </c>
      <c r="AP75" s="55">
        <f t="shared" si="22"/>
        <v>9206.1333333333332</v>
      </c>
      <c r="AQ75" s="55">
        <f t="shared" si="23"/>
        <v>16842.133333333331</v>
      </c>
      <c r="AR75" s="55">
        <f t="shared" si="24"/>
        <v>1257.5999999999999</v>
      </c>
      <c r="AS75" s="55"/>
      <c r="AT75" s="55"/>
      <c r="AU75" s="55"/>
      <c r="AV75" s="57"/>
      <c r="AW75" s="57"/>
      <c r="AX75" s="57"/>
      <c r="AY75" s="55">
        <f t="shared" si="25"/>
        <v>2515.1999999999998</v>
      </c>
      <c r="AZ75" s="54">
        <v>0.26</v>
      </c>
      <c r="BA75" s="33">
        <f t="shared" si="26"/>
        <v>780.52</v>
      </c>
      <c r="BB75" s="33">
        <f t="shared" si="27"/>
        <v>1561.04</v>
      </c>
      <c r="BC75" s="58">
        <f t="shared" si="37"/>
        <v>60.04</v>
      </c>
      <c r="BD75" s="58">
        <f t="shared" si="37"/>
        <v>120.08</v>
      </c>
      <c r="BE75" s="55">
        <f t="shared" si="28"/>
        <v>518.16</v>
      </c>
      <c r="BF75" s="55">
        <f t="shared" si="29"/>
        <v>1375.0639999999999</v>
      </c>
      <c r="BG75" s="60" t="s">
        <v>703</v>
      </c>
      <c r="BH75" s="59" t="s">
        <v>704</v>
      </c>
      <c r="BI75" s="28" t="s">
        <v>705</v>
      </c>
      <c r="BJ75" s="61" t="s">
        <v>706</v>
      </c>
      <c r="BK75" s="61"/>
      <c r="BL75" s="61" t="s">
        <v>707</v>
      </c>
      <c r="BM75" s="62" t="s">
        <v>708</v>
      </c>
      <c r="BN75" s="39"/>
    </row>
    <row r="76" spans="1:66" s="2" customFormat="1" ht="39.950000000000003" hidden="1" customHeight="1" x14ac:dyDescent="0.25">
      <c r="A76" s="41" t="s">
        <v>697</v>
      </c>
      <c r="B76" s="42">
        <v>28</v>
      </c>
      <c r="C76" s="43" t="s">
        <v>699</v>
      </c>
      <c r="D76" s="44" t="s">
        <v>709</v>
      </c>
      <c r="E76" s="45" t="s">
        <v>700</v>
      </c>
      <c r="F76" s="46" t="s">
        <v>701</v>
      </c>
      <c r="G76" s="47" t="s">
        <v>702</v>
      </c>
      <c r="H76" s="48" t="s">
        <v>315</v>
      </c>
      <c r="I76" s="30" t="s">
        <v>316</v>
      </c>
      <c r="J76" s="30" t="s">
        <v>399</v>
      </c>
      <c r="K76" s="30" t="s">
        <v>653</v>
      </c>
      <c r="L76" s="30" t="s">
        <v>11</v>
      </c>
      <c r="M76" s="50"/>
      <c r="N76" s="50">
        <v>44927</v>
      </c>
      <c r="O76" s="51">
        <v>45657</v>
      </c>
      <c r="P76" s="46"/>
      <c r="Q76" s="48" t="s">
        <v>69</v>
      </c>
      <c r="R76" s="82"/>
      <c r="S76" s="52" t="s">
        <v>148</v>
      </c>
      <c r="T76" s="47">
        <v>13</v>
      </c>
      <c r="U76" s="47" t="s">
        <v>149</v>
      </c>
      <c r="V76" s="47">
        <f t="shared" ca="1" si="30"/>
        <v>37</v>
      </c>
      <c r="W76" s="53">
        <v>10752500</v>
      </c>
      <c r="X76" s="47">
        <v>175</v>
      </c>
      <c r="Y76" s="54">
        <f t="shared" si="17"/>
        <v>232.92466666666667</v>
      </c>
      <c r="Z76" s="54">
        <f t="shared" si="18"/>
        <v>3493.87</v>
      </c>
      <c r="AA76" s="33">
        <v>6987.74</v>
      </c>
      <c r="AB76" s="33">
        <v>284</v>
      </c>
      <c r="AC76" s="57"/>
      <c r="AD76" s="57"/>
      <c r="AE76" s="57"/>
      <c r="AF76" s="68"/>
      <c r="AG76" s="57"/>
      <c r="AH76" s="57"/>
      <c r="AI76" s="33">
        <v>10000</v>
      </c>
      <c r="AJ76" s="33">
        <f t="shared" si="39"/>
        <v>17271.739999999998</v>
      </c>
      <c r="AK76" s="54">
        <v>0</v>
      </c>
      <c r="AL76" s="54">
        <f t="shared" si="36"/>
        <v>454.20310000000001</v>
      </c>
      <c r="AM76" s="54">
        <f t="shared" si="36"/>
        <v>908.40620000000001</v>
      </c>
      <c r="AN76" s="55">
        <f t="shared" si="20"/>
        <v>908.40620000000001</v>
      </c>
      <c r="AO76" s="56">
        <f t="shared" si="21"/>
        <v>16363.333799999999</v>
      </c>
      <c r="AP76" s="55">
        <f t="shared" si="22"/>
        <v>10714.534666666666</v>
      </c>
      <c r="AQ76" s="55">
        <f t="shared" si="23"/>
        <v>15333.333333333332</v>
      </c>
      <c r="AR76" s="55">
        <f t="shared" si="24"/>
        <v>1454.348</v>
      </c>
      <c r="AS76" s="55"/>
      <c r="AT76" s="55"/>
      <c r="AU76" s="55"/>
      <c r="AV76" s="57"/>
      <c r="AW76" s="57"/>
      <c r="AX76" s="57"/>
      <c r="AY76" s="55">
        <f t="shared" si="25"/>
        <v>2908.6959999999999</v>
      </c>
      <c r="AZ76" s="54">
        <v>0.26</v>
      </c>
      <c r="BA76" s="33">
        <f t="shared" si="26"/>
        <v>908.40620000000001</v>
      </c>
      <c r="BB76" s="33">
        <f t="shared" si="27"/>
        <v>1816.8124</v>
      </c>
      <c r="BC76" s="58">
        <f t="shared" si="37"/>
        <v>69.877399999999994</v>
      </c>
      <c r="BD76" s="58">
        <f t="shared" si="37"/>
        <v>139.75479999999999</v>
      </c>
      <c r="BE76" s="55">
        <f t="shared" si="28"/>
        <v>518.15219999999988</v>
      </c>
      <c r="BF76" s="55">
        <f t="shared" si="29"/>
        <v>1386.8491199999996</v>
      </c>
      <c r="BG76" s="60" t="s">
        <v>703</v>
      </c>
      <c r="BH76" s="59" t="s">
        <v>704</v>
      </c>
      <c r="BI76" s="28" t="s">
        <v>705</v>
      </c>
      <c r="BJ76" s="61" t="s">
        <v>706</v>
      </c>
      <c r="BK76" s="61"/>
      <c r="BL76" s="61" t="s">
        <v>707</v>
      </c>
      <c r="BM76" s="62" t="s">
        <v>708</v>
      </c>
      <c r="BN76" s="39"/>
    </row>
    <row r="77" spans="1:66" s="2" customFormat="1" ht="39.950000000000003" hidden="1" customHeight="1" x14ac:dyDescent="0.25">
      <c r="A77" s="41" t="s">
        <v>710</v>
      </c>
      <c r="B77" s="42">
        <v>29</v>
      </c>
      <c r="C77" s="43" t="s">
        <v>711</v>
      </c>
      <c r="D77" s="43" t="s">
        <v>712</v>
      </c>
      <c r="E77" s="45" t="s">
        <v>713</v>
      </c>
      <c r="F77" s="46" t="s">
        <v>714</v>
      </c>
      <c r="G77" s="47" t="s">
        <v>715</v>
      </c>
      <c r="H77" s="48" t="s">
        <v>161</v>
      </c>
      <c r="I77" s="30" t="s">
        <v>162</v>
      </c>
      <c r="J77" s="30" t="s">
        <v>399</v>
      </c>
      <c r="K77" s="30" t="s">
        <v>667</v>
      </c>
      <c r="L77" s="30" t="s">
        <v>11</v>
      </c>
      <c r="M77" s="50">
        <v>44044</v>
      </c>
      <c r="N77" s="74"/>
      <c r="O77" s="51">
        <v>44196</v>
      </c>
      <c r="P77" s="46"/>
      <c r="Q77" s="48" t="s">
        <v>69</v>
      </c>
      <c r="R77" s="82"/>
      <c r="S77" s="52" t="s">
        <v>70</v>
      </c>
      <c r="T77" s="47">
        <v>30</v>
      </c>
      <c r="U77" s="47" t="s">
        <v>71</v>
      </c>
      <c r="V77" s="47">
        <f t="shared" ca="1" si="30"/>
        <v>46</v>
      </c>
      <c r="W77" s="53">
        <v>10747700</v>
      </c>
      <c r="X77" s="47"/>
      <c r="Y77" s="54">
        <f t="shared" si="17"/>
        <v>200.13333333333333</v>
      </c>
      <c r="Z77" s="54">
        <f t="shared" si="18"/>
        <v>3002</v>
      </c>
      <c r="AA77" s="33">
        <v>6004</v>
      </c>
      <c r="AB77" s="33">
        <v>284</v>
      </c>
      <c r="AC77" s="57"/>
      <c r="AD77" s="57"/>
      <c r="AE77" s="57"/>
      <c r="AF77" s="68"/>
      <c r="AG77" s="57"/>
      <c r="AH77" s="57"/>
      <c r="AI77" s="33">
        <v>10984</v>
      </c>
      <c r="AJ77" s="33">
        <f t="shared" si="39"/>
        <v>17272</v>
      </c>
      <c r="AK77" s="54">
        <v>0</v>
      </c>
      <c r="AL77" s="54">
        <f t="shared" si="36"/>
        <v>390.26</v>
      </c>
      <c r="AM77" s="54">
        <f t="shared" si="36"/>
        <v>780.52</v>
      </c>
      <c r="AN77" s="55">
        <f t="shared" si="20"/>
        <v>780.52</v>
      </c>
      <c r="AO77" s="56">
        <f t="shared" si="21"/>
        <v>16491.48</v>
      </c>
      <c r="AP77" s="55">
        <f t="shared" si="22"/>
        <v>9206.1333333333332</v>
      </c>
      <c r="AQ77" s="55">
        <f t="shared" si="23"/>
        <v>16842.133333333331</v>
      </c>
      <c r="AR77" s="55">
        <f t="shared" si="24"/>
        <v>1257.5999999999999</v>
      </c>
      <c r="AS77" s="55"/>
      <c r="AT77" s="55"/>
      <c r="AU77" s="55"/>
      <c r="AV77" s="57"/>
      <c r="AW77" s="57"/>
      <c r="AX77" s="57"/>
      <c r="AY77" s="55">
        <f t="shared" si="25"/>
        <v>2515.1999999999998</v>
      </c>
      <c r="AZ77" s="54">
        <v>0.26</v>
      </c>
      <c r="BA77" s="33">
        <f t="shared" si="26"/>
        <v>780.52</v>
      </c>
      <c r="BB77" s="33">
        <f t="shared" si="27"/>
        <v>1561.04</v>
      </c>
      <c r="BC77" s="58">
        <f t="shared" si="37"/>
        <v>60.04</v>
      </c>
      <c r="BD77" s="58">
        <f t="shared" si="37"/>
        <v>120.08</v>
      </c>
      <c r="BE77" s="55">
        <f t="shared" si="28"/>
        <v>518.16</v>
      </c>
      <c r="BF77" s="55">
        <f t="shared" si="29"/>
        <v>1375.0639999999999</v>
      </c>
      <c r="BG77" s="60"/>
      <c r="BH77" s="60" t="s">
        <v>716</v>
      </c>
      <c r="BI77" s="28" t="s">
        <v>717</v>
      </c>
      <c r="BJ77" s="61" t="s">
        <v>718</v>
      </c>
      <c r="BK77" s="61"/>
      <c r="BL77" s="61" t="s">
        <v>719</v>
      </c>
      <c r="BM77" s="62" t="s">
        <v>720</v>
      </c>
      <c r="BN77" s="39"/>
    </row>
    <row r="78" spans="1:66" s="2" customFormat="1" ht="39.950000000000003" hidden="1" customHeight="1" x14ac:dyDescent="0.25">
      <c r="A78" s="41" t="s">
        <v>710</v>
      </c>
      <c r="B78" s="42">
        <v>6</v>
      </c>
      <c r="C78" s="43" t="s">
        <v>721</v>
      </c>
      <c r="D78" s="43" t="s">
        <v>722</v>
      </c>
      <c r="E78" s="45" t="s">
        <v>713</v>
      </c>
      <c r="F78" s="46" t="s">
        <v>714</v>
      </c>
      <c r="G78" s="47" t="s">
        <v>715</v>
      </c>
      <c r="H78" s="48" t="s">
        <v>161</v>
      </c>
      <c r="I78" s="30" t="s">
        <v>162</v>
      </c>
      <c r="J78" s="30" t="s">
        <v>86</v>
      </c>
      <c r="K78" s="30" t="s">
        <v>680</v>
      </c>
      <c r="L78" s="30" t="s">
        <v>11</v>
      </c>
      <c r="M78" s="50">
        <v>44212</v>
      </c>
      <c r="N78" s="50"/>
      <c r="O78" s="51">
        <v>44362</v>
      </c>
      <c r="P78" s="74"/>
      <c r="Q78" s="48" t="s">
        <v>69</v>
      </c>
      <c r="R78" s="82"/>
      <c r="S78" s="52" t="s">
        <v>70</v>
      </c>
      <c r="T78" s="47">
        <v>30</v>
      </c>
      <c r="U78" s="47" t="s">
        <v>71</v>
      </c>
      <c r="V78" s="47">
        <f t="shared" ca="1" si="30"/>
        <v>46</v>
      </c>
      <c r="W78" s="53">
        <v>10747700</v>
      </c>
      <c r="X78" s="47">
        <v>193</v>
      </c>
      <c r="Y78" s="54">
        <f t="shared" si="17"/>
        <v>200.13333333333333</v>
      </c>
      <c r="Z78" s="54">
        <f t="shared" si="18"/>
        <v>3002</v>
      </c>
      <c r="AA78" s="33">
        <v>6004</v>
      </c>
      <c r="AB78" s="33">
        <v>284</v>
      </c>
      <c r="AC78" s="57"/>
      <c r="AD78" s="57"/>
      <c r="AE78" s="57"/>
      <c r="AF78" s="68"/>
      <c r="AG78" s="57"/>
      <c r="AH78" s="57"/>
      <c r="AI78" s="33">
        <v>10984</v>
      </c>
      <c r="AJ78" s="33">
        <f t="shared" si="39"/>
        <v>17272</v>
      </c>
      <c r="AK78" s="54">
        <v>0</v>
      </c>
      <c r="AL78" s="54">
        <f t="shared" si="36"/>
        <v>390.26</v>
      </c>
      <c r="AM78" s="54">
        <f t="shared" si="36"/>
        <v>780.52</v>
      </c>
      <c r="AN78" s="55">
        <f t="shared" si="20"/>
        <v>780.52</v>
      </c>
      <c r="AO78" s="56">
        <f t="shared" si="21"/>
        <v>16491.48</v>
      </c>
      <c r="AP78" s="55">
        <f t="shared" si="22"/>
        <v>9206.1333333333332</v>
      </c>
      <c r="AQ78" s="55">
        <f t="shared" si="23"/>
        <v>16842.133333333331</v>
      </c>
      <c r="AR78" s="55">
        <f t="shared" si="24"/>
        <v>1257.5999999999999</v>
      </c>
      <c r="AS78" s="55"/>
      <c r="AT78" s="55"/>
      <c r="AU78" s="55"/>
      <c r="AV78" s="57"/>
      <c r="AW78" s="57"/>
      <c r="AX78" s="57"/>
      <c r="AY78" s="55">
        <f t="shared" si="25"/>
        <v>2515.1999999999998</v>
      </c>
      <c r="AZ78" s="54">
        <v>0.26</v>
      </c>
      <c r="BA78" s="33">
        <f t="shared" si="26"/>
        <v>780.52</v>
      </c>
      <c r="BB78" s="33">
        <f t="shared" si="27"/>
        <v>1561.04</v>
      </c>
      <c r="BC78" s="58">
        <f t="shared" si="37"/>
        <v>60.04</v>
      </c>
      <c r="BD78" s="58">
        <f t="shared" si="37"/>
        <v>120.08</v>
      </c>
      <c r="BE78" s="55">
        <f t="shared" si="28"/>
        <v>518.16</v>
      </c>
      <c r="BF78" s="55">
        <f t="shared" si="29"/>
        <v>1375.0639999999999</v>
      </c>
      <c r="BG78" s="60"/>
      <c r="BH78" s="60" t="s">
        <v>716</v>
      </c>
      <c r="BI78" s="28" t="s">
        <v>717</v>
      </c>
      <c r="BJ78" s="61" t="s">
        <v>718</v>
      </c>
      <c r="BK78" s="61"/>
      <c r="BL78" s="61" t="s">
        <v>719</v>
      </c>
      <c r="BM78" s="62" t="s">
        <v>720</v>
      </c>
      <c r="BN78" s="39"/>
    </row>
    <row r="79" spans="1:66" s="2" customFormat="1" ht="39.950000000000003" hidden="1" customHeight="1" x14ac:dyDescent="0.25">
      <c r="A79" s="41" t="s">
        <v>723</v>
      </c>
      <c r="B79" s="79">
        <v>82</v>
      </c>
      <c r="C79" s="80" t="s">
        <v>724</v>
      </c>
      <c r="D79" s="80" t="s">
        <v>725</v>
      </c>
      <c r="E79" s="61" t="s">
        <v>726</v>
      </c>
      <c r="F79" s="60" t="s">
        <v>727</v>
      </c>
      <c r="G79" s="28" t="s">
        <v>728</v>
      </c>
      <c r="H79" s="48" t="s">
        <v>201</v>
      </c>
      <c r="I79" s="30" t="s">
        <v>202</v>
      </c>
      <c r="J79" s="30" t="s">
        <v>399</v>
      </c>
      <c r="K79" s="30" t="s">
        <v>729</v>
      </c>
      <c r="L79" s="30" t="s">
        <v>255</v>
      </c>
      <c r="M79" s="66">
        <v>44044</v>
      </c>
      <c r="N79" s="66"/>
      <c r="O79" s="51">
        <v>44196</v>
      </c>
      <c r="P79" s="46"/>
      <c r="Q79" s="48" t="s">
        <v>69</v>
      </c>
      <c r="R79" s="48"/>
      <c r="S79" s="52" t="s">
        <v>70</v>
      </c>
      <c r="T79" s="47">
        <v>5</v>
      </c>
      <c r="U79" s="47" t="s">
        <v>305</v>
      </c>
      <c r="V79" s="47">
        <f t="shared" ca="1" si="30"/>
        <v>53</v>
      </c>
      <c r="W79" s="53"/>
      <c r="X79" s="47">
        <v>176</v>
      </c>
      <c r="Y79" s="54">
        <f t="shared" si="17"/>
        <v>153.1</v>
      </c>
      <c r="Z79" s="54">
        <f t="shared" si="18"/>
        <v>2296.5</v>
      </c>
      <c r="AA79" s="33">
        <v>4593</v>
      </c>
      <c r="AB79" s="33">
        <v>311</v>
      </c>
      <c r="AC79" s="57"/>
      <c r="AD79" s="57"/>
      <c r="AE79" s="57"/>
      <c r="AF79" s="68"/>
      <c r="AG79" s="57"/>
      <c r="AH79" s="57"/>
      <c r="AI79" s="33">
        <v>6500</v>
      </c>
      <c r="AJ79" s="33">
        <f t="shared" si="39"/>
        <v>11404</v>
      </c>
      <c r="AK79" s="54">
        <v>0</v>
      </c>
      <c r="AL79" s="54">
        <f t="shared" si="36"/>
        <v>298.54500000000002</v>
      </c>
      <c r="AM79" s="54">
        <f t="shared" si="36"/>
        <v>597.09</v>
      </c>
      <c r="AN79" s="55">
        <f t="shared" si="20"/>
        <v>597.09</v>
      </c>
      <c r="AO79" s="56">
        <f t="shared" si="21"/>
        <v>10806.91</v>
      </c>
      <c r="AP79" s="55">
        <f t="shared" si="22"/>
        <v>7042.5999999999995</v>
      </c>
      <c r="AQ79" s="55">
        <f t="shared" si="23"/>
        <v>9966.6666666666661</v>
      </c>
      <c r="AR79" s="55">
        <f t="shared" si="24"/>
        <v>980.8</v>
      </c>
      <c r="AS79" s="55"/>
      <c r="AT79" s="55"/>
      <c r="AU79" s="55"/>
      <c r="AV79" s="57"/>
      <c r="AW79" s="57"/>
      <c r="AX79" s="57"/>
      <c r="AY79" s="55">
        <f t="shared" si="25"/>
        <v>1961.6</v>
      </c>
      <c r="AZ79" s="54">
        <v>0.26</v>
      </c>
      <c r="BA79" s="33">
        <f t="shared" si="26"/>
        <v>597.09</v>
      </c>
      <c r="BB79" s="33">
        <f t="shared" si="27"/>
        <v>1194.18</v>
      </c>
      <c r="BC79" s="58">
        <f t="shared" si="37"/>
        <v>45.93</v>
      </c>
      <c r="BD79" s="58">
        <f t="shared" si="37"/>
        <v>91.86</v>
      </c>
      <c r="BE79" s="55">
        <f t="shared" si="28"/>
        <v>342.12</v>
      </c>
      <c r="BF79" s="55">
        <f t="shared" si="29"/>
        <v>911.24599999999975</v>
      </c>
      <c r="BG79" s="60"/>
      <c r="BH79" s="60" t="s">
        <v>730</v>
      </c>
      <c r="BI79" s="28" t="s">
        <v>731</v>
      </c>
      <c r="BJ79" s="61" t="s">
        <v>732</v>
      </c>
      <c r="BK79" s="61"/>
      <c r="BL79" s="61" t="s">
        <v>733</v>
      </c>
      <c r="BM79" s="62" t="s">
        <v>734</v>
      </c>
      <c r="BN79" s="39"/>
    </row>
    <row r="80" spans="1:66" s="2" customFormat="1" ht="39.950000000000003" hidden="1" customHeight="1" x14ac:dyDescent="0.25">
      <c r="A80" s="41" t="s">
        <v>735</v>
      </c>
      <c r="B80" s="42">
        <v>31</v>
      </c>
      <c r="C80" s="43" t="s">
        <v>736</v>
      </c>
      <c r="D80" s="43" t="s">
        <v>737</v>
      </c>
      <c r="E80" s="45" t="s">
        <v>738</v>
      </c>
      <c r="F80" s="47" t="s">
        <v>739</v>
      </c>
      <c r="G80" s="47" t="s">
        <v>740</v>
      </c>
      <c r="H80" s="48" t="s">
        <v>161</v>
      </c>
      <c r="I80" s="30" t="s">
        <v>162</v>
      </c>
      <c r="J80" s="30" t="s">
        <v>399</v>
      </c>
      <c r="K80" s="30" t="s">
        <v>680</v>
      </c>
      <c r="L80" s="30" t="s">
        <v>11</v>
      </c>
      <c r="M80" s="50">
        <v>44044</v>
      </c>
      <c r="N80" s="50"/>
      <c r="O80" s="51">
        <v>44196</v>
      </c>
      <c r="P80" s="50">
        <v>44393</v>
      </c>
      <c r="Q80" s="48" t="s">
        <v>69</v>
      </c>
      <c r="R80" s="82"/>
      <c r="S80" s="52" t="s">
        <v>70</v>
      </c>
      <c r="T80" s="47">
        <v>6</v>
      </c>
      <c r="U80" s="47" t="s">
        <v>149</v>
      </c>
      <c r="V80" s="47">
        <f t="shared" ca="1" si="30"/>
        <v>30</v>
      </c>
      <c r="W80" s="53">
        <v>10769600</v>
      </c>
      <c r="X80" s="47">
        <v>177</v>
      </c>
      <c r="Y80" s="54">
        <f t="shared" si="17"/>
        <v>200.13333333333333</v>
      </c>
      <c r="Z80" s="54">
        <f t="shared" si="18"/>
        <v>3002</v>
      </c>
      <c r="AA80" s="33">
        <v>6004</v>
      </c>
      <c r="AB80" s="33">
        <v>284</v>
      </c>
      <c r="AC80" s="57"/>
      <c r="AD80" s="57"/>
      <c r="AE80" s="64"/>
      <c r="AF80" s="65"/>
      <c r="AG80" s="57"/>
      <c r="AH80" s="57"/>
      <c r="AI80" s="33">
        <v>7000</v>
      </c>
      <c r="AJ80" s="33">
        <f t="shared" si="39"/>
        <v>13288</v>
      </c>
      <c r="AK80" s="54">
        <v>0</v>
      </c>
      <c r="AL80" s="54">
        <f t="shared" si="36"/>
        <v>390.26</v>
      </c>
      <c r="AM80" s="54">
        <f t="shared" si="36"/>
        <v>780.52</v>
      </c>
      <c r="AN80" s="55">
        <f t="shared" si="20"/>
        <v>780.52</v>
      </c>
      <c r="AO80" s="56">
        <f t="shared" si="21"/>
        <v>12507.48</v>
      </c>
      <c r="AP80" s="55">
        <f t="shared" si="22"/>
        <v>9206.1333333333332</v>
      </c>
      <c r="AQ80" s="55">
        <f t="shared" si="23"/>
        <v>10733.333333333334</v>
      </c>
      <c r="AR80" s="55">
        <f t="shared" si="24"/>
        <v>1257.5999999999999</v>
      </c>
      <c r="AS80" s="55"/>
      <c r="AT80" s="55"/>
      <c r="AU80" s="55"/>
      <c r="AV80" s="57"/>
      <c r="AW80" s="57"/>
      <c r="AX80" s="57"/>
      <c r="AY80" s="55">
        <f t="shared" si="25"/>
        <v>2515.1999999999998</v>
      </c>
      <c r="AZ80" s="54">
        <v>0.26</v>
      </c>
      <c r="BA80" s="33">
        <f t="shared" si="26"/>
        <v>780.52</v>
      </c>
      <c r="BB80" s="33">
        <f t="shared" si="27"/>
        <v>1561.04</v>
      </c>
      <c r="BC80" s="58">
        <f t="shared" si="37"/>
        <v>60.04</v>
      </c>
      <c r="BD80" s="58">
        <f t="shared" si="37"/>
        <v>120.08</v>
      </c>
      <c r="BE80" s="55">
        <f t="shared" si="28"/>
        <v>398.64</v>
      </c>
      <c r="BF80" s="55">
        <f t="shared" si="29"/>
        <v>1072.28</v>
      </c>
      <c r="BG80" s="60" t="s">
        <v>741</v>
      </c>
      <c r="BH80" s="60" t="s">
        <v>655</v>
      </c>
      <c r="BI80" s="28" t="s">
        <v>742</v>
      </c>
      <c r="BJ80" s="61" t="s">
        <v>743</v>
      </c>
      <c r="BK80" s="61"/>
      <c r="BL80" s="61" t="s">
        <v>744</v>
      </c>
      <c r="BM80" s="62" t="s">
        <v>745</v>
      </c>
      <c r="BN80" s="39"/>
    </row>
    <row r="81" spans="1:66" s="2" customFormat="1" ht="39.950000000000003" hidden="1" customHeight="1" x14ac:dyDescent="0.25">
      <c r="A81" s="41" t="s">
        <v>735</v>
      </c>
      <c r="B81" s="42">
        <v>6</v>
      </c>
      <c r="C81" s="43" t="s">
        <v>746</v>
      </c>
      <c r="D81" s="43" t="s">
        <v>747</v>
      </c>
      <c r="E81" s="45" t="s">
        <v>738</v>
      </c>
      <c r="F81" s="47" t="s">
        <v>739</v>
      </c>
      <c r="G81" s="47" t="s">
        <v>740</v>
      </c>
      <c r="H81" s="48" t="s">
        <v>161</v>
      </c>
      <c r="I81" s="30" t="s">
        <v>162</v>
      </c>
      <c r="J81" s="30" t="s">
        <v>399</v>
      </c>
      <c r="K81" s="30" t="s">
        <v>680</v>
      </c>
      <c r="L81" s="30" t="s">
        <v>131</v>
      </c>
      <c r="M81" s="50">
        <v>44393</v>
      </c>
      <c r="N81" s="50"/>
      <c r="O81" s="51"/>
      <c r="P81" s="50"/>
      <c r="Q81" s="48" t="s">
        <v>69</v>
      </c>
      <c r="R81" s="82"/>
      <c r="S81" s="52" t="s">
        <v>70</v>
      </c>
      <c r="T81" s="47">
        <v>6</v>
      </c>
      <c r="U81" s="47" t="s">
        <v>149</v>
      </c>
      <c r="V81" s="47">
        <f t="shared" ca="1" si="30"/>
        <v>30</v>
      </c>
      <c r="W81" s="53">
        <v>10769600</v>
      </c>
      <c r="X81" s="47">
        <v>193</v>
      </c>
      <c r="Y81" s="54">
        <f t="shared" si="17"/>
        <v>200.13333333333333</v>
      </c>
      <c r="Z81" s="54">
        <f t="shared" si="18"/>
        <v>3002</v>
      </c>
      <c r="AA81" s="33">
        <v>6004</v>
      </c>
      <c r="AB81" s="33">
        <v>284</v>
      </c>
      <c r="AC81" s="57"/>
      <c r="AD81" s="57"/>
      <c r="AE81" s="57"/>
      <c r="AF81" s="68"/>
      <c r="AG81" s="57"/>
      <c r="AH81" s="57"/>
      <c r="AI81" s="33">
        <v>10984</v>
      </c>
      <c r="AJ81" s="33">
        <f t="shared" si="39"/>
        <v>17272</v>
      </c>
      <c r="AK81" s="54">
        <v>0</v>
      </c>
      <c r="AL81" s="54">
        <f t="shared" si="36"/>
        <v>390.26</v>
      </c>
      <c r="AM81" s="54">
        <f t="shared" si="36"/>
        <v>780.52</v>
      </c>
      <c r="AN81" s="55">
        <f t="shared" si="20"/>
        <v>780.52</v>
      </c>
      <c r="AO81" s="56">
        <f t="shared" si="21"/>
        <v>16491.48</v>
      </c>
      <c r="AP81" s="55">
        <f t="shared" si="22"/>
        <v>9206.1333333333332</v>
      </c>
      <c r="AQ81" s="55">
        <f t="shared" si="23"/>
        <v>16842.133333333331</v>
      </c>
      <c r="AR81" s="55">
        <f t="shared" si="24"/>
        <v>1257.5999999999999</v>
      </c>
      <c r="AS81" s="55"/>
      <c r="AT81" s="55"/>
      <c r="AU81" s="55"/>
      <c r="AV81" s="57"/>
      <c r="AW81" s="57"/>
      <c r="AX81" s="57"/>
      <c r="AY81" s="55">
        <f t="shared" si="25"/>
        <v>2515.1999999999998</v>
      </c>
      <c r="AZ81" s="54">
        <v>0.26</v>
      </c>
      <c r="BA81" s="33">
        <f t="shared" si="26"/>
        <v>780.52</v>
      </c>
      <c r="BB81" s="33">
        <f t="shared" si="27"/>
        <v>1561.04</v>
      </c>
      <c r="BC81" s="58">
        <f t="shared" si="37"/>
        <v>60.04</v>
      </c>
      <c r="BD81" s="58">
        <f t="shared" si="37"/>
        <v>120.08</v>
      </c>
      <c r="BE81" s="55">
        <f t="shared" si="28"/>
        <v>518.16</v>
      </c>
      <c r="BF81" s="55">
        <f t="shared" si="29"/>
        <v>1375.0639999999999</v>
      </c>
      <c r="BG81" s="60" t="s">
        <v>741</v>
      </c>
      <c r="BH81" s="59" t="s">
        <v>655</v>
      </c>
      <c r="BI81" s="28" t="s">
        <v>748</v>
      </c>
      <c r="BJ81" s="61" t="s">
        <v>749</v>
      </c>
      <c r="BK81" s="61"/>
      <c r="BL81" s="61" t="s">
        <v>744</v>
      </c>
      <c r="BM81" s="62" t="s">
        <v>745</v>
      </c>
      <c r="BN81" s="39"/>
    </row>
    <row r="82" spans="1:66" s="2" customFormat="1" ht="39.950000000000003" hidden="1" customHeight="1" x14ac:dyDescent="0.25">
      <c r="A82" s="41" t="s">
        <v>735</v>
      </c>
      <c r="B82" s="42">
        <v>6</v>
      </c>
      <c r="C82" s="43" t="s">
        <v>747</v>
      </c>
      <c r="D82" s="44" t="s">
        <v>750</v>
      </c>
      <c r="E82" s="45" t="s">
        <v>738</v>
      </c>
      <c r="F82" s="47" t="s">
        <v>739</v>
      </c>
      <c r="G82" s="47" t="s">
        <v>740</v>
      </c>
      <c r="H82" s="48" t="s">
        <v>315</v>
      </c>
      <c r="I82" s="30" t="s">
        <v>316</v>
      </c>
      <c r="J82" s="30" t="s">
        <v>399</v>
      </c>
      <c r="K82" s="30" t="s">
        <v>680</v>
      </c>
      <c r="L82" s="30" t="s">
        <v>11</v>
      </c>
      <c r="M82" s="50"/>
      <c r="N82" s="50">
        <v>44927</v>
      </c>
      <c r="O82" s="51">
        <v>45657</v>
      </c>
      <c r="P82" s="50"/>
      <c r="Q82" s="48" t="s">
        <v>69</v>
      </c>
      <c r="R82" s="82"/>
      <c r="S82" s="52" t="s">
        <v>70</v>
      </c>
      <c r="T82" s="47">
        <v>6</v>
      </c>
      <c r="U82" s="47" t="s">
        <v>149</v>
      </c>
      <c r="V82" s="47">
        <f t="shared" ca="1" si="30"/>
        <v>30</v>
      </c>
      <c r="W82" s="53">
        <v>10769600</v>
      </c>
      <c r="X82" s="47">
        <v>177</v>
      </c>
      <c r="Y82" s="54">
        <f t="shared" si="17"/>
        <v>232.92466666666667</v>
      </c>
      <c r="Z82" s="54">
        <f t="shared" si="18"/>
        <v>3493.87</v>
      </c>
      <c r="AA82" s="33">
        <v>6987.74</v>
      </c>
      <c r="AB82" s="33">
        <v>284</v>
      </c>
      <c r="AC82" s="57"/>
      <c r="AD82" s="57"/>
      <c r="AE82" s="57"/>
      <c r="AF82" s="68"/>
      <c r="AG82" s="57"/>
      <c r="AH82" s="57"/>
      <c r="AI82" s="33">
        <v>10000</v>
      </c>
      <c r="AJ82" s="33">
        <f t="shared" si="39"/>
        <v>17271.739999999998</v>
      </c>
      <c r="AK82" s="54">
        <v>0</v>
      </c>
      <c r="AL82" s="54">
        <f t="shared" si="36"/>
        <v>454.20310000000001</v>
      </c>
      <c r="AM82" s="54">
        <f t="shared" si="36"/>
        <v>908.40620000000001</v>
      </c>
      <c r="AN82" s="55">
        <f t="shared" si="20"/>
        <v>908.40620000000001</v>
      </c>
      <c r="AO82" s="56">
        <f t="shared" si="21"/>
        <v>16363.333799999999</v>
      </c>
      <c r="AP82" s="55">
        <f t="shared" si="22"/>
        <v>10714.534666666666</v>
      </c>
      <c r="AQ82" s="55">
        <f t="shared" si="23"/>
        <v>15333.333333333332</v>
      </c>
      <c r="AR82" s="55">
        <f t="shared" si="24"/>
        <v>1454.348</v>
      </c>
      <c r="AS82" s="55"/>
      <c r="AT82" s="55"/>
      <c r="AU82" s="55"/>
      <c r="AV82" s="57"/>
      <c r="AW82" s="57"/>
      <c r="AX82" s="57"/>
      <c r="AY82" s="55">
        <f t="shared" si="25"/>
        <v>2908.6959999999999</v>
      </c>
      <c r="AZ82" s="54">
        <v>0.26</v>
      </c>
      <c r="BA82" s="33">
        <f t="shared" si="26"/>
        <v>908.40620000000001</v>
      </c>
      <c r="BB82" s="33">
        <f t="shared" si="27"/>
        <v>1816.8124</v>
      </c>
      <c r="BC82" s="58">
        <f t="shared" si="37"/>
        <v>69.877399999999994</v>
      </c>
      <c r="BD82" s="58">
        <f t="shared" si="37"/>
        <v>139.75479999999999</v>
      </c>
      <c r="BE82" s="55">
        <f t="shared" si="28"/>
        <v>518.15219999999988</v>
      </c>
      <c r="BF82" s="55">
        <f t="shared" si="29"/>
        <v>1386.8491199999996</v>
      </c>
      <c r="BG82" s="60" t="s">
        <v>741</v>
      </c>
      <c r="BH82" s="59" t="s">
        <v>655</v>
      </c>
      <c r="BI82" s="28" t="s">
        <v>748</v>
      </c>
      <c r="BJ82" s="61" t="s">
        <v>749</v>
      </c>
      <c r="BK82" s="61" t="s">
        <v>751</v>
      </c>
      <c r="BL82" s="61" t="s">
        <v>744</v>
      </c>
      <c r="BM82" s="62" t="s">
        <v>745</v>
      </c>
      <c r="BN82" s="39"/>
    </row>
    <row r="83" spans="1:66" s="2" customFormat="1" ht="39.950000000000003" hidden="1" customHeight="1" x14ac:dyDescent="0.25">
      <c r="A83" s="41" t="s">
        <v>752</v>
      </c>
      <c r="B83" s="42">
        <v>33</v>
      </c>
      <c r="C83" s="43" t="s">
        <v>753</v>
      </c>
      <c r="D83" s="43" t="s">
        <v>754</v>
      </c>
      <c r="E83" s="30" t="s">
        <v>755</v>
      </c>
      <c r="F83" s="46" t="s">
        <v>756</v>
      </c>
      <c r="G83" s="47" t="s">
        <v>757</v>
      </c>
      <c r="H83" s="48" t="s">
        <v>201</v>
      </c>
      <c r="I83" s="30" t="s">
        <v>202</v>
      </c>
      <c r="J83" s="30" t="s">
        <v>67</v>
      </c>
      <c r="K83" s="30" t="s">
        <v>67</v>
      </c>
      <c r="L83" s="30" t="s">
        <v>255</v>
      </c>
      <c r="M83" s="50">
        <v>44044</v>
      </c>
      <c r="N83" s="50"/>
      <c r="O83" s="51">
        <v>44196</v>
      </c>
      <c r="P83" s="50">
        <v>44197</v>
      </c>
      <c r="Q83" s="48" t="s">
        <v>69</v>
      </c>
      <c r="R83" s="82"/>
      <c r="S83" s="52" t="s">
        <v>148</v>
      </c>
      <c r="T83" s="47">
        <v>7</v>
      </c>
      <c r="U83" s="47" t="s">
        <v>149</v>
      </c>
      <c r="V83" s="47">
        <f t="shared" ca="1" si="30"/>
        <v>34</v>
      </c>
      <c r="W83" s="53" t="e">
        <v>#N/A</v>
      </c>
      <c r="X83" s="47">
        <v>181</v>
      </c>
      <c r="Y83" s="54">
        <f t="shared" si="17"/>
        <v>153.1</v>
      </c>
      <c r="Z83" s="54">
        <f t="shared" si="18"/>
        <v>2296.5</v>
      </c>
      <c r="AA83" s="33">
        <v>4593</v>
      </c>
      <c r="AB83" s="33">
        <v>311</v>
      </c>
      <c r="AC83" s="57"/>
      <c r="AD83" s="57"/>
      <c r="AE83" s="57"/>
      <c r="AF83" s="68"/>
      <c r="AG83" s="57"/>
      <c r="AH83" s="57"/>
      <c r="AI83" s="33">
        <v>6500</v>
      </c>
      <c r="AJ83" s="33">
        <f t="shared" si="39"/>
        <v>11404</v>
      </c>
      <c r="AK83" s="54">
        <v>0</v>
      </c>
      <c r="AL83" s="54">
        <f t="shared" si="36"/>
        <v>298.54500000000002</v>
      </c>
      <c r="AM83" s="54">
        <f t="shared" si="36"/>
        <v>597.09</v>
      </c>
      <c r="AN83" s="55">
        <f t="shared" si="20"/>
        <v>597.09</v>
      </c>
      <c r="AO83" s="56">
        <f t="shared" si="21"/>
        <v>10806.91</v>
      </c>
      <c r="AP83" s="55">
        <f t="shared" si="22"/>
        <v>7042.5999999999995</v>
      </c>
      <c r="AQ83" s="55">
        <f t="shared" si="23"/>
        <v>9966.6666666666661</v>
      </c>
      <c r="AR83" s="55">
        <f t="shared" si="24"/>
        <v>980.8</v>
      </c>
      <c r="AS83" s="55"/>
      <c r="AT83" s="55"/>
      <c r="AU83" s="55"/>
      <c r="AV83" s="57"/>
      <c r="AW83" s="57"/>
      <c r="AX83" s="57"/>
      <c r="AY83" s="55">
        <f t="shared" si="25"/>
        <v>1961.6</v>
      </c>
      <c r="AZ83" s="54">
        <v>0.26</v>
      </c>
      <c r="BA83" s="33">
        <f t="shared" si="26"/>
        <v>597.09</v>
      </c>
      <c r="BB83" s="33">
        <f t="shared" si="27"/>
        <v>1194.18</v>
      </c>
      <c r="BC83" s="58">
        <f t="shared" si="37"/>
        <v>45.93</v>
      </c>
      <c r="BD83" s="58">
        <f t="shared" si="37"/>
        <v>91.86</v>
      </c>
      <c r="BE83" s="55">
        <f t="shared" si="28"/>
        <v>342.12</v>
      </c>
      <c r="BF83" s="55">
        <f t="shared" si="29"/>
        <v>911.24599999999975</v>
      </c>
      <c r="BG83" s="60"/>
      <c r="BH83" s="60" t="s">
        <v>758</v>
      </c>
      <c r="BI83" s="28" t="s">
        <v>759</v>
      </c>
      <c r="BJ83" s="61" t="s">
        <v>760</v>
      </c>
      <c r="BK83" s="61"/>
      <c r="BL83" s="61" t="s">
        <v>484</v>
      </c>
      <c r="BM83" s="62" t="s">
        <v>761</v>
      </c>
      <c r="BN83" s="39"/>
    </row>
    <row r="84" spans="1:66" s="2" customFormat="1" ht="39.950000000000003" hidden="1" customHeight="1" x14ac:dyDescent="0.25">
      <c r="A84" s="41" t="s">
        <v>752</v>
      </c>
      <c r="B84" s="42">
        <v>38</v>
      </c>
      <c r="C84" s="43" t="s">
        <v>754</v>
      </c>
      <c r="D84" s="43" t="s">
        <v>762</v>
      </c>
      <c r="E84" s="30" t="s">
        <v>755</v>
      </c>
      <c r="F84" s="46" t="s">
        <v>756</v>
      </c>
      <c r="G84" s="47" t="s">
        <v>757</v>
      </c>
      <c r="H84" s="48" t="s">
        <v>161</v>
      </c>
      <c r="I84" s="30" t="s">
        <v>162</v>
      </c>
      <c r="J84" s="30" t="s">
        <v>67</v>
      </c>
      <c r="K84" s="30" t="s">
        <v>67</v>
      </c>
      <c r="L84" s="30" t="s">
        <v>11</v>
      </c>
      <c r="M84" s="50">
        <v>44197</v>
      </c>
      <c r="N84" s="50"/>
      <c r="O84" s="51">
        <v>44212</v>
      </c>
      <c r="P84" s="46"/>
      <c r="Q84" s="48" t="s">
        <v>69</v>
      </c>
      <c r="R84" s="82"/>
      <c r="S84" s="52" t="s">
        <v>148</v>
      </c>
      <c r="T84" s="47">
        <v>7</v>
      </c>
      <c r="U84" s="47" t="s">
        <v>149</v>
      </c>
      <c r="V84" s="47">
        <f t="shared" ca="1" si="30"/>
        <v>34</v>
      </c>
      <c r="W84" s="53"/>
      <c r="X84" s="47"/>
      <c r="Y84" s="54">
        <f t="shared" si="17"/>
        <v>0</v>
      </c>
      <c r="Z84" s="54">
        <f t="shared" si="18"/>
        <v>0</v>
      </c>
      <c r="AA84" s="33"/>
      <c r="AB84" s="33"/>
      <c r="AC84" s="57"/>
      <c r="AD84" s="57"/>
      <c r="AE84" s="57"/>
      <c r="AF84" s="68"/>
      <c r="AG84" s="57"/>
      <c r="AH84" s="57"/>
      <c r="AI84" s="33"/>
      <c r="AJ84" s="33">
        <f t="shared" si="39"/>
        <v>0</v>
      </c>
      <c r="AK84" s="54">
        <v>0</v>
      </c>
      <c r="AL84" s="54">
        <f t="shared" si="36"/>
        <v>0</v>
      </c>
      <c r="AM84" s="54">
        <f t="shared" si="36"/>
        <v>0</v>
      </c>
      <c r="AN84" s="55">
        <f t="shared" si="20"/>
        <v>0</v>
      </c>
      <c r="AO84" s="56">
        <f t="shared" si="21"/>
        <v>0</v>
      </c>
      <c r="AP84" s="55">
        <f t="shared" si="22"/>
        <v>0</v>
      </c>
      <c r="AQ84" s="55">
        <f t="shared" si="23"/>
        <v>0</v>
      </c>
      <c r="AR84" s="55">
        <f t="shared" si="24"/>
        <v>0</v>
      </c>
      <c r="AS84" s="55"/>
      <c r="AT84" s="55"/>
      <c r="AU84" s="55"/>
      <c r="AV84" s="57"/>
      <c r="AW84" s="57"/>
      <c r="AX84" s="57"/>
      <c r="AY84" s="55">
        <f t="shared" si="25"/>
        <v>0</v>
      </c>
      <c r="AZ84" s="54"/>
      <c r="BA84" s="33">
        <f t="shared" si="26"/>
        <v>0</v>
      </c>
      <c r="BB84" s="33">
        <f t="shared" si="27"/>
        <v>0</v>
      </c>
      <c r="BC84" s="58">
        <f t="shared" si="37"/>
        <v>0</v>
      </c>
      <c r="BD84" s="58">
        <f t="shared" si="37"/>
        <v>0</v>
      </c>
      <c r="BE84" s="55">
        <f t="shared" si="28"/>
        <v>0</v>
      </c>
      <c r="BF84" s="55">
        <f t="shared" si="29"/>
        <v>0</v>
      </c>
      <c r="BG84" s="60"/>
      <c r="BH84" s="60"/>
      <c r="BI84" s="28"/>
      <c r="BJ84" s="61"/>
      <c r="BK84" s="61"/>
      <c r="BL84" s="61"/>
      <c r="BM84" s="62" t="s">
        <v>761</v>
      </c>
      <c r="BN84" s="39"/>
    </row>
    <row r="85" spans="1:66" s="2" customFormat="1" ht="39.950000000000003" hidden="1" customHeight="1" x14ac:dyDescent="0.25">
      <c r="A85" s="41" t="s">
        <v>763</v>
      </c>
      <c r="B85" s="42">
        <v>34</v>
      </c>
      <c r="C85" s="43" t="s">
        <v>764</v>
      </c>
      <c r="D85" s="44" t="s">
        <v>765</v>
      </c>
      <c r="E85" s="45" t="s">
        <v>766</v>
      </c>
      <c r="F85" s="46" t="s">
        <v>767</v>
      </c>
      <c r="G85" s="47" t="s">
        <v>768</v>
      </c>
      <c r="H85" s="48" t="s">
        <v>84</v>
      </c>
      <c r="I85" s="30" t="s">
        <v>769</v>
      </c>
      <c r="J85" s="30" t="s">
        <v>67</v>
      </c>
      <c r="K85" s="30" t="s">
        <v>770</v>
      </c>
      <c r="L85" s="30" t="s">
        <v>11</v>
      </c>
      <c r="M85" s="50">
        <v>44044</v>
      </c>
      <c r="N85" s="50"/>
      <c r="O85" s="51">
        <v>45657</v>
      </c>
      <c r="P85" s="46"/>
      <c r="Q85" s="48" t="s">
        <v>69</v>
      </c>
      <c r="R85" s="48"/>
      <c r="S85" s="52" t="s">
        <v>70</v>
      </c>
      <c r="T85" s="47">
        <v>28</v>
      </c>
      <c r="U85" s="47" t="s">
        <v>149</v>
      </c>
      <c r="V85" s="47">
        <f t="shared" ca="1" si="30"/>
        <v>73</v>
      </c>
      <c r="W85" s="53">
        <v>7170400</v>
      </c>
      <c r="X85" s="47">
        <v>179</v>
      </c>
      <c r="Y85" s="54">
        <f t="shared" si="17"/>
        <v>232.92466666666667</v>
      </c>
      <c r="Z85" s="54">
        <f t="shared" si="18"/>
        <v>3493.87</v>
      </c>
      <c r="AA85" s="33">
        <v>6987.74</v>
      </c>
      <c r="AB85" s="33">
        <v>284</v>
      </c>
      <c r="AC85" s="57"/>
      <c r="AD85" s="57"/>
      <c r="AE85" s="64"/>
      <c r="AF85" s="65"/>
      <c r="AG85" s="57"/>
      <c r="AH85" s="57"/>
      <c r="AI85" s="33">
        <v>11283.15</v>
      </c>
      <c r="AJ85" s="33">
        <f t="shared" si="39"/>
        <v>18554.89</v>
      </c>
      <c r="AK85" s="54">
        <v>0</v>
      </c>
      <c r="AL85" s="54">
        <f t="shared" si="36"/>
        <v>454.20310000000001</v>
      </c>
      <c r="AM85" s="54">
        <f t="shared" si="36"/>
        <v>908.40620000000001</v>
      </c>
      <c r="AN85" s="55">
        <f t="shared" si="20"/>
        <v>908.40620000000001</v>
      </c>
      <c r="AO85" s="56">
        <f t="shared" si="21"/>
        <v>17646.483799999998</v>
      </c>
      <c r="AP85" s="55">
        <f t="shared" si="22"/>
        <v>10714.534666666666</v>
      </c>
      <c r="AQ85" s="55">
        <f t="shared" si="23"/>
        <v>17300.829999999998</v>
      </c>
      <c r="AR85" s="55">
        <f t="shared" si="24"/>
        <v>1454.348</v>
      </c>
      <c r="AS85" s="55"/>
      <c r="AT85" s="55"/>
      <c r="AU85" s="55"/>
      <c r="AV85" s="57"/>
      <c r="AW85" s="57"/>
      <c r="AX85" s="57"/>
      <c r="AY85" s="55">
        <f t="shared" si="25"/>
        <v>2908.6959999999999</v>
      </c>
      <c r="AZ85" s="54">
        <v>0.19</v>
      </c>
      <c r="BA85" s="33">
        <f t="shared" si="26"/>
        <v>663.83529999999996</v>
      </c>
      <c r="BB85" s="33">
        <f t="shared" si="27"/>
        <v>1327.6705999999999</v>
      </c>
      <c r="BC85" s="58">
        <f t="shared" si="37"/>
        <v>69.877399999999994</v>
      </c>
      <c r="BD85" s="58">
        <f t="shared" si="37"/>
        <v>139.75479999999999</v>
      </c>
      <c r="BE85" s="55">
        <f t="shared" si="28"/>
        <v>556.64670000000001</v>
      </c>
      <c r="BF85" s="55">
        <f t="shared" si="29"/>
        <v>1484.3685199999995</v>
      </c>
      <c r="BG85" s="59" t="s">
        <v>771</v>
      </c>
      <c r="BH85" s="59" t="s">
        <v>772</v>
      </c>
      <c r="BI85" s="28" t="s">
        <v>773</v>
      </c>
      <c r="BJ85" s="61" t="s">
        <v>774</v>
      </c>
      <c r="BK85" s="61"/>
      <c r="BL85" s="61" t="s">
        <v>775</v>
      </c>
      <c r="BM85" s="62" t="s">
        <v>776</v>
      </c>
      <c r="BN85" s="39"/>
    </row>
    <row r="86" spans="1:66" s="2" customFormat="1" ht="39.950000000000003" hidden="1" customHeight="1" x14ac:dyDescent="0.25">
      <c r="A86" s="41" t="s">
        <v>777</v>
      </c>
      <c r="B86" s="67">
        <v>35</v>
      </c>
      <c r="C86" s="62" t="s">
        <v>778</v>
      </c>
      <c r="D86" s="62" t="s">
        <v>779</v>
      </c>
      <c r="E86" s="30" t="s">
        <v>780</v>
      </c>
      <c r="F86" s="46" t="s">
        <v>781</v>
      </c>
      <c r="G86" s="47" t="s">
        <v>782</v>
      </c>
      <c r="H86" s="48" t="s">
        <v>84</v>
      </c>
      <c r="I86" s="30" t="s">
        <v>783</v>
      </c>
      <c r="J86" s="30" t="s">
        <v>67</v>
      </c>
      <c r="K86" s="30" t="s">
        <v>688</v>
      </c>
      <c r="L86" s="30" t="s">
        <v>11</v>
      </c>
      <c r="M86" s="50">
        <v>44044</v>
      </c>
      <c r="N86" s="50"/>
      <c r="O86" s="51">
        <v>44196</v>
      </c>
      <c r="P86" s="46"/>
      <c r="Q86" s="48" t="s">
        <v>69</v>
      </c>
      <c r="R86" s="48"/>
      <c r="S86" s="52" t="s">
        <v>148</v>
      </c>
      <c r="T86" s="47">
        <v>7</v>
      </c>
      <c r="U86" s="47" t="s">
        <v>400</v>
      </c>
      <c r="V86" s="47">
        <f t="shared" ca="1" si="30"/>
        <v>61</v>
      </c>
      <c r="W86" s="53" t="e">
        <v>#N/A</v>
      </c>
      <c r="X86" s="47">
        <v>180</v>
      </c>
      <c r="Y86" s="54">
        <f t="shared" si="17"/>
        <v>232.92466666666667</v>
      </c>
      <c r="Z86" s="54">
        <f t="shared" si="18"/>
        <v>3493.87</v>
      </c>
      <c r="AA86" s="33">
        <v>6987.74</v>
      </c>
      <c r="AB86" s="33">
        <v>284</v>
      </c>
      <c r="AC86" s="57"/>
      <c r="AD86" s="57"/>
      <c r="AE86" s="64"/>
      <c r="AF86" s="65"/>
      <c r="AG86" s="57"/>
      <c r="AH86" s="57"/>
      <c r="AI86" s="33">
        <v>11283.15</v>
      </c>
      <c r="AJ86" s="33">
        <f t="shared" si="39"/>
        <v>18554.89</v>
      </c>
      <c r="AK86" s="54">
        <v>0</v>
      </c>
      <c r="AL86" s="54">
        <f t="shared" si="36"/>
        <v>454.20310000000001</v>
      </c>
      <c r="AM86" s="54">
        <f t="shared" si="36"/>
        <v>908.40620000000001</v>
      </c>
      <c r="AN86" s="55">
        <f t="shared" si="20"/>
        <v>908.40620000000001</v>
      </c>
      <c r="AO86" s="56">
        <f t="shared" si="21"/>
        <v>17646.483799999998</v>
      </c>
      <c r="AP86" s="55">
        <f t="shared" si="22"/>
        <v>10714.534666666666</v>
      </c>
      <c r="AQ86" s="55">
        <f t="shared" si="23"/>
        <v>17300.829999999998</v>
      </c>
      <c r="AR86" s="55">
        <f t="shared" si="24"/>
        <v>1454.348</v>
      </c>
      <c r="AS86" s="55"/>
      <c r="AT86" s="55"/>
      <c r="AU86" s="55"/>
      <c r="AV86" s="57"/>
      <c r="AW86" s="57"/>
      <c r="AX86" s="57"/>
      <c r="AY86" s="55">
        <f t="shared" si="25"/>
        <v>2908.6959999999999</v>
      </c>
      <c r="AZ86" s="54">
        <v>0.19</v>
      </c>
      <c r="BA86" s="33">
        <f t="shared" si="26"/>
        <v>663.83529999999996</v>
      </c>
      <c r="BB86" s="33">
        <f t="shared" si="27"/>
        <v>1327.6705999999999</v>
      </c>
      <c r="BC86" s="58">
        <f t="shared" si="37"/>
        <v>69.877399999999994</v>
      </c>
      <c r="BD86" s="58">
        <f t="shared" si="37"/>
        <v>139.75479999999999</v>
      </c>
      <c r="BE86" s="55">
        <f t="shared" si="28"/>
        <v>556.64670000000001</v>
      </c>
      <c r="BF86" s="55">
        <f t="shared" si="29"/>
        <v>1484.3685199999995</v>
      </c>
      <c r="BG86" s="60"/>
      <c r="BH86" s="60" t="s">
        <v>784</v>
      </c>
      <c r="BI86" s="28" t="s">
        <v>785</v>
      </c>
      <c r="BJ86" s="61" t="s">
        <v>786</v>
      </c>
      <c r="BK86" s="61"/>
      <c r="BL86" s="61" t="s">
        <v>550</v>
      </c>
      <c r="BM86" s="62" t="s">
        <v>787</v>
      </c>
      <c r="BN86" s="39"/>
    </row>
    <row r="87" spans="1:66" s="2" customFormat="1" ht="39.950000000000003" hidden="1" customHeight="1" x14ac:dyDescent="0.25">
      <c r="A87" s="41" t="s">
        <v>788</v>
      </c>
      <c r="B87" s="42">
        <v>36</v>
      </c>
      <c r="C87" s="43" t="s">
        <v>789</v>
      </c>
      <c r="D87" s="43" t="s">
        <v>790</v>
      </c>
      <c r="E87" s="30" t="s">
        <v>791</v>
      </c>
      <c r="F87" s="46" t="s">
        <v>792</v>
      </c>
      <c r="G87" s="47" t="s">
        <v>793</v>
      </c>
      <c r="H87" s="48" t="s">
        <v>84</v>
      </c>
      <c r="I87" s="30" t="s">
        <v>794</v>
      </c>
      <c r="J87" s="30" t="s">
        <v>67</v>
      </c>
      <c r="K87" s="30" t="s">
        <v>795</v>
      </c>
      <c r="L87" s="30" t="s">
        <v>255</v>
      </c>
      <c r="M87" s="50">
        <v>44044</v>
      </c>
      <c r="N87" s="50"/>
      <c r="O87" s="51">
        <v>44196</v>
      </c>
      <c r="P87" s="46"/>
      <c r="Q87" s="48" t="s">
        <v>69</v>
      </c>
      <c r="R87" s="48"/>
      <c r="S87" s="52" t="s">
        <v>148</v>
      </c>
      <c r="T87" s="47">
        <v>19</v>
      </c>
      <c r="U87" s="47" t="s">
        <v>88</v>
      </c>
      <c r="V87" s="47">
        <f t="shared" ca="1" si="30"/>
        <v>28</v>
      </c>
      <c r="W87" s="53" t="e">
        <v>#N/A</v>
      </c>
      <c r="X87" s="47">
        <v>181</v>
      </c>
      <c r="Y87" s="54">
        <f t="shared" si="17"/>
        <v>232.92466666666667</v>
      </c>
      <c r="Z87" s="54">
        <f t="shared" si="18"/>
        <v>3493.87</v>
      </c>
      <c r="AA87" s="33">
        <v>6987.74</v>
      </c>
      <c r="AB87" s="33">
        <v>284</v>
      </c>
      <c r="AC87" s="57"/>
      <c r="AD87" s="57"/>
      <c r="AE87" s="64"/>
      <c r="AF87" s="65"/>
      <c r="AG87" s="57"/>
      <c r="AH87" s="57"/>
      <c r="AI87" s="33">
        <v>11283.15</v>
      </c>
      <c r="AJ87" s="33">
        <f t="shared" si="39"/>
        <v>18554.89</v>
      </c>
      <c r="AK87" s="54">
        <v>0</v>
      </c>
      <c r="AL87" s="54">
        <f t="shared" si="36"/>
        <v>454.20310000000001</v>
      </c>
      <c r="AM87" s="54">
        <f t="shared" si="36"/>
        <v>908.40620000000001</v>
      </c>
      <c r="AN87" s="55">
        <f t="shared" si="20"/>
        <v>908.40620000000001</v>
      </c>
      <c r="AO87" s="56">
        <f t="shared" si="21"/>
        <v>17646.483799999998</v>
      </c>
      <c r="AP87" s="55">
        <f t="shared" si="22"/>
        <v>10714.534666666666</v>
      </c>
      <c r="AQ87" s="55">
        <f t="shared" si="23"/>
        <v>17300.829999999998</v>
      </c>
      <c r="AR87" s="55">
        <f t="shared" si="24"/>
        <v>1454.348</v>
      </c>
      <c r="AS87" s="55"/>
      <c r="AT87" s="55"/>
      <c r="AU87" s="55"/>
      <c r="AV87" s="57"/>
      <c r="AW87" s="57"/>
      <c r="AX87" s="57"/>
      <c r="AY87" s="55">
        <f t="shared" si="25"/>
        <v>2908.6959999999999</v>
      </c>
      <c r="AZ87" s="54">
        <v>0.26</v>
      </c>
      <c r="BA87" s="33">
        <f t="shared" si="26"/>
        <v>908.40620000000001</v>
      </c>
      <c r="BB87" s="33">
        <f t="shared" si="27"/>
        <v>1816.8124</v>
      </c>
      <c r="BC87" s="58">
        <f t="shared" si="37"/>
        <v>69.877399999999994</v>
      </c>
      <c r="BD87" s="58">
        <f t="shared" si="37"/>
        <v>139.75479999999999</v>
      </c>
      <c r="BE87" s="55">
        <f t="shared" si="28"/>
        <v>556.64670000000001</v>
      </c>
      <c r="BF87" s="55">
        <f t="shared" si="29"/>
        <v>1484.3685199999995</v>
      </c>
      <c r="BG87" s="60"/>
      <c r="BH87" s="60" t="s">
        <v>796</v>
      </c>
      <c r="BI87" s="28" t="s">
        <v>797</v>
      </c>
      <c r="BJ87" s="61" t="s">
        <v>798</v>
      </c>
      <c r="BK87" s="61"/>
      <c r="BL87" s="61" t="s">
        <v>799</v>
      </c>
      <c r="BM87" s="62" t="s">
        <v>800</v>
      </c>
      <c r="BN87" s="39"/>
    </row>
    <row r="88" spans="1:66" s="2" customFormat="1" ht="39.950000000000003" hidden="1" customHeight="1" x14ac:dyDescent="0.25">
      <c r="A88" s="41" t="s">
        <v>801</v>
      </c>
      <c r="B88" s="42">
        <v>35</v>
      </c>
      <c r="C88" s="43" t="s">
        <v>802</v>
      </c>
      <c r="D88" s="43" t="s">
        <v>803</v>
      </c>
      <c r="E88" s="30" t="s">
        <v>804</v>
      </c>
      <c r="F88" s="46" t="s">
        <v>805</v>
      </c>
      <c r="G88" s="47" t="s">
        <v>806</v>
      </c>
      <c r="H88" s="48" t="s">
        <v>84</v>
      </c>
      <c r="I88" s="30" t="s">
        <v>783</v>
      </c>
      <c r="J88" s="30" t="s">
        <v>67</v>
      </c>
      <c r="K88" s="30" t="s">
        <v>688</v>
      </c>
      <c r="L88" s="30" t="s">
        <v>11</v>
      </c>
      <c r="M88" s="50">
        <v>44044</v>
      </c>
      <c r="N88" s="50"/>
      <c r="O88" s="51">
        <v>44301</v>
      </c>
      <c r="P88" s="46"/>
      <c r="Q88" s="48" t="s">
        <v>69</v>
      </c>
      <c r="R88" s="48"/>
      <c r="S88" s="52" t="s">
        <v>70</v>
      </c>
      <c r="T88" s="47">
        <v>1</v>
      </c>
      <c r="U88" s="47" t="s">
        <v>215</v>
      </c>
      <c r="V88" s="47">
        <f t="shared" ca="1" si="30"/>
        <v>37</v>
      </c>
      <c r="W88" s="53">
        <v>10767700</v>
      </c>
      <c r="X88" s="47">
        <v>180</v>
      </c>
      <c r="Y88" s="54">
        <f t="shared" si="17"/>
        <v>232.92466666666667</v>
      </c>
      <c r="Z88" s="54">
        <f t="shared" si="18"/>
        <v>3493.87</v>
      </c>
      <c r="AA88" s="33">
        <v>6987.74</v>
      </c>
      <c r="AB88" s="33">
        <v>284</v>
      </c>
      <c r="AC88" s="57"/>
      <c r="AD88" s="57"/>
      <c r="AE88" s="64"/>
      <c r="AF88" s="65"/>
      <c r="AG88" s="57"/>
      <c r="AH88" s="57"/>
      <c r="AI88" s="33">
        <v>11283.15</v>
      </c>
      <c r="AJ88" s="33">
        <f t="shared" si="39"/>
        <v>18554.89</v>
      </c>
      <c r="AK88" s="54">
        <v>0</v>
      </c>
      <c r="AL88" s="54">
        <f t="shared" si="36"/>
        <v>454.20310000000001</v>
      </c>
      <c r="AM88" s="54">
        <f t="shared" si="36"/>
        <v>908.40620000000001</v>
      </c>
      <c r="AN88" s="55">
        <f t="shared" si="20"/>
        <v>908.40620000000001</v>
      </c>
      <c r="AO88" s="56">
        <f t="shared" si="21"/>
        <v>17646.483799999998</v>
      </c>
      <c r="AP88" s="55">
        <f t="shared" si="22"/>
        <v>10714.534666666666</v>
      </c>
      <c r="AQ88" s="55">
        <f t="shared" si="23"/>
        <v>17300.829999999998</v>
      </c>
      <c r="AR88" s="55">
        <f t="shared" si="24"/>
        <v>1454.348</v>
      </c>
      <c r="AS88" s="55"/>
      <c r="AT88" s="55"/>
      <c r="AU88" s="55"/>
      <c r="AV88" s="57"/>
      <c r="AW88" s="57"/>
      <c r="AX88" s="57"/>
      <c r="AY88" s="55">
        <f t="shared" si="25"/>
        <v>2908.6959999999999</v>
      </c>
      <c r="AZ88" s="54">
        <v>0.26</v>
      </c>
      <c r="BA88" s="33">
        <f t="shared" si="26"/>
        <v>908.40620000000001</v>
      </c>
      <c r="BB88" s="33">
        <f t="shared" si="27"/>
        <v>1816.8124</v>
      </c>
      <c r="BC88" s="58">
        <f t="shared" si="37"/>
        <v>69.877399999999994</v>
      </c>
      <c r="BD88" s="58">
        <f t="shared" si="37"/>
        <v>139.75479999999999</v>
      </c>
      <c r="BE88" s="55">
        <f t="shared" si="28"/>
        <v>556.64670000000001</v>
      </c>
      <c r="BF88" s="55">
        <f t="shared" si="29"/>
        <v>1484.3685199999995</v>
      </c>
      <c r="BG88" s="60"/>
      <c r="BH88" s="60" t="s">
        <v>807</v>
      </c>
      <c r="BI88" s="28" t="s">
        <v>808</v>
      </c>
      <c r="BJ88" s="61" t="s">
        <v>809</v>
      </c>
      <c r="BK88" s="61"/>
      <c r="BL88" s="61" t="s">
        <v>810</v>
      </c>
      <c r="BM88" s="62" t="s">
        <v>811</v>
      </c>
      <c r="BN88" s="39"/>
    </row>
    <row r="89" spans="1:66" s="2" customFormat="1" ht="39.950000000000003" hidden="1" customHeight="1" x14ac:dyDescent="0.25">
      <c r="A89" s="41" t="s">
        <v>812</v>
      </c>
      <c r="B89" s="42">
        <v>65</v>
      </c>
      <c r="C89" s="43" t="s">
        <v>813</v>
      </c>
      <c r="D89" s="43" t="s">
        <v>814</v>
      </c>
      <c r="E89" s="30" t="s">
        <v>815</v>
      </c>
      <c r="F89" s="46" t="s">
        <v>816</v>
      </c>
      <c r="G89" s="47" t="s">
        <v>817</v>
      </c>
      <c r="H89" s="48" t="s">
        <v>161</v>
      </c>
      <c r="I89" s="30" t="s">
        <v>162</v>
      </c>
      <c r="J89" s="30" t="s">
        <v>67</v>
      </c>
      <c r="K89" s="30" t="s">
        <v>795</v>
      </c>
      <c r="L89" s="30" t="s">
        <v>255</v>
      </c>
      <c r="M89" s="50">
        <v>44044</v>
      </c>
      <c r="N89" s="50"/>
      <c r="O89" s="51">
        <v>44196</v>
      </c>
      <c r="P89" s="46"/>
      <c r="Q89" s="48" t="s">
        <v>69</v>
      </c>
      <c r="R89" s="48"/>
      <c r="S89" s="52" t="s">
        <v>148</v>
      </c>
      <c r="T89" s="47">
        <v>28</v>
      </c>
      <c r="U89" s="47" t="s">
        <v>175</v>
      </c>
      <c r="V89" s="47">
        <f t="shared" ca="1" si="30"/>
        <v>33</v>
      </c>
      <c r="W89" s="53" t="e">
        <v>#N/A</v>
      </c>
      <c r="X89" s="47">
        <v>178</v>
      </c>
      <c r="Y89" s="54">
        <f t="shared" si="17"/>
        <v>200.13333333333333</v>
      </c>
      <c r="Z89" s="54">
        <f t="shared" si="18"/>
        <v>3002</v>
      </c>
      <c r="AA89" s="33">
        <v>6004</v>
      </c>
      <c r="AB89" s="33">
        <v>284</v>
      </c>
      <c r="AC89" s="57"/>
      <c r="AD89" s="57"/>
      <c r="AE89" s="64"/>
      <c r="AF89" s="65"/>
      <c r="AG89" s="57"/>
      <c r="AH89" s="57"/>
      <c r="AI89" s="33">
        <v>10984</v>
      </c>
      <c r="AJ89" s="33">
        <f t="shared" si="39"/>
        <v>17272</v>
      </c>
      <c r="AK89" s="54">
        <v>0</v>
      </c>
      <c r="AL89" s="54">
        <f t="shared" si="36"/>
        <v>390.26</v>
      </c>
      <c r="AM89" s="54">
        <f t="shared" si="36"/>
        <v>780.52</v>
      </c>
      <c r="AN89" s="55">
        <f t="shared" si="20"/>
        <v>780.52</v>
      </c>
      <c r="AO89" s="56">
        <f t="shared" si="21"/>
        <v>16491.48</v>
      </c>
      <c r="AP89" s="55">
        <f t="shared" si="22"/>
        <v>9206.1333333333332</v>
      </c>
      <c r="AQ89" s="55">
        <f t="shared" si="23"/>
        <v>16842.133333333331</v>
      </c>
      <c r="AR89" s="55">
        <f t="shared" si="24"/>
        <v>1257.5999999999999</v>
      </c>
      <c r="AS89" s="55"/>
      <c r="AT89" s="55"/>
      <c r="AU89" s="55"/>
      <c r="AV89" s="57"/>
      <c r="AW89" s="57"/>
      <c r="AX89" s="57"/>
      <c r="AY89" s="55">
        <f t="shared" si="25"/>
        <v>2515.1999999999998</v>
      </c>
      <c r="AZ89" s="54">
        <v>0.26</v>
      </c>
      <c r="BA89" s="33">
        <f t="shared" si="26"/>
        <v>780.52</v>
      </c>
      <c r="BB89" s="33">
        <f t="shared" si="27"/>
        <v>1561.04</v>
      </c>
      <c r="BC89" s="58">
        <f t="shared" si="37"/>
        <v>60.04</v>
      </c>
      <c r="BD89" s="58">
        <f t="shared" si="37"/>
        <v>120.08</v>
      </c>
      <c r="BE89" s="55">
        <f t="shared" si="28"/>
        <v>518.16</v>
      </c>
      <c r="BF89" s="55">
        <f t="shared" si="29"/>
        <v>1375.0639999999999</v>
      </c>
      <c r="BG89" s="60"/>
      <c r="BH89" s="60" t="s">
        <v>818</v>
      </c>
      <c r="BI89" s="28" t="s">
        <v>643</v>
      </c>
      <c r="BJ89" s="61" t="s">
        <v>819</v>
      </c>
      <c r="BK89" s="61"/>
      <c r="BL89" s="61" t="s">
        <v>484</v>
      </c>
      <c r="BM89" s="62" t="s">
        <v>820</v>
      </c>
      <c r="BN89" s="39"/>
    </row>
    <row r="90" spans="1:66" s="2" customFormat="1" ht="39.950000000000003" hidden="1" customHeight="1" x14ac:dyDescent="0.25">
      <c r="A90" s="41" t="s">
        <v>821</v>
      </c>
      <c r="B90" s="42">
        <v>39</v>
      </c>
      <c r="C90" s="43" t="s">
        <v>822</v>
      </c>
      <c r="D90" s="43" t="s">
        <v>823</v>
      </c>
      <c r="E90" s="30" t="s">
        <v>824</v>
      </c>
      <c r="F90" s="46" t="s">
        <v>825</v>
      </c>
      <c r="G90" s="47" t="s">
        <v>826</v>
      </c>
      <c r="H90" s="48" t="s">
        <v>161</v>
      </c>
      <c r="I90" s="30" t="s">
        <v>162</v>
      </c>
      <c r="J90" s="30" t="s">
        <v>67</v>
      </c>
      <c r="K90" s="30" t="s">
        <v>770</v>
      </c>
      <c r="L90" s="30" t="s">
        <v>255</v>
      </c>
      <c r="M90" s="50">
        <v>44044</v>
      </c>
      <c r="N90" s="50"/>
      <c r="O90" s="51">
        <v>44196</v>
      </c>
      <c r="P90" s="46"/>
      <c r="Q90" s="48" t="s">
        <v>69</v>
      </c>
      <c r="R90" s="48"/>
      <c r="S90" s="52" t="s">
        <v>148</v>
      </c>
      <c r="T90" s="47">
        <v>6</v>
      </c>
      <c r="U90" s="47" t="s">
        <v>305</v>
      </c>
      <c r="V90" s="47">
        <f t="shared" ca="1" si="30"/>
        <v>30</v>
      </c>
      <c r="W90" s="53" t="e">
        <v>#N/A</v>
      </c>
      <c r="X90" s="47">
        <v>179</v>
      </c>
      <c r="Y90" s="54">
        <f t="shared" si="17"/>
        <v>200.13333333333333</v>
      </c>
      <c r="Z90" s="54">
        <f t="shared" si="18"/>
        <v>3002</v>
      </c>
      <c r="AA90" s="33">
        <v>6004</v>
      </c>
      <c r="AB90" s="33">
        <v>284</v>
      </c>
      <c r="AC90" s="57"/>
      <c r="AD90" s="57"/>
      <c r="AE90" s="64"/>
      <c r="AF90" s="65"/>
      <c r="AG90" s="57"/>
      <c r="AH90" s="57"/>
      <c r="AI90" s="33">
        <v>7000</v>
      </c>
      <c r="AJ90" s="33">
        <f t="shared" si="39"/>
        <v>13288</v>
      </c>
      <c r="AK90" s="54">
        <v>0</v>
      </c>
      <c r="AL90" s="54">
        <f t="shared" si="36"/>
        <v>390.26</v>
      </c>
      <c r="AM90" s="54">
        <f t="shared" si="36"/>
        <v>780.52</v>
      </c>
      <c r="AN90" s="55">
        <f t="shared" si="20"/>
        <v>780.52</v>
      </c>
      <c r="AO90" s="56">
        <f t="shared" si="21"/>
        <v>12507.48</v>
      </c>
      <c r="AP90" s="55">
        <f t="shared" si="22"/>
        <v>9206.1333333333332</v>
      </c>
      <c r="AQ90" s="55">
        <f t="shared" si="23"/>
        <v>10733.333333333334</v>
      </c>
      <c r="AR90" s="55">
        <f t="shared" si="24"/>
        <v>1257.5999999999999</v>
      </c>
      <c r="AS90" s="55"/>
      <c r="AT90" s="55"/>
      <c r="AU90" s="55"/>
      <c r="AV90" s="57"/>
      <c r="AW90" s="57"/>
      <c r="AX90" s="57"/>
      <c r="AY90" s="55">
        <f t="shared" si="25"/>
        <v>2515.1999999999998</v>
      </c>
      <c r="AZ90" s="54">
        <v>0.26</v>
      </c>
      <c r="BA90" s="33">
        <f t="shared" si="26"/>
        <v>780.52</v>
      </c>
      <c r="BB90" s="33">
        <f t="shared" si="27"/>
        <v>1561.04</v>
      </c>
      <c r="BC90" s="58">
        <f t="shared" si="37"/>
        <v>60.04</v>
      </c>
      <c r="BD90" s="58">
        <f t="shared" si="37"/>
        <v>120.08</v>
      </c>
      <c r="BE90" s="55">
        <f t="shared" si="28"/>
        <v>398.64</v>
      </c>
      <c r="BF90" s="55">
        <f t="shared" si="29"/>
        <v>1072.28</v>
      </c>
      <c r="BG90" s="60"/>
      <c r="BH90" s="60" t="s">
        <v>827</v>
      </c>
      <c r="BI90" s="28" t="s">
        <v>828</v>
      </c>
      <c r="BJ90" s="61" t="s">
        <v>829</v>
      </c>
      <c r="BK90" s="61"/>
      <c r="BL90" s="61" t="s">
        <v>830</v>
      </c>
      <c r="BM90" s="62" t="s">
        <v>831</v>
      </c>
      <c r="BN90" s="39"/>
    </row>
    <row r="91" spans="1:66" s="2" customFormat="1" ht="39.950000000000003" hidden="1" customHeight="1" x14ac:dyDescent="0.25">
      <c r="A91" s="41" t="s">
        <v>832</v>
      </c>
      <c r="B91" s="42">
        <v>40</v>
      </c>
      <c r="C91" s="43" t="s">
        <v>833</v>
      </c>
      <c r="D91" s="43" t="s">
        <v>834</v>
      </c>
      <c r="E91" s="30" t="s">
        <v>835</v>
      </c>
      <c r="F91" s="46" t="s">
        <v>836</v>
      </c>
      <c r="G91" s="47" t="s">
        <v>837</v>
      </c>
      <c r="H91" s="48" t="s">
        <v>161</v>
      </c>
      <c r="I91" s="30" t="s">
        <v>162</v>
      </c>
      <c r="J91" s="30" t="s">
        <v>67</v>
      </c>
      <c r="K91" s="30" t="s">
        <v>688</v>
      </c>
      <c r="L91" s="30" t="s">
        <v>255</v>
      </c>
      <c r="M91" s="50">
        <v>44044</v>
      </c>
      <c r="N91" s="50"/>
      <c r="O91" s="51">
        <v>44196</v>
      </c>
      <c r="P91" s="46"/>
      <c r="Q91" s="48" t="s">
        <v>69</v>
      </c>
      <c r="R91" s="48"/>
      <c r="S91" s="52" t="s">
        <v>70</v>
      </c>
      <c r="T91" s="47">
        <v>22</v>
      </c>
      <c r="U91" s="47" t="s">
        <v>116</v>
      </c>
      <c r="V91" s="47">
        <f t="shared" ca="1" si="30"/>
        <v>29</v>
      </c>
      <c r="W91" s="53" t="e">
        <v>#N/A</v>
      </c>
      <c r="X91" s="47">
        <v>181</v>
      </c>
      <c r="Y91" s="54">
        <f t="shared" si="17"/>
        <v>200.13333333333333</v>
      </c>
      <c r="Z91" s="54">
        <f t="shared" si="18"/>
        <v>3002</v>
      </c>
      <c r="AA91" s="33">
        <v>6004</v>
      </c>
      <c r="AB91" s="33">
        <v>284</v>
      </c>
      <c r="AC91" s="57"/>
      <c r="AD91" s="57"/>
      <c r="AE91" s="64"/>
      <c r="AF91" s="65"/>
      <c r="AG91" s="57"/>
      <c r="AH91" s="57"/>
      <c r="AI91" s="33">
        <v>7000</v>
      </c>
      <c r="AJ91" s="33">
        <f t="shared" si="39"/>
        <v>13288</v>
      </c>
      <c r="AK91" s="54">
        <v>0</v>
      </c>
      <c r="AL91" s="54">
        <f t="shared" si="36"/>
        <v>390.26</v>
      </c>
      <c r="AM91" s="54">
        <f t="shared" si="36"/>
        <v>780.52</v>
      </c>
      <c r="AN91" s="55">
        <f t="shared" si="20"/>
        <v>780.52</v>
      </c>
      <c r="AO91" s="56">
        <f t="shared" si="21"/>
        <v>12507.48</v>
      </c>
      <c r="AP91" s="55">
        <f t="shared" si="22"/>
        <v>9206.1333333333332</v>
      </c>
      <c r="AQ91" s="55">
        <f t="shared" si="23"/>
        <v>10733.333333333334</v>
      </c>
      <c r="AR91" s="55">
        <f t="shared" si="24"/>
        <v>1257.5999999999999</v>
      </c>
      <c r="AS91" s="55"/>
      <c r="AT91" s="55"/>
      <c r="AU91" s="55"/>
      <c r="AV91" s="57"/>
      <c r="AW91" s="57"/>
      <c r="AX91" s="57"/>
      <c r="AY91" s="55">
        <f t="shared" si="25"/>
        <v>2515.1999999999998</v>
      </c>
      <c r="AZ91" s="54">
        <v>0.26</v>
      </c>
      <c r="BA91" s="33">
        <f t="shared" si="26"/>
        <v>780.52</v>
      </c>
      <c r="BB91" s="33">
        <f t="shared" si="27"/>
        <v>1561.04</v>
      </c>
      <c r="BC91" s="58">
        <f t="shared" si="37"/>
        <v>60.04</v>
      </c>
      <c r="BD91" s="58">
        <f t="shared" si="37"/>
        <v>120.08</v>
      </c>
      <c r="BE91" s="55">
        <f t="shared" si="28"/>
        <v>398.64</v>
      </c>
      <c r="BF91" s="55">
        <f t="shared" si="29"/>
        <v>1072.28</v>
      </c>
      <c r="BG91" s="60"/>
      <c r="BH91" s="60" t="s">
        <v>838</v>
      </c>
      <c r="BI91" s="28" t="s">
        <v>839</v>
      </c>
      <c r="BJ91" s="61" t="s">
        <v>840</v>
      </c>
      <c r="BK91" s="61"/>
      <c r="BL91" s="61" t="s">
        <v>799</v>
      </c>
      <c r="BM91" s="62" t="s">
        <v>841</v>
      </c>
      <c r="BN91" s="39"/>
    </row>
    <row r="92" spans="1:66" s="2" customFormat="1" ht="39.950000000000003" hidden="1" customHeight="1" x14ac:dyDescent="0.25">
      <c r="A92" s="41" t="s">
        <v>842</v>
      </c>
      <c r="B92" s="42">
        <v>42</v>
      </c>
      <c r="C92" s="43" t="s">
        <v>843</v>
      </c>
      <c r="D92" s="43" t="s">
        <v>844</v>
      </c>
      <c r="E92" s="30" t="s">
        <v>845</v>
      </c>
      <c r="F92" s="46" t="s">
        <v>846</v>
      </c>
      <c r="G92" s="47" t="s">
        <v>847</v>
      </c>
      <c r="H92" s="48" t="s">
        <v>161</v>
      </c>
      <c r="I92" s="30" t="s">
        <v>848</v>
      </c>
      <c r="J92" s="30" t="s">
        <v>129</v>
      </c>
      <c r="K92" s="30" t="s">
        <v>129</v>
      </c>
      <c r="L92" s="30" t="s">
        <v>255</v>
      </c>
      <c r="M92" s="50">
        <v>44044</v>
      </c>
      <c r="N92" s="50"/>
      <c r="O92" s="51">
        <v>44196</v>
      </c>
      <c r="P92" s="46">
        <v>44197</v>
      </c>
      <c r="Q92" s="48" t="s">
        <v>69</v>
      </c>
      <c r="R92" s="48"/>
      <c r="S92" s="52" t="s">
        <v>70</v>
      </c>
      <c r="T92" s="47">
        <v>2</v>
      </c>
      <c r="U92" s="47" t="s">
        <v>149</v>
      </c>
      <c r="V92" s="47">
        <f t="shared" ca="1" si="30"/>
        <v>36</v>
      </c>
      <c r="W92" s="53">
        <v>10768200</v>
      </c>
      <c r="X92" s="47"/>
      <c r="Y92" s="54">
        <f t="shared" si="17"/>
        <v>153.1</v>
      </c>
      <c r="Z92" s="54">
        <f t="shared" si="18"/>
        <v>2296.5</v>
      </c>
      <c r="AA92" s="33">
        <v>4593</v>
      </c>
      <c r="AB92" s="33">
        <v>311</v>
      </c>
      <c r="AC92" s="57"/>
      <c r="AD92" s="57"/>
      <c r="AE92" s="64"/>
      <c r="AF92" s="65"/>
      <c r="AG92" s="57"/>
      <c r="AH92" s="57"/>
      <c r="AI92" s="33">
        <v>6500</v>
      </c>
      <c r="AJ92" s="33">
        <f t="shared" si="39"/>
        <v>11404</v>
      </c>
      <c r="AK92" s="54">
        <v>0</v>
      </c>
      <c r="AL92" s="54">
        <f t="shared" si="36"/>
        <v>298.54500000000002</v>
      </c>
      <c r="AM92" s="54">
        <f t="shared" si="36"/>
        <v>597.09</v>
      </c>
      <c r="AN92" s="55">
        <f t="shared" si="20"/>
        <v>597.09</v>
      </c>
      <c r="AO92" s="56">
        <f t="shared" si="21"/>
        <v>10806.91</v>
      </c>
      <c r="AP92" s="55">
        <f t="shared" si="22"/>
        <v>7042.5999999999995</v>
      </c>
      <c r="AQ92" s="55">
        <f t="shared" si="23"/>
        <v>9966.6666666666661</v>
      </c>
      <c r="AR92" s="55">
        <f t="shared" si="24"/>
        <v>980.8</v>
      </c>
      <c r="AS92" s="55"/>
      <c r="AT92" s="55"/>
      <c r="AU92" s="55"/>
      <c r="AV92" s="57"/>
      <c r="AW92" s="57"/>
      <c r="AX92" s="57"/>
      <c r="AY92" s="55">
        <f t="shared" si="25"/>
        <v>1961.6</v>
      </c>
      <c r="AZ92" s="54">
        <v>0.26</v>
      </c>
      <c r="BA92" s="33">
        <f t="shared" si="26"/>
        <v>597.09</v>
      </c>
      <c r="BB92" s="33">
        <f t="shared" si="27"/>
        <v>1194.18</v>
      </c>
      <c r="BC92" s="58">
        <f t="shared" si="37"/>
        <v>45.93</v>
      </c>
      <c r="BD92" s="58">
        <f t="shared" si="37"/>
        <v>91.86</v>
      </c>
      <c r="BE92" s="55">
        <f t="shared" si="28"/>
        <v>342.12</v>
      </c>
      <c r="BF92" s="55">
        <f t="shared" si="29"/>
        <v>911.24599999999975</v>
      </c>
      <c r="BG92" s="60" t="s">
        <v>849</v>
      </c>
      <c r="BH92" s="60" t="s">
        <v>850</v>
      </c>
      <c r="BI92" s="28" t="s">
        <v>851</v>
      </c>
      <c r="BJ92" s="61" t="s">
        <v>852</v>
      </c>
      <c r="BK92" s="61"/>
      <c r="BL92" s="61" t="s">
        <v>853</v>
      </c>
      <c r="BM92" s="62" t="s">
        <v>854</v>
      </c>
      <c r="BN92" s="39"/>
    </row>
    <row r="93" spans="1:66" s="2" customFormat="1" ht="39.950000000000003" hidden="1" customHeight="1" x14ac:dyDescent="0.25">
      <c r="A93" s="41" t="s">
        <v>842</v>
      </c>
      <c r="B93" s="42">
        <v>1</v>
      </c>
      <c r="C93" s="43" t="s">
        <v>855</v>
      </c>
      <c r="D93" s="43" t="s">
        <v>856</v>
      </c>
      <c r="E93" s="30" t="s">
        <v>845</v>
      </c>
      <c r="F93" s="46" t="s">
        <v>846</v>
      </c>
      <c r="G93" s="47" t="s">
        <v>847</v>
      </c>
      <c r="H93" s="48" t="s">
        <v>161</v>
      </c>
      <c r="I93" s="30" t="s">
        <v>162</v>
      </c>
      <c r="J93" s="30" t="s">
        <v>147</v>
      </c>
      <c r="K93" s="30" t="s">
        <v>147</v>
      </c>
      <c r="L93" s="30" t="s">
        <v>131</v>
      </c>
      <c r="M93" s="50">
        <v>44197</v>
      </c>
      <c r="N93" s="50"/>
      <c r="O93" s="51"/>
      <c r="P93" s="46"/>
      <c r="Q93" s="48" t="s">
        <v>69</v>
      </c>
      <c r="R93" s="48"/>
      <c r="S93" s="52" t="s">
        <v>70</v>
      </c>
      <c r="T93" s="47">
        <v>2</v>
      </c>
      <c r="U93" s="47" t="s">
        <v>149</v>
      </c>
      <c r="V93" s="47">
        <f t="shared" ca="1" si="30"/>
        <v>36</v>
      </c>
      <c r="W93" s="53">
        <v>10768200</v>
      </c>
      <c r="X93" s="47">
        <v>170</v>
      </c>
      <c r="Y93" s="54">
        <f t="shared" si="17"/>
        <v>200.13333333333333</v>
      </c>
      <c r="Z93" s="54">
        <f t="shared" si="18"/>
        <v>3002</v>
      </c>
      <c r="AA93" s="33">
        <v>6004</v>
      </c>
      <c r="AB93" s="33">
        <v>284</v>
      </c>
      <c r="AC93" s="57"/>
      <c r="AD93" s="57"/>
      <c r="AE93" s="64"/>
      <c r="AF93" s="65"/>
      <c r="AG93" s="57"/>
      <c r="AH93" s="57"/>
      <c r="AI93" s="33">
        <v>10984</v>
      </c>
      <c r="AJ93" s="33">
        <f t="shared" si="39"/>
        <v>17272</v>
      </c>
      <c r="AK93" s="54">
        <v>0</v>
      </c>
      <c r="AL93" s="54">
        <f t="shared" si="36"/>
        <v>390.26</v>
      </c>
      <c r="AM93" s="54">
        <f t="shared" si="36"/>
        <v>780.52</v>
      </c>
      <c r="AN93" s="55">
        <f t="shared" si="20"/>
        <v>780.52</v>
      </c>
      <c r="AO93" s="56">
        <f t="shared" si="21"/>
        <v>16491.48</v>
      </c>
      <c r="AP93" s="55">
        <f t="shared" si="22"/>
        <v>9206.1333333333332</v>
      </c>
      <c r="AQ93" s="55">
        <f t="shared" si="23"/>
        <v>16842.133333333331</v>
      </c>
      <c r="AR93" s="55">
        <f t="shared" si="24"/>
        <v>1257.5999999999999</v>
      </c>
      <c r="AS93" s="55"/>
      <c r="AT93" s="55"/>
      <c r="AU93" s="55"/>
      <c r="AV93" s="57"/>
      <c r="AW93" s="57"/>
      <c r="AX93" s="57"/>
      <c r="AY93" s="55">
        <f t="shared" si="25"/>
        <v>2515.1999999999998</v>
      </c>
      <c r="AZ93" s="54">
        <v>0.26</v>
      </c>
      <c r="BA93" s="33">
        <f t="shared" si="26"/>
        <v>780.52</v>
      </c>
      <c r="BB93" s="33">
        <f t="shared" si="27"/>
        <v>1561.04</v>
      </c>
      <c r="BC93" s="58">
        <f t="shared" si="37"/>
        <v>60.04</v>
      </c>
      <c r="BD93" s="58">
        <f t="shared" si="37"/>
        <v>120.08</v>
      </c>
      <c r="BE93" s="55">
        <f t="shared" si="28"/>
        <v>518.16</v>
      </c>
      <c r="BF93" s="55">
        <f t="shared" si="29"/>
        <v>1375.0639999999999</v>
      </c>
      <c r="BG93" s="60" t="s">
        <v>849</v>
      </c>
      <c r="BH93" s="60" t="s">
        <v>850</v>
      </c>
      <c r="BI93" s="28" t="s">
        <v>857</v>
      </c>
      <c r="BJ93" s="61" t="s">
        <v>858</v>
      </c>
      <c r="BK93" s="61"/>
      <c r="BL93" s="61" t="s">
        <v>853</v>
      </c>
      <c r="BM93" s="62" t="s">
        <v>854</v>
      </c>
      <c r="BN93" s="39"/>
    </row>
    <row r="94" spans="1:66" s="2" customFormat="1" ht="39.950000000000003" hidden="1" customHeight="1" x14ac:dyDescent="0.25">
      <c r="A94" s="41" t="s">
        <v>842</v>
      </c>
      <c r="B94" s="42">
        <v>1</v>
      </c>
      <c r="C94" s="43" t="s">
        <v>856</v>
      </c>
      <c r="D94" s="44" t="s">
        <v>859</v>
      </c>
      <c r="E94" s="30" t="s">
        <v>845</v>
      </c>
      <c r="F94" s="46" t="s">
        <v>846</v>
      </c>
      <c r="G94" s="47" t="s">
        <v>847</v>
      </c>
      <c r="H94" s="48" t="s">
        <v>315</v>
      </c>
      <c r="I94" s="30" t="s">
        <v>316</v>
      </c>
      <c r="J94" s="30" t="s">
        <v>147</v>
      </c>
      <c r="K94" s="30" t="s">
        <v>147</v>
      </c>
      <c r="L94" s="30" t="s">
        <v>11</v>
      </c>
      <c r="M94" s="50"/>
      <c r="N94" s="50">
        <v>44927</v>
      </c>
      <c r="O94" s="51">
        <v>45657</v>
      </c>
      <c r="P94" s="46"/>
      <c r="Q94" s="48" t="s">
        <v>69</v>
      </c>
      <c r="R94" s="48"/>
      <c r="S94" s="52" t="s">
        <v>70</v>
      </c>
      <c r="T94" s="47">
        <v>2</v>
      </c>
      <c r="U94" s="47" t="s">
        <v>149</v>
      </c>
      <c r="V94" s="47">
        <f t="shared" ca="1" si="30"/>
        <v>36</v>
      </c>
      <c r="W94" s="53">
        <v>10768200</v>
      </c>
      <c r="X94" s="47">
        <v>168</v>
      </c>
      <c r="Y94" s="54">
        <f t="shared" si="17"/>
        <v>232.92466666666667</v>
      </c>
      <c r="Z94" s="54">
        <f t="shared" si="18"/>
        <v>3493.87</v>
      </c>
      <c r="AA94" s="33">
        <v>6987.74</v>
      </c>
      <c r="AB94" s="33">
        <v>284</v>
      </c>
      <c r="AC94" s="57"/>
      <c r="AD94" s="57"/>
      <c r="AE94" s="64"/>
      <c r="AF94" s="65"/>
      <c r="AG94" s="57"/>
      <c r="AH94" s="57"/>
      <c r="AI94" s="33">
        <v>10000</v>
      </c>
      <c r="AJ94" s="33">
        <f t="shared" si="39"/>
        <v>17271.739999999998</v>
      </c>
      <c r="AK94" s="54">
        <v>0</v>
      </c>
      <c r="AL94" s="54">
        <f t="shared" si="36"/>
        <v>454.20310000000001</v>
      </c>
      <c r="AM94" s="54">
        <f t="shared" si="36"/>
        <v>908.40620000000001</v>
      </c>
      <c r="AN94" s="55">
        <f t="shared" si="20"/>
        <v>908.40620000000001</v>
      </c>
      <c r="AO94" s="56">
        <f t="shared" si="21"/>
        <v>16363.333799999999</v>
      </c>
      <c r="AP94" s="55">
        <f t="shared" si="22"/>
        <v>10714.534666666666</v>
      </c>
      <c r="AQ94" s="55">
        <f t="shared" si="23"/>
        <v>15333.333333333332</v>
      </c>
      <c r="AR94" s="55">
        <f t="shared" si="24"/>
        <v>1454.348</v>
      </c>
      <c r="AS94" s="55"/>
      <c r="AT94" s="55"/>
      <c r="AU94" s="55"/>
      <c r="AV94" s="57"/>
      <c r="AW94" s="57"/>
      <c r="AX94" s="57"/>
      <c r="AY94" s="55">
        <f t="shared" si="25"/>
        <v>2908.6959999999999</v>
      </c>
      <c r="AZ94" s="54">
        <v>0.26</v>
      </c>
      <c r="BA94" s="33">
        <f t="shared" si="26"/>
        <v>908.40620000000001</v>
      </c>
      <c r="BB94" s="33">
        <f t="shared" si="27"/>
        <v>1816.8124</v>
      </c>
      <c r="BC94" s="58">
        <f t="shared" si="37"/>
        <v>69.877399999999994</v>
      </c>
      <c r="BD94" s="58">
        <f t="shared" si="37"/>
        <v>139.75479999999999</v>
      </c>
      <c r="BE94" s="55">
        <f t="shared" si="28"/>
        <v>518.15219999999988</v>
      </c>
      <c r="BF94" s="55">
        <f t="shared" si="29"/>
        <v>1386.8491199999996</v>
      </c>
      <c r="BG94" s="60" t="s">
        <v>849</v>
      </c>
      <c r="BH94" s="60" t="s">
        <v>850</v>
      </c>
      <c r="BI94" s="28" t="s">
        <v>857</v>
      </c>
      <c r="BJ94" s="61" t="s">
        <v>858</v>
      </c>
      <c r="BK94" s="61" t="s">
        <v>860</v>
      </c>
      <c r="BL94" s="61" t="s">
        <v>853</v>
      </c>
      <c r="BM94" s="62" t="s">
        <v>854</v>
      </c>
      <c r="BN94" s="39"/>
    </row>
    <row r="95" spans="1:66" s="2" customFormat="1" ht="39.950000000000003" hidden="1" customHeight="1" x14ac:dyDescent="0.25">
      <c r="A95" s="41" t="s">
        <v>861</v>
      </c>
      <c r="B95" s="42">
        <v>44</v>
      </c>
      <c r="C95" s="43" t="s">
        <v>862</v>
      </c>
      <c r="D95" s="43" t="s">
        <v>863</v>
      </c>
      <c r="E95" s="30" t="s">
        <v>864</v>
      </c>
      <c r="F95" s="46" t="s">
        <v>865</v>
      </c>
      <c r="G95" s="47" t="s">
        <v>866</v>
      </c>
      <c r="H95" s="48" t="s">
        <v>161</v>
      </c>
      <c r="I95" s="30" t="s">
        <v>162</v>
      </c>
      <c r="J95" s="30" t="s">
        <v>129</v>
      </c>
      <c r="K95" s="30" t="s">
        <v>130</v>
      </c>
      <c r="L95" s="30" t="s">
        <v>11</v>
      </c>
      <c r="M95" s="50">
        <v>44044</v>
      </c>
      <c r="N95" s="50"/>
      <c r="O95" s="51">
        <v>44255</v>
      </c>
      <c r="P95" s="46"/>
      <c r="Q95" s="48" t="s">
        <v>69</v>
      </c>
      <c r="R95" s="48"/>
      <c r="S95" s="52" t="s">
        <v>70</v>
      </c>
      <c r="T95" s="47">
        <v>20</v>
      </c>
      <c r="U95" s="47" t="s">
        <v>305</v>
      </c>
      <c r="V95" s="47">
        <f t="shared" ca="1" si="30"/>
        <v>63</v>
      </c>
      <c r="W95" s="53">
        <v>10781700</v>
      </c>
      <c r="X95" s="47">
        <v>185</v>
      </c>
      <c r="Y95" s="54">
        <f t="shared" si="17"/>
        <v>200.13333333333333</v>
      </c>
      <c r="Z95" s="54">
        <f t="shared" si="18"/>
        <v>3002</v>
      </c>
      <c r="AA95" s="33">
        <v>6004</v>
      </c>
      <c r="AB95" s="33">
        <v>284</v>
      </c>
      <c r="AC95" s="57"/>
      <c r="AD95" s="57"/>
      <c r="AE95" s="64"/>
      <c r="AF95" s="65"/>
      <c r="AG95" s="57"/>
      <c r="AH95" s="57"/>
      <c r="AI95" s="33">
        <v>10984</v>
      </c>
      <c r="AJ95" s="33">
        <f t="shared" si="39"/>
        <v>17272</v>
      </c>
      <c r="AK95" s="54">
        <v>0</v>
      </c>
      <c r="AL95" s="54">
        <f t="shared" si="36"/>
        <v>390.26</v>
      </c>
      <c r="AM95" s="54">
        <f t="shared" si="36"/>
        <v>780.52</v>
      </c>
      <c r="AN95" s="55">
        <f t="shared" si="20"/>
        <v>780.52</v>
      </c>
      <c r="AO95" s="56">
        <f t="shared" si="21"/>
        <v>16491.48</v>
      </c>
      <c r="AP95" s="55">
        <f t="shared" si="22"/>
        <v>9206.1333333333332</v>
      </c>
      <c r="AQ95" s="55">
        <f t="shared" si="23"/>
        <v>16842.133333333331</v>
      </c>
      <c r="AR95" s="55">
        <f t="shared" si="24"/>
        <v>1257.5999999999999</v>
      </c>
      <c r="AS95" s="55"/>
      <c r="AT95" s="55"/>
      <c r="AU95" s="55"/>
      <c r="AV95" s="57"/>
      <c r="AW95" s="57"/>
      <c r="AX95" s="57"/>
      <c r="AY95" s="55">
        <f t="shared" si="25"/>
        <v>2515.1999999999998</v>
      </c>
      <c r="AZ95" s="54">
        <v>0.19</v>
      </c>
      <c r="BA95" s="33">
        <f t="shared" si="26"/>
        <v>570.38</v>
      </c>
      <c r="BB95" s="33">
        <f t="shared" si="27"/>
        <v>1140.76</v>
      </c>
      <c r="BC95" s="58">
        <f t="shared" si="37"/>
        <v>60.04</v>
      </c>
      <c r="BD95" s="58">
        <f t="shared" si="37"/>
        <v>120.08</v>
      </c>
      <c r="BE95" s="55">
        <f t="shared" si="28"/>
        <v>518.16</v>
      </c>
      <c r="BF95" s="55">
        <f t="shared" si="29"/>
        <v>1375.0639999999999</v>
      </c>
      <c r="BG95" s="60"/>
      <c r="BH95" s="60" t="s">
        <v>867</v>
      </c>
      <c r="BI95" s="28" t="s">
        <v>868</v>
      </c>
      <c r="BJ95" s="61" t="s">
        <v>869</v>
      </c>
      <c r="BK95" s="61"/>
      <c r="BL95" s="61" t="s">
        <v>194</v>
      </c>
      <c r="BM95" s="62" t="s">
        <v>870</v>
      </c>
      <c r="BN95" s="39"/>
    </row>
    <row r="96" spans="1:66" s="2" customFormat="1" ht="39.950000000000003" hidden="1" customHeight="1" x14ac:dyDescent="0.25">
      <c r="A96" s="41" t="s">
        <v>871</v>
      </c>
      <c r="B96" s="42">
        <v>45</v>
      </c>
      <c r="C96" s="43" t="s">
        <v>872</v>
      </c>
      <c r="D96" s="43" t="s">
        <v>873</v>
      </c>
      <c r="E96" s="45" t="s">
        <v>874</v>
      </c>
      <c r="F96" s="46" t="s">
        <v>875</v>
      </c>
      <c r="G96" s="47" t="s">
        <v>876</v>
      </c>
      <c r="H96" s="48" t="s">
        <v>161</v>
      </c>
      <c r="I96" s="30" t="s">
        <v>162</v>
      </c>
      <c r="J96" s="30" t="s">
        <v>129</v>
      </c>
      <c r="K96" s="30" t="s">
        <v>501</v>
      </c>
      <c r="L96" s="30" t="s">
        <v>131</v>
      </c>
      <c r="M96" s="50">
        <v>44044</v>
      </c>
      <c r="N96" s="50"/>
      <c r="O96" s="51"/>
      <c r="P96" s="74"/>
      <c r="Q96" s="48" t="s">
        <v>69</v>
      </c>
      <c r="R96" s="48"/>
      <c r="S96" s="52" t="s">
        <v>70</v>
      </c>
      <c r="T96" s="47">
        <v>19</v>
      </c>
      <c r="U96" s="47" t="s">
        <v>400</v>
      </c>
      <c r="V96" s="47">
        <f t="shared" ca="1" si="30"/>
        <v>43</v>
      </c>
      <c r="W96" s="53">
        <v>10751700</v>
      </c>
      <c r="X96" s="47">
        <v>180</v>
      </c>
      <c r="Y96" s="54">
        <f t="shared" si="17"/>
        <v>200.13333333333333</v>
      </c>
      <c r="Z96" s="54">
        <f t="shared" si="18"/>
        <v>3002</v>
      </c>
      <c r="AA96" s="33">
        <v>6004</v>
      </c>
      <c r="AB96" s="33">
        <v>284</v>
      </c>
      <c r="AC96" s="57"/>
      <c r="AD96" s="57"/>
      <c r="AE96" s="64"/>
      <c r="AF96" s="65"/>
      <c r="AG96" s="57"/>
      <c r="AH96" s="57"/>
      <c r="AI96" s="33">
        <v>7000</v>
      </c>
      <c r="AJ96" s="33">
        <f t="shared" si="39"/>
        <v>13288</v>
      </c>
      <c r="AK96" s="54">
        <v>0</v>
      </c>
      <c r="AL96" s="54">
        <f t="shared" si="36"/>
        <v>390.26</v>
      </c>
      <c r="AM96" s="54">
        <f t="shared" si="36"/>
        <v>780.52</v>
      </c>
      <c r="AN96" s="55">
        <f t="shared" si="20"/>
        <v>780.52</v>
      </c>
      <c r="AO96" s="56">
        <f t="shared" si="21"/>
        <v>12507.48</v>
      </c>
      <c r="AP96" s="55">
        <f t="shared" si="22"/>
        <v>9206.1333333333332</v>
      </c>
      <c r="AQ96" s="55">
        <f t="shared" si="23"/>
        <v>10733.333333333334</v>
      </c>
      <c r="AR96" s="55">
        <f t="shared" si="24"/>
        <v>1257.5999999999999</v>
      </c>
      <c r="AS96" s="55"/>
      <c r="AT96" s="55"/>
      <c r="AU96" s="55"/>
      <c r="AV96" s="57"/>
      <c r="AW96" s="57"/>
      <c r="AX96" s="57"/>
      <c r="AY96" s="55">
        <f t="shared" si="25"/>
        <v>2515.1999999999998</v>
      </c>
      <c r="AZ96" s="54">
        <v>0.26</v>
      </c>
      <c r="BA96" s="33">
        <f t="shared" si="26"/>
        <v>780.52</v>
      </c>
      <c r="BB96" s="33">
        <f t="shared" si="27"/>
        <v>1561.04</v>
      </c>
      <c r="BC96" s="58">
        <f t="shared" si="37"/>
        <v>60.04</v>
      </c>
      <c r="BD96" s="58">
        <f t="shared" si="37"/>
        <v>120.08</v>
      </c>
      <c r="BE96" s="55">
        <f t="shared" si="28"/>
        <v>398.64</v>
      </c>
      <c r="BF96" s="55">
        <f t="shared" si="29"/>
        <v>1072.28</v>
      </c>
      <c r="BG96" s="59" t="s">
        <v>877</v>
      </c>
      <c r="BH96" s="59" t="s">
        <v>878</v>
      </c>
      <c r="BI96" s="28" t="s">
        <v>879</v>
      </c>
      <c r="BJ96" s="61" t="s">
        <v>880</v>
      </c>
      <c r="BK96" s="61"/>
      <c r="BL96" s="61" t="s">
        <v>881</v>
      </c>
      <c r="BM96" s="62" t="s">
        <v>882</v>
      </c>
      <c r="BN96" s="39"/>
    </row>
    <row r="97" spans="1:66" s="2" customFormat="1" ht="39.950000000000003" hidden="1" customHeight="1" x14ac:dyDescent="0.25">
      <c r="A97" s="41" t="s">
        <v>871</v>
      </c>
      <c r="B97" s="42">
        <v>38</v>
      </c>
      <c r="C97" s="43" t="s">
        <v>873</v>
      </c>
      <c r="D97" s="43" t="s">
        <v>883</v>
      </c>
      <c r="E97" s="45" t="s">
        <v>874</v>
      </c>
      <c r="F97" s="46" t="s">
        <v>875</v>
      </c>
      <c r="G97" s="47" t="s">
        <v>876</v>
      </c>
      <c r="H97" s="48" t="s">
        <v>161</v>
      </c>
      <c r="I97" s="30" t="s">
        <v>162</v>
      </c>
      <c r="J97" s="30" t="s">
        <v>129</v>
      </c>
      <c r="K97" s="30" t="s">
        <v>501</v>
      </c>
      <c r="L97" s="30" t="s">
        <v>11</v>
      </c>
      <c r="M97" s="50"/>
      <c r="N97" s="50"/>
      <c r="O97" s="51">
        <v>44255</v>
      </c>
      <c r="P97" s="74"/>
      <c r="Q97" s="48" t="s">
        <v>69</v>
      </c>
      <c r="R97" s="48"/>
      <c r="S97" s="52" t="s">
        <v>70</v>
      </c>
      <c r="T97" s="47">
        <v>19</v>
      </c>
      <c r="U97" s="47" t="s">
        <v>400</v>
      </c>
      <c r="V97" s="47">
        <f t="shared" ca="1" si="30"/>
        <v>43</v>
      </c>
      <c r="W97" s="53">
        <v>10751700</v>
      </c>
      <c r="X97" s="47">
        <v>180</v>
      </c>
      <c r="Y97" s="54">
        <f t="shared" si="17"/>
        <v>200.13333333333333</v>
      </c>
      <c r="Z97" s="54">
        <f t="shared" si="18"/>
        <v>3002</v>
      </c>
      <c r="AA97" s="33">
        <v>6004</v>
      </c>
      <c r="AB97" s="33">
        <v>284</v>
      </c>
      <c r="AC97" s="57"/>
      <c r="AD97" s="57"/>
      <c r="AE97" s="64"/>
      <c r="AF97" s="65"/>
      <c r="AG97" s="57"/>
      <c r="AH97" s="57"/>
      <c r="AI97" s="33">
        <v>10984</v>
      </c>
      <c r="AJ97" s="33">
        <f t="shared" si="39"/>
        <v>17272</v>
      </c>
      <c r="AK97" s="54">
        <v>0</v>
      </c>
      <c r="AL97" s="54">
        <f t="shared" si="36"/>
        <v>390.26</v>
      </c>
      <c r="AM97" s="54">
        <f t="shared" si="36"/>
        <v>780.52</v>
      </c>
      <c r="AN97" s="55">
        <f t="shared" si="20"/>
        <v>780.52</v>
      </c>
      <c r="AO97" s="56">
        <f t="shared" si="21"/>
        <v>16491.48</v>
      </c>
      <c r="AP97" s="55">
        <f t="shared" si="22"/>
        <v>9206.1333333333332</v>
      </c>
      <c r="AQ97" s="55">
        <f t="shared" si="23"/>
        <v>16842.133333333331</v>
      </c>
      <c r="AR97" s="55">
        <f t="shared" si="24"/>
        <v>1257.5999999999999</v>
      </c>
      <c r="AS97" s="55"/>
      <c r="AT97" s="55"/>
      <c r="AU97" s="55"/>
      <c r="AV97" s="57"/>
      <c r="AW97" s="57"/>
      <c r="AX97" s="57"/>
      <c r="AY97" s="55">
        <f t="shared" si="25"/>
        <v>2515.1999999999998</v>
      </c>
      <c r="AZ97" s="54">
        <v>0.26</v>
      </c>
      <c r="BA97" s="33">
        <f t="shared" si="26"/>
        <v>780.52</v>
      </c>
      <c r="BB97" s="33">
        <f t="shared" si="27"/>
        <v>1561.04</v>
      </c>
      <c r="BC97" s="58">
        <f t="shared" si="37"/>
        <v>60.04</v>
      </c>
      <c r="BD97" s="58">
        <f t="shared" si="37"/>
        <v>120.08</v>
      </c>
      <c r="BE97" s="55">
        <f t="shared" si="28"/>
        <v>518.16</v>
      </c>
      <c r="BF97" s="55">
        <f t="shared" si="29"/>
        <v>1375.0639999999999</v>
      </c>
      <c r="BG97" s="60" t="s">
        <v>877</v>
      </c>
      <c r="BH97" s="60" t="s">
        <v>878</v>
      </c>
      <c r="BI97" s="28" t="s">
        <v>879</v>
      </c>
      <c r="BJ97" s="61" t="s">
        <v>880</v>
      </c>
      <c r="BK97" s="61"/>
      <c r="BL97" s="61" t="s">
        <v>881</v>
      </c>
      <c r="BM97" s="62" t="s">
        <v>882</v>
      </c>
      <c r="BN97" s="39"/>
    </row>
    <row r="98" spans="1:66" s="2" customFormat="1" ht="39.950000000000003" hidden="1" customHeight="1" x14ac:dyDescent="0.25">
      <c r="A98" s="41" t="s">
        <v>871</v>
      </c>
      <c r="B98" s="42">
        <v>38</v>
      </c>
      <c r="C98" s="43" t="s">
        <v>884</v>
      </c>
      <c r="D98" s="43" t="s">
        <v>885</v>
      </c>
      <c r="E98" s="45" t="s">
        <v>874</v>
      </c>
      <c r="F98" s="46" t="s">
        <v>875</v>
      </c>
      <c r="G98" s="47" t="s">
        <v>876</v>
      </c>
      <c r="H98" s="48" t="s">
        <v>161</v>
      </c>
      <c r="I98" s="30" t="s">
        <v>162</v>
      </c>
      <c r="J98" s="30" t="s">
        <v>129</v>
      </c>
      <c r="K98" s="30" t="s">
        <v>501</v>
      </c>
      <c r="L98" s="30" t="s">
        <v>131</v>
      </c>
      <c r="M98" s="50"/>
      <c r="N98" s="50"/>
      <c r="O98" s="51"/>
      <c r="P98" s="50">
        <v>44302</v>
      </c>
      <c r="Q98" s="48" t="s">
        <v>69</v>
      </c>
      <c r="R98" s="48"/>
      <c r="S98" s="52" t="s">
        <v>70</v>
      </c>
      <c r="T98" s="47">
        <v>19</v>
      </c>
      <c r="U98" s="47" t="s">
        <v>400</v>
      </c>
      <c r="V98" s="47">
        <f t="shared" ca="1" si="30"/>
        <v>43</v>
      </c>
      <c r="W98" s="53">
        <v>10751700</v>
      </c>
      <c r="X98" s="47">
        <v>180</v>
      </c>
      <c r="Y98" s="54">
        <f t="shared" si="17"/>
        <v>200.13333333333333</v>
      </c>
      <c r="Z98" s="54">
        <f t="shared" si="18"/>
        <v>3002</v>
      </c>
      <c r="AA98" s="33">
        <v>6004</v>
      </c>
      <c r="AB98" s="33">
        <v>284</v>
      </c>
      <c r="AC98" s="57"/>
      <c r="AD98" s="57"/>
      <c r="AE98" s="64"/>
      <c r="AF98" s="65"/>
      <c r="AG98" s="57"/>
      <c r="AH98" s="57"/>
      <c r="AI98" s="33">
        <v>10984</v>
      </c>
      <c r="AJ98" s="33">
        <f t="shared" si="39"/>
        <v>17272</v>
      </c>
      <c r="AK98" s="54">
        <v>0</v>
      </c>
      <c r="AL98" s="54">
        <f t="shared" si="36"/>
        <v>390.26</v>
      </c>
      <c r="AM98" s="54">
        <f t="shared" si="36"/>
        <v>780.52</v>
      </c>
      <c r="AN98" s="55">
        <f t="shared" si="20"/>
        <v>780.52</v>
      </c>
      <c r="AO98" s="56">
        <f t="shared" si="21"/>
        <v>16491.48</v>
      </c>
      <c r="AP98" s="55">
        <f t="shared" si="22"/>
        <v>9206.1333333333332</v>
      </c>
      <c r="AQ98" s="55">
        <f t="shared" si="23"/>
        <v>16842.133333333331</v>
      </c>
      <c r="AR98" s="55">
        <f t="shared" si="24"/>
        <v>1257.5999999999999</v>
      </c>
      <c r="AS98" s="55"/>
      <c r="AT98" s="55"/>
      <c r="AU98" s="55"/>
      <c r="AV98" s="57"/>
      <c r="AW98" s="57"/>
      <c r="AX98" s="57"/>
      <c r="AY98" s="55">
        <f t="shared" si="25"/>
        <v>2515.1999999999998</v>
      </c>
      <c r="AZ98" s="54">
        <v>0.26</v>
      </c>
      <c r="BA98" s="33">
        <f t="shared" si="26"/>
        <v>780.52</v>
      </c>
      <c r="BB98" s="33">
        <f t="shared" si="27"/>
        <v>1561.04</v>
      </c>
      <c r="BC98" s="58">
        <f t="shared" si="37"/>
        <v>60.04</v>
      </c>
      <c r="BD98" s="58">
        <f t="shared" si="37"/>
        <v>120.08</v>
      </c>
      <c r="BE98" s="55">
        <f t="shared" si="28"/>
        <v>518.16</v>
      </c>
      <c r="BF98" s="55">
        <f t="shared" si="29"/>
        <v>1375.0639999999999</v>
      </c>
      <c r="BG98" s="60" t="s">
        <v>877</v>
      </c>
      <c r="BH98" s="60" t="s">
        <v>878</v>
      </c>
      <c r="BI98" s="28" t="s">
        <v>886</v>
      </c>
      <c r="BJ98" s="61" t="s">
        <v>880</v>
      </c>
      <c r="BK98" s="61"/>
      <c r="BL98" s="61" t="s">
        <v>881</v>
      </c>
      <c r="BM98" s="62" t="s">
        <v>882</v>
      </c>
      <c r="BN98" s="39"/>
    </row>
    <row r="99" spans="1:66" s="2" customFormat="1" ht="39.950000000000003" hidden="1" customHeight="1" x14ac:dyDescent="0.25">
      <c r="A99" s="41" t="s">
        <v>871</v>
      </c>
      <c r="B99" s="42">
        <v>38</v>
      </c>
      <c r="C99" s="43" t="s">
        <v>885</v>
      </c>
      <c r="D99" s="43" t="s">
        <v>887</v>
      </c>
      <c r="E99" s="45" t="s">
        <v>874</v>
      </c>
      <c r="F99" s="46" t="s">
        <v>875</v>
      </c>
      <c r="G99" s="47" t="s">
        <v>876</v>
      </c>
      <c r="H99" s="48" t="s">
        <v>315</v>
      </c>
      <c r="I99" s="30" t="s">
        <v>316</v>
      </c>
      <c r="J99" s="30" t="s">
        <v>68</v>
      </c>
      <c r="K99" s="30" t="s">
        <v>888</v>
      </c>
      <c r="L99" s="30" t="s">
        <v>11</v>
      </c>
      <c r="M99" s="50"/>
      <c r="N99" s="50">
        <v>44927</v>
      </c>
      <c r="O99" s="50">
        <v>45351</v>
      </c>
      <c r="P99" s="50"/>
      <c r="Q99" s="48" t="s">
        <v>69</v>
      </c>
      <c r="R99" s="48"/>
      <c r="S99" s="52" t="s">
        <v>70</v>
      </c>
      <c r="T99" s="47">
        <v>19</v>
      </c>
      <c r="U99" s="47" t="s">
        <v>400</v>
      </c>
      <c r="V99" s="47">
        <f t="shared" ca="1" si="30"/>
        <v>43</v>
      </c>
      <c r="W99" s="53">
        <v>10751700</v>
      </c>
      <c r="X99" s="47">
        <v>180</v>
      </c>
      <c r="Y99" s="54">
        <f t="shared" si="17"/>
        <v>232.92466666666667</v>
      </c>
      <c r="Z99" s="54">
        <f t="shared" si="18"/>
        <v>3493.87</v>
      </c>
      <c r="AA99" s="33">
        <v>6987.74</v>
      </c>
      <c r="AB99" s="33">
        <v>284</v>
      </c>
      <c r="AC99" s="57"/>
      <c r="AD99" s="57"/>
      <c r="AE99" s="64"/>
      <c r="AF99" s="65"/>
      <c r="AG99" s="57"/>
      <c r="AH99" s="57"/>
      <c r="AI99" s="33">
        <v>10000</v>
      </c>
      <c r="AJ99" s="33">
        <f t="shared" si="39"/>
        <v>17271.739999999998</v>
      </c>
      <c r="AK99" s="54">
        <v>0</v>
      </c>
      <c r="AL99" s="54">
        <f t="shared" si="36"/>
        <v>454.20310000000001</v>
      </c>
      <c r="AM99" s="54">
        <f t="shared" si="36"/>
        <v>908.40620000000001</v>
      </c>
      <c r="AN99" s="55">
        <f t="shared" si="20"/>
        <v>908.40620000000001</v>
      </c>
      <c r="AO99" s="56">
        <f t="shared" si="21"/>
        <v>16363.333799999999</v>
      </c>
      <c r="AP99" s="55">
        <f t="shared" ref="AP99:AP162" si="40">+(AA99+AF99)/30*46</f>
        <v>10714.534666666666</v>
      </c>
      <c r="AQ99" s="55">
        <f t="shared" ref="AQ99:AQ162" si="41">+AI99/30*46</f>
        <v>15333.333333333332</v>
      </c>
      <c r="AR99" s="55">
        <f t="shared" ref="AR99:AR162" si="42">+(AA99+AB99+AC99+AD99+AF99)/30*12/2</f>
        <v>1454.348</v>
      </c>
      <c r="AS99" s="55"/>
      <c r="AT99" s="55"/>
      <c r="AU99" s="55"/>
      <c r="AV99" s="57"/>
      <c r="AW99" s="57"/>
      <c r="AX99" s="57"/>
      <c r="AY99" s="55">
        <f t="shared" ref="AY99:AY162" si="43">+(AA99+AB99+AC99+AD99+AF99)/30*12</f>
        <v>2908.6959999999999</v>
      </c>
      <c r="AZ99" s="54">
        <v>0.26</v>
      </c>
      <c r="BA99" s="33">
        <f t="shared" ref="BA99:BA162" si="44">Z99*AZ99</f>
        <v>908.40620000000001</v>
      </c>
      <c r="BB99" s="33">
        <f t="shared" ref="BB99:BB162" si="45">AA99*AZ99</f>
        <v>1816.8124</v>
      </c>
      <c r="BC99" s="58">
        <f t="shared" si="37"/>
        <v>69.877399999999994</v>
      </c>
      <c r="BD99" s="58">
        <f t="shared" si="37"/>
        <v>139.75479999999999</v>
      </c>
      <c r="BE99" s="55">
        <f t="shared" si="28"/>
        <v>518.15219999999988</v>
      </c>
      <c r="BF99" s="55">
        <f t="shared" si="29"/>
        <v>1386.8491199999996</v>
      </c>
      <c r="BG99" s="60" t="s">
        <v>877</v>
      </c>
      <c r="BH99" s="60" t="s">
        <v>878</v>
      </c>
      <c r="BI99" s="28" t="s">
        <v>886</v>
      </c>
      <c r="BJ99" s="61" t="s">
        <v>880</v>
      </c>
      <c r="BK99" s="61" t="s">
        <v>889</v>
      </c>
      <c r="BL99" s="61" t="s">
        <v>881</v>
      </c>
      <c r="BM99" s="62" t="s">
        <v>882</v>
      </c>
      <c r="BN99" s="39"/>
    </row>
    <row r="100" spans="1:66" s="2" customFormat="1" ht="39.950000000000003" hidden="1" customHeight="1" x14ac:dyDescent="0.25">
      <c r="A100" s="41" t="s">
        <v>890</v>
      </c>
      <c r="B100" s="42">
        <v>46</v>
      </c>
      <c r="C100" s="89" t="s">
        <v>891</v>
      </c>
      <c r="D100" s="89" t="s">
        <v>892</v>
      </c>
      <c r="E100" s="30" t="s">
        <v>893</v>
      </c>
      <c r="F100" s="46" t="s">
        <v>894</v>
      </c>
      <c r="G100" s="47" t="s">
        <v>895</v>
      </c>
      <c r="H100" s="48" t="s">
        <v>161</v>
      </c>
      <c r="I100" s="30" t="s">
        <v>162</v>
      </c>
      <c r="J100" s="30" t="s">
        <v>449</v>
      </c>
      <c r="K100" s="30" t="s">
        <v>449</v>
      </c>
      <c r="L100" s="30" t="s">
        <v>255</v>
      </c>
      <c r="M100" s="50">
        <v>44044</v>
      </c>
      <c r="N100" s="50"/>
      <c r="O100" s="51">
        <v>44196</v>
      </c>
      <c r="P100" s="46"/>
      <c r="Q100" s="48" t="s">
        <v>69</v>
      </c>
      <c r="R100" s="48"/>
      <c r="S100" s="52" t="s">
        <v>70</v>
      </c>
      <c r="T100" s="47">
        <v>25</v>
      </c>
      <c r="U100" s="47" t="s">
        <v>175</v>
      </c>
      <c r="V100" s="47">
        <f t="shared" ref="V100:V172" ca="1" si="46">DATEDIF(DATE(IF(MID($G100,5,2)+2000&gt;YEAR(TODAY()),MID($G100,5,2)+1900,MID($G100,5,2)+2000),MID($G100,7,2),MID($G100,9,2)),TODAY(),"y")</f>
        <v>29</v>
      </c>
      <c r="W100" s="53" t="e">
        <v>#N/A</v>
      </c>
      <c r="X100" s="47">
        <v>183</v>
      </c>
      <c r="Y100" s="54">
        <f t="shared" si="17"/>
        <v>200.13333333333333</v>
      </c>
      <c r="Z100" s="54">
        <f t="shared" si="18"/>
        <v>3002</v>
      </c>
      <c r="AA100" s="33">
        <v>6004</v>
      </c>
      <c r="AB100" s="33">
        <v>284</v>
      </c>
      <c r="AC100" s="57"/>
      <c r="AD100" s="57"/>
      <c r="AE100" s="57"/>
      <c r="AF100" s="68"/>
      <c r="AG100" s="57"/>
      <c r="AH100" s="57"/>
      <c r="AI100" s="33">
        <v>7000</v>
      </c>
      <c r="AJ100" s="33">
        <f t="shared" si="39"/>
        <v>13288</v>
      </c>
      <c r="AK100" s="54">
        <v>0</v>
      </c>
      <c r="AL100" s="54">
        <f t="shared" si="36"/>
        <v>390.26</v>
      </c>
      <c r="AM100" s="54">
        <f t="shared" si="36"/>
        <v>780.52</v>
      </c>
      <c r="AN100" s="55">
        <f t="shared" si="20"/>
        <v>780.52</v>
      </c>
      <c r="AO100" s="56">
        <f t="shared" si="21"/>
        <v>12507.48</v>
      </c>
      <c r="AP100" s="55">
        <f t="shared" si="40"/>
        <v>9206.1333333333332</v>
      </c>
      <c r="AQ100" s="55">
        <f t="shared" si="41"/>
        <v>10733.333333333334</v>
      </c>
      <c r="AR100" s="55">
        <f t="shared" si="42"/>
        <v>1257.5999999999999</v>
      </c>
      <c r="AS100" s="55"/>
      <c r="AT100" s="55"/>
      <c r="AU100" s="55"/>
      <c r="AV100" s="57"/>
      <c r="AW100" s="57"/>
      <c r="AX100" s="57"/>
      <c r="AY100" s="55">
        <f t="shared" si="43"/>
        <v>2515.1999999999998</v>
      </c>
      <c r="AZ100" s="54">
        <v>0.26</v>
      </c>
      <c r="BA100" s="33">
        <f t="shared" si="44"/>
        <v>780.52</v>
      </c>
      <c r="BB100" s="33">
        <f t="shared" si="45"/>
        <v>1561.04</v>
      </c>
      <c r="BC100" s="58">
        <f t="shared" si="37"/>
        <v>60.04</v>
      </c>
      <c r="BD100" s="58">
        <f t="shared" si="37"/>
        <v>120.08</v>
      </c>
      <c r="BE100" s="55">
        <f t="shared" si="28"/>
        <v>398.64</v>
      </c>
      <c r="BF100" s="55">
        <f t="shared" si="29"/>
        <v>1072.28</v>
      </c>
      <c r="BG100" s="60"/>
      <c r="BH100" s="60" t="s">
        <v>896</v>
      </c>
      <c r="BI100" s="28" t="s">
        <v>897</v>
      </c>
      <c r="BJ100" s="61" t="s">
        <v>898</v>
      </c>
      <c r="BK100" s="61"/>
      <c r="BL100" s="61" t="s">
        <v>166</v>
      </c>
      <c r="BM100" s="62" t="s">
        <v>899</v>
      </c>
      <c r="BN100" s="39"/>
    </row>
    <row r="101" spans="1:66" s="2" customFormat="1" ht="39.950000000000003" hidden="1" customHeight="1" x14ac:dyDescent="0.25">
      <c r="A101" s="41" t="s">
        <v>900</v>
      </c>
      <c r="B101" s="90">
        <v>47</v>
      </c>
      <c r="C101" s="89" t="s">
        <v>901</v>
      </c>
      <c r="D101" s="89" t="s">
        <v>902</v>
      </c>
      <c r="E101" s="61" t="s">
        <v>903</v>
      </c>
      <c r="F101" s="60" t="s">
        <v>904</v>
      </c>
      <c r="G101" s="28" t="s">
        <v>905</v>
      </c>
      <c r="H101" s="48" t="s">
        <v>140</v>
      </c>
      <c r="I101" s="30" t="s">
        <v>906</v>
      </c>
      <c r="J101" s="30" t="s">
        <v>449</v>
      </c>
      <c r="K101" s="30" t="s">
        <v>449</v>
      </c>
      <c r="L101" s="30" t="s">
        <v>11</v>
      </c>
      <c r="M101" s="66">
        <v>44044</v>
      </c>
      <c r="N101" s="66"/>
      <c r="O101" s="51">
        <v>44104</v>
      </c>
      <c r="P101" s="46"/>
      <c r="Q101" s="48" t="s">
        <v>69</v>
      </c>
      <c r="R101" s="48"/>
      <c r="S101" s="52" t="s">
        <v>148</v>
      </c>
      <c r="T101" s="47">
        <v>18</v>
      </c>
      <c r="U101" s="47" t="s">
        <v>149</v>
      </c>
      <c r="V101" s="47">
        <f t="shared" ca="1" si="46"/>
        <v>40</v>
      </c>
      <c r="W101" s="53"/>
      <c r="X101" s="47">
        <v>186</v>
      </c>
      <c r="Y101" s="54">
        <f t="shared" si="17"/>
        <v>464.59333333333331</v>
      </c>
      <c r="Z101" s="54">
        <f t="shared" si="18"/>
        <v>6968.9</v>
      </c>
      <c r="AA101" s="33">
        <v>13937.8</v>
      </c>
      <c r="AB101" s="33">
        <v>284</v>
      </c>
      <c r="AC101" s="57"/>
      <c r="AD101" s="57"/>
      <c r="AE101" s="57"/>
      <c r="AF101" s="68"/>
      <c r="AG101" s="57"/>
      <c r="AH101" s="57"/>
      <c r="AI101" s="33">
        <v>26400</v>
      </c>
      <c r="AJ101" s="33">
        <f t="shared" si="39"/>
        <v>40621.800000000003</v>
      </c>
      <c r="AK101" s="54">
        <v>0</v>
      </c>
      <c r="AL101" s="54">
        <f t="shared" si="36"/>
        <v>905.95699999999999</v>
      </c>
      <c r="AM101" s="54">
        <f t="shared" si="36"/>
        <v>1811.914</v>
      </c>
      <c r="AN101" s="55">
        <f t="shared" si="20"/>
        <v>1811.914</v>
      </c>
      <c r="AO101" s="56">
        <f t="shared" si="21"/>
        <v>38809.886000000006</v>
      </c>
      <c r="AP101" s="55">
        <f t="shared" si="40"/>
        <v>21371.293333333331</v>
      </c>
      <c r="AQ101" s="55">
        <f t="shared" si="41"/>
        <v>40480</v>
      </c>
      <c r="AR101" s="55">
        <f t="shared" si="42"/>
        <v>2844.36</v>
      </c>
      <c r="AS101" s="55"/>
      <c r="AT101" s="55"/>
      <c r="AU101" s="55"/>
      <c r="AV101" s="57"/>
      <c r="AW101" s="57"/>
      <c r="AX101" s="57"/>
      <c r="AY101" s="55">
        <f t="shared" si="43"/>
        <v>5688.72</v>
      </c>
      <c r="AZ101" s="54">
        <v>0.26</v>
      </c>
      <c r="BA101" s="33">
        <f t="shared" si="44"/>
        <v>1811.914</v>
      </c>
      <c r="BB101" s="33">
        <f t="shared" si="45"/>
        <v>3623.828</v>
      </c>
      <c r="BC101" s="58">
        <f t="shared" si="37"/>
        <v>139.37799999999999</v>
      </c>
      <c r="BD101" s="58">
        <f t="shared" si="37"/>
        <v>278.75599999999997</v>
      </c>
      <c r="BE101" s="55">
        <f t="shared" si="28"/>
        <v>1218.654</v>
      </c>
      <c r="BF101" s="55">
        <f t="shared" si="29"/>
        <v>3244.8544000000002</v>
      </c>
      <c r="BG101" s="60"/>
      <c r="BH101" s="60" t="s">
        <v>907</v>
      </c>
      <c r="BI101" s="28" t="s">
        <v>908</v>
      </c>
      <c r="BJ101" s="61" t="s">
        <v>909</v>
      </c>
      <c r="BK101" s="61"/>
      <c r="BL101" s="61" t="s">
        <v>910</v>
      </c>
      <c r="BM101" s="62" t="s">
        <v>911</v>
      </c>
      <c r="BN101" s="39"/>
    </row>
    <row r="102" spans="1:66" s="2" customFormat="1" ht="39.950000000000003" hidden="1" customHeight="1" x14ac:dyDescent="0.25">
      <c r="A102" s="41" t="s">
        <v>912</v>
      </c>
      <c r="B102" s="42">
        <v>50</v>
      </c>
      <c r="C102" s="43" t="s">
        <v>913</v>
      </c>
      <c r="D102" s="43" t="s">
        <v>914</v>
      </c>
      <c r="E102" s="45" t="s">
        <v>915</v>
      </c>
      <c r="F102" s="46" t="s">
        <v>916</v>
      </c>
      <c r="G102" s="47" t="s">
        <v>917</v>
      </c>
      <c r="H102" s="48" t="s">
        <v>161</v>
      </c>
      <c r="I102" s="30" t="s">
        <v>162</v>
      </c>
      <c r="J102" s="30" t="s">
        <v>449</v>
      </c>
      <c r="K102" s="30" t="s">
        <v>450</v>
      </c>
      <c r="L102" s="30" t="s">
        <v>131</v>
      </c>
      <c r="M102" s="50">
        <v>44044</v>
      </c>
      <c r="N102" s="50"/>
      <c r="O102" s="47"/>
      <c r="P102" s="46"/>
      <c r="Q102" s="48" t="s">
        <v>69</v>
      </c>
      <c r="R102" s="82"/>
      <c r="S102" s="52" t="s">
        <v>148</v>
      </c>
      <c r="T102" s="47">
        <v>26</v>
      </c>
      <c r="U102" s="47" t="s">
        <v>463</v>
      </c>
      <c r="V102" s="47">
        <f t="shared" ca="1" si="46"/>
        <v>30</v>
      </c>
      <c r="W102" s="53">
        <v>10755600</v>
      </c>
      <c r="X102" s="47">
        <v>189</v>
      </c>
      <c r="Y102" s="54">
        <f t="shared" si="17"/>
        <v>200.13333333333333</v>
      </c>
      <c r="Z102" s="54">
        <f t="shared" si="18"/>
        <v>3002</v>
      </c>
      <c r="AA102" s="33">
        <v>6004</v>
      </c>
      <c r="AB102" s="33">
        <v>284</v>
      </c>
      <c r="AC102" s="57"/>
      <c r="AD102" s="57"/>
      <c r="AE102" s="57"/>
      <c r="AF102" s="68"/>
      <c r="AG102" s="57"/>
      <c r="AH102" s="57"/>
      <c r="AI102" s="33">
        <v>10984</v>
      </c>
      <c r="AJ102" s="33">
        <f t="shared" si="39"/>
        <v>17272</v>
      </c>
      <c r="AK102" s="54">
        <v>0</v>
      </c>
      <c r="AL102" s="54">
        <f t="shared" si="36"/>
        <v>390.26</v>
      </c>
      <c r="AM102" s="54">
        <f t="shared" si="36"/>
        <v>780.52</v>
      </c>
      <c r="AN102" s="55">
        <f t="shared" si="20"/>
        <v>780.52</v>
      </c>
      <c r="AO102" s="56">
        <f t="shared" si="21"/>
        <v>16491.48</v>
      </c>
      <c r="AP102" s="55">
        <f t="shared" si="40"/>
        <v>9206.1333333333332</v>
      </c>
      <c r="AQ102" s="55">
        <f t="shared" si="41"/>
        <v>16842.133333333331</v>
      </c>
      <c r="AR102" s="55">
        <f t="shared" si="42"/>
        <v>1257.5999999999999</v>
      </c>
      <c r="AS102" s="81"/>
      <c r="AT102" s="81"/>
      <c r="AU102" s="81"/>
      <c r="AV102" s="57"/>
      <c r="AW102" s="57"/>
      <c r="AX102" s="57"/>
      <c r="AY102" s="55">
        <f t="shared" si="43"/>
        <v>2515.1999999999998</v>
      </c>
      <c r="AZ102" s="54">
        <v>0.26</v>
      </c>
      <c r="BA102" s="33">
        <f t="shared" si="44"/>
        <v>780.52</v>
      </c>
      <c r="BB102" s="33">
        <f t="shared" si="45"/>
        <v>1561.04</v>
      </c>
      <c r="BC102" s="58">
        <f t="shared" si="37"/>
        <v>60.04</v>
      </c>
      <c r="BD102" s="58">
        <f t="shared" si="37"/>
        <v>120.08</v>
      </c>
      <c r="BE102" s="55">
        <f t="shared" si="28"/>
        <v>518.16</v>
      </c>
      <c r="BF102" s="55">
        <f t="shared" si="29"/>
        <v>1375.0639999999999</v>
      </c>
      <c r="BG102" s="59" t="s">
        <v>918</v>
      </c>
      <c r="BH102" s="59" t="s">
        <v>919</v>
      </c>
      <c r="BI102" s="28" t="s">
        <v>920</v>
      </c>
      <c r="BJ102" s="61" t="s">
        <v>921</v>
      </c>
      <c r="BK102" s="61"/>
      <c r="BL102" s="61" t="s">
        <v>922</v>
      </c>
      <c r="BM102" s="62" t="s">
        <v>923</v>
      </c>
      <c r="BN102" s="39"/>
    </row>
    <row r="103" spans="1:66" s="2" customFormat="1" ht="39.950000000000003" hidden="1" customHeight="1" x14ac:dyDescent="0.25">
      <c r="A103" s="41" t="s">
        <v>912</v>
      </c>
      <c r="B103" s="42">
        <v>50</v>
      </c>
      <c r="C103" s="43" t="s">
        <v>914</v>
      </c>
      <c r="D103" s="44" t="s">
        <v>924</v>
      </c>
      <c r="E103" s="45" t="s">
        <v>915</v>
      </c>
      <c r="F103" s="46" t="s">
        <v>916</v>
      </c>
      <c r="G103" s="47" t="s">
        <v>917</v>
      </c>
      <c r="H103" s="48" t="s">
        <v>315</v>
      </c>
      <c r="I103" s="30" t="s">
        <v>316</v>
      </c>
      <c r="J103" s="30" t="s">
        <v>449</v>
      </c>
      <c r="K103" s="30" t="s">
        <v>147</v>
      </c>
      <c r="L103" s="30" t="s">
        <v>131</v>
      </c>
      <c r="M103" s="50"/>
      <c r="N103" s="50">
        <v>44927</v>
      </c>
      <c r="O103" s="47"/>
      <c r="P103" s="46"/>
      <c r="Q103" s="48" t="s">
        <v>69</v>
      </c>
      <c r="R103" s="82"/>
      <c r="S103" s="52" t="s">
        <v>148</v>
      </c>
      <c r="T103" s="47">
        <v>20</v>
      </c>
      <c r="U103" s="47" t="s">
        <v>103</v>
      </c>
      <c r="V103" s="47">
        <f t="shared" ca="1" si="46"/>
        <v>30</v>
      </c>
      <c r="W103" s="53">
        <v>10755600</v>
      </c>
      <c r="X103" s="47">
        <v>189</v>
      </c>
      <c r="Y103" s="54">
        <f t="shared" si="17"/>
        <v>232.92466666666667</v>
      </c>
      <c r="Z103" s="54">
        <f t="shared" si="18"/>
        <v>3493.87</v>
      </c>
      <c r="AA103" s="33">
        <v>6987.74</v>
      </c>
      <c r="AB103" s="33">
        <v>284</v>
      </c>
      <c r="AC103" s="57"/>
      <c r="AD103" s="57"/>
      <c r="AE103" s="57"/>
      <c r="AF103" s="68"/>
      <c r="AG103" s="57"/>
      <c r="AH103" s="57"/>
      <c r="AI103" s="33">
        <v>10000</v>
      </c>
      <c r="AJ103" s="33">
        <f t="shared" si="39"/>
        <v>17271.739999999998</v>
      </c>
      <c r="AK103" s="54">
        <v>0</v>
      </c>
      <c r="AL103" s="54">
        <f t="shared" si="36"/>
        <v>454.20310000000001</v>
      </c>
      <c r="AM103" s="54">
        <f t="shared" si="36"/>
        <v>908.40620000000001</v>
      </c>
      <c r="AN103" s="55">
        <f t="shared" si="20"/>
        <v>908.40620000000001</v>
      </c>
      <c r="AO103" s="56">
        <f t="shared" si="21"/>
        <v>16363.333799999999</v>
      </c>
      <c r="AP103" s="55">
        <f t="shared" si="40"/>
        <v>10714.534666666666</v>
      </c>
      <c r="AQ103" s="55">
        <f t="shared" si="41"/>
        <v>15333.333333333332</v>
      </c>
      <c r="AR103" s="55">
        <f t="shared" si="42"/>
        <v>1454.348</v>
      </c>
      <c r="AS103" s="81"/>
      <c r="AT103" s="81"/>
      <c r="AU103" s="81"/>
      <c r="AV103" s="57"/>
      <c r="AW103" s="57"/>
      <c r="AX103" s="57"/>
      <c r="AY103" s="55">
        <f t="shared" si="43"/>
        <v>2908.6959999999999</v>
      </c>
      <c r="AZ103" s="54">
        <v>0.26</v>
      </c>
      <c r="BA103" s="33">
        <f t="shared" si="44"/>
        <v>908.40620000000001</v>
      </c>
      <c r="BB103" s="33">
        <f t="shared" si="45"/>
        <v>1816.8124</v>
      </c>
      <c r="BC103" s="58">
        <f t="shared" si="37"/>
        <v>69.877399999999994</v>
      </c>
      <c r="BD103" s="58">
        <f t="shared" si="37"/>
        <v>139.75479999999999</v>
      </c>
      <c r="BE103" s="55">
        <f t="shared" si="28"/>
        <v>518.15219999999988</v>
      </c>
      <c r="BF103" s="55">
        <f t="shared" si="29"/>
        <v>1386.8491199999996</v>
      </c>
      <c r="BG103" s="59" t="s">
        <v>918</v>
      </c>
      <c r="BH103" s="59" t="s">
        <v>919</v>
      </c>
      <c r="BI103" s="28" t="s">
        <v>920</v>
      </c>
      <c r="BJ103" s="61" t="s">
        <v>921</v>
      </c>
      <c r="BK103" s="61" t="s">
        <v>925</v>
      </c>
      <c r="BL103" s="61" t="s">
        <v>922</v>
      </c>
      <c r="BM103" s="62" t="s">
        <v>923</v>
      </c>
      <c r="BN103" s="39"/>
    </row>
    <row r="104" spans="1:66" s="2" customFormat="1" ht="39.950000000000003" hidden="1" customHeight="1" x14ac:dyDescent="0.25">
      <c r="A104" s="41" t="s">
        <v>912</v>
      </c>
      <c r="B104" s="42">
        <v>79</v>
      </c>
      <c r="C104" s="44" t="s">
        <v>924</v>
      </c>
      <c r="D104" s="44" t="s">
        <v>926</v>
      </c>
      <c r="E104" s="45" t="s">
        <v>915</v>
      </c>
      <c r="F104" s="46" t="s">
        <v>916</v>
      </c>
      <c r="G104" s="47" t="s">
        <v>917</v>
      </c>
      <c r="H104" s="48" t="s">
        <v>315</v>
      </c>
      <c r="I104" s="30" t="s">
        <v>316</v>
      </c>
      <c r="J104" s="30" t="s">
        <v>927</v>
      </c>
      <c r="K104" s="30" t="s">
        <v>928</v>
      </c>
      <c r="L104" s="30" t="s">
        <v>320</v>
      </c>
      <c r="M104" s="50"/>
      <c r="N104" s="50">
        <v>45658</v>
      </c>
      <c r="O104" s="47"/>
      <c r="P104" s="46"/>
      <c r="Q104" s="48" t="s">
        <v>69</v>
      </c>
      <c r="R104" s="82"/>
      <c r="S104" s="52" t="s">
        <v>148</v>
      </c>
      <c r="T104" s="47">
        <v>20</v>
      </c>
      <c r="U104" s="47" t="s">
        <v>103</v>
      </c>
      <c r="V104" s="47">
        <f t="shared" ca="1" si="46"/>
        <v>30</v>
      </c>
      <c r="W104" s="53">
        <v>10755600</v>
      </c>
      <c r="X104" s="47">
        <v>189</v>
      </c>
      <c r="Y104" s="54">
        <f t="shared" ref="Y104:Y167" si="47">AA104/30</f>
        <v>232.92466666666667</v>
      </c>
      <c r="Z104" s="54">
        <f t="shared" ref="Z104:Z167" si="48">AA104/2</f>
        <v>3493.87</v>
      </c>
      <c r="AA104" s="33">
        <v>6987.74</v>
      </c>
      <c r="AB104" s="33">
        <v>284</v>
      </c>
      <c r="AC104" s="57"/>
      <c r="AD104" s="57"/>
      <c r="AE104" s="57"/>
      <c r="AF104" s="68"/>
      <c r="AG104" s="57"/>
      <c r="AH104" s="57"/>
      <c r="AI104" s="33">
        <v>10000</v>
      </c>
      <c r="AJ104" s="33">
        <f t="shared" si="39"/>
        <v>17271.739999999998</v>
      </c>
      <c r="AK104" s="54">
        <v>0</v>
      </c>
      <c r="AL104" s="54">
        <f t="shared" si="36"/>
        <v>454.20310000000001</v>
      </c>
      <c r="AM104" s="54">
        <f t="shared" si="36"/>
        <v>908.40620000000001</v>
      </c>
      <c r="AN104" s="55">
        <f t="shared" si="20"/>
        <v>908.40620000000001</v>
      </c>
      <c r="AO104" s="56">
        <f t="shared" si="21"/>
        <v>16363.333799999999</v>
      </c>
      <c r="AP104" s="55">
        <f t="shared" si="40"/>
        <v>10714.534666666666</v>
      </c>
      <c r="AQ104" s="55">
        <f t="shared" si="41"/>
        <v>15333.333333333332</v>
      </c>
      <c r="AR104" s="55">
        <f t="shared" si="42"/>
        <v>1454.348</v>
      </c>
      <c r="AS104" s="81"/>
      <c r="AT104" s="81"/>
      <c r="AU104" s="81"/>
      <c r="AV104" s="57"/>
      <c r="AW104" s="57"/>
      <c r="AX104" s="57"/>
      <c r="AY104" s="55">
        <f t="shared" si="43"/>
        <v>2908.6959999999999</v>
      </c>
      <c r="AZ104" s="54">
        <v>0.26</v>
      </c>
      <c r="BA104" s="33">
        <f t="shared" si="44"/>
        <v>908.40620000000001</v>
      </c>
      <c r="BB104" s="33">
        <f t="shared" si="45"/>
        <v>1816.8124</v>
      </c>
      <c r="BC104" s="58">
        <f t="shared" si="37"/>
        <v>69.877399999999994</v>
      </c>
      <c r="BD104" s="58">
        <f t="shared" si="37"/>
        <v>139.75479999999999</v>
      </c>
      <c r="BE104" s="55">
        <f t="shared" si="28"/>
        <v>518.15219999999988</v>
      </c>
      <c r="BF104" s="55">
        <f t="shared" si="29"/>
        <v>1386.8491199999996</v>
      </c>
      <c r="BG104" s="59" t="s">
        <v>918</v>
      </c>
      <c r="BH104" s="59" t="s">
        <v>919</v>
      </c>
      <c r="BI104" s="28" t="s">
        <v>920</v>
      </c>
      <c r="BJ104" s="61" t="s">
        <v>921</v>
      </c>
      <c r="BK104" s="61" t="s">
        <v>925</v>
      </c>
      <c r="BL104" s="61" t="s">
        <v>922</v>
      </c>
      <c r="BM104" s="62" t="s">
        <v>923</v>
      </c>
      <c r="BN104" s="39"/>
    </row>
    <row r="105" spans="1:66" s="2" customFormat="1" ht="39.950000000000003" hidden="1" customHeight="1" x14ac:dyDescent="0.25">
      <c r="A105" s="41" t="s">
        <v>912</v>
      </c>
      <c r="B105" s="42">
        <v>50</v>
      </c>
      <c r="C105" s="44" t="s">
        <v>926</v>
      </c>
      <c r="D105" s="77" t="s">
        <v>929</v>
      </c>
      <c r="E105" s="45" t="s">
        <v>915</v>
      </c>
      <c r="F105" s="46" t="s">
        <v>916</v>
      </c>
      <c r="G105" s="47" t="s">
        <v>917</v>
      </c>
      <c r="H105" s="48" t="s">
        <v>315</v>
      </c>
      <c r="I105" s="40" t="s">
        <v>930</v>
      </c>
      <c r="J105" s="40" t="s">
        <v>322</v>
      </c>
      <c r="K105" s="40" t="s">
        <v>450</v>
      </c>
      <c r="L105" s="30" t="s">
        <v>320</v>
      </c>
      <c r="M105" s="50"/>
      <c r="N105" s="50">
        <v>45717</v>
      </c>
      <c r="O105" s="47"/>
      <c r="P105" s="46"/>
      <c r="Q105" s="48" t="s">
        <v>69</v>
      </c>
      <c r="R105" s="82"/>
      <c r="S105" s="52" t="s">
        <v>148</v>
      </c>
      <c r="T105" s="47">
        <v>20</v>
      </c>
      <c r="U105" s="47" t="s">
        <v>103</v>
      </c>
      <c r="V105" s="47">
        <f t="shared" ca="1" si="46"/>
        <v>30</v>
      </c>
      <c r="W105" s="53">
        <v>10755600</v>
      </c>
      <c r="X105" s="47">
        <v>189</v>
      </c>
      <c r="Y105" s="54">
        <f t="shared" si="47"/>
        <v>232.92466666666667</v>
      </c>
      <c r="Z105" s="54">
        <f t="shared" si="48"/>
        <v>3493.87</v>
      </c>
      <c r="AA105" s="33">
        <v>6987.74</v>
      </c>
      <c r="AB105" s="33">
        <v>284</v>
      </c>
      <c r="AC105" s="57"/>
      <c r="AD105" s="57"/>
      <c r="AE105" s="57"/>
      <c r="AF105" s="68"/>
      <c r="AG105" s="57"/>
      <c r="AH105" s="57"/>
      <c r="AI105" s="33">
        <v>10000</v>
      </c>
      <c r="AJ105" s="33">
        <f t="shared" ref="AJ105:AJ107" si="49">SUM(AA105:AI105)</f>
        <v>17271.739999999998</v>
      </c>
      <c r="AK105" s="54">
        <v>0</v>
      </c>
      <c r="AL105" s="54">
        <f t="shared" si="36"/>
        <v>454.20310000000001</v>
      </c>
      <c r="AM105" s="54">
        <f t="shared" si="36"/>
        <v>908.40620000000001</v>
      </c>
      <c r="AN105" s="55">
        <f t="shared" si="20"/>
        <v>908.40620000000001</v>
      </c>
      <c r="AO105" s="56">
        <f t="shared" si="21"/>
        <v>16363.333799999999</v>
      </c>
      <c r="AP105" s="55">
        <f t="shared" si="40"/>
        <v>10714.534666666666</v>
      </c>
      <c r="AQ105" s="55">
        <f t="shared" si="41"/>
        <v>15333.333333333332</v>
      </c>
      <c r="AR105" s="55">
        <f t="shared" si="42"/>
        <v>1454.348</v>
      </c>
      <c r="AS105" s="81"/>
      <c r="AT105" s="81"/>
      <c r="AU105" s="81"/>
      <c r="AV105" s="57"/>
      <c r="AW105" s="57"/>
      <c r="AX105" s="57"/>
      <c r="AY105" s="55">
        <f t="shared" si="43"/>
        <v>2908.6959999999999</v>
      </c>
      <c r="AZ105" s="54">
        <v>0.26</v>
      </c>
      <c r="BA105" s="33">
        <f t="shared" si="44"/>
        <v>908.40620000000001</v>
      </c>
      <c r="BB105" s="33">
        <f t="shared" si="45"/>
        <v>1816.8124</v>
      </c>
      <c r="BC105" s="58">
        <f t="shared" si="37"/>
        <v>69.877399999999994</v>
      </c>
      <c r="BD105" s="58">
        <f t="shared" si="37"/>
        <v>139.75479999999999</v>
      </c>
      <c r="BE105" s="55">
        <f t="shared" si="28"/>
        <v>518.15219999999988</v>
      </c>
      <c r="BF105" s="55">
        <f t="shared" si="29"/>
        <v>1386.8491199999996</v>
      </c>
      <c r="BG105" s="59" t="s">
        <v>918</v>
      </c>
      <c r="BH105" s="59" t="s">
        <v>919</v>
      </c>
      <c r="BI105" s="28" t="s">
        <v>920</v>
      </c>
      <c r="BJ105" s="61" t="s">
        <v>921</v>
      </c>
      <c r="BK105" s="61" t="s">
        <v>925</v>
      </c>
      <c r="BL105" s="61" t="s">
        <v>922</v>
      </c>
      <c r="BM105" s="62" t="s">
        <v>923</v>
      </c>
      <c r="BN105" s="39"/>
    </row>
    <row r="106" spans="1:66" s="2" customFormat="1" ht="39.950000000000003" hidden="1" customHeight="1" x14ac:dyDescent="0.25">
      <c r="A106" s="41" t="s">
        <v>912</v>
      </c>
      <c r="B106" s="42">
        <v>72</v>
      </c>
      <c r="C106" s="77" t="s">
        <v>929</v>
      </c>
      <c r="D106" s="77">
        <v>459</v>
      </c>
      <c r="E106" s="45" t="s">
        <v>915</v>
      </c>
      <c r="F106" s="46" t="s">
        <v>916</v>
      </c>
      <c r="G106" s="47" t="s">
        <v>917</v>
      </c>
      <c r="H106" s="48" t="s">
        <v>315</v>
      </c>
      <c r="I106" s="40" t="s">
        <v>930</v>
      </c>
      <c r="J106" s="40" t="s">
        <v>322</v>
      </c>
      <c r="K106" s="40" t="s">
        <v>450</v>
      </c>
      <c r="L106" s="30" t="s">
        <v>320</v>
      </c>
      <c r="M106" s="50"/>
      <c r="N106" s="50">
        <v>45824</v>
      </c>
      <c r="O106" s="47"/>
      <c r="P106" s="46"/>
      <c r="Q106" s="48" t="s">
        <v>69</v>
      </c>
      <c r="R106" s="82"/>
      <c r="S106" s="52" t="s">
        <v>148</v>
      </c>
      <c r="T106" s="47">
        <v>20</v>
      </c>
      <c r="U106" s="47" t="s">
        <v>103</v>
      </c>
      <c r="V106" s="47">
        <f t="shared" ca="1" si="46"/>
        <v>30</v>
      </c>
      <c r="W106" s="53">
        <v>10755600</v>
      </c>
      <c r="X106" s="47">
        <v>189</v>
      </c>
      <c r="Y106" s="54">
        <f t="shared" si="47"/>
        <v>232.92466666666667</v>
      </c>
      <c r="Z106" s="54">
        <f t="shared" si="48"/>
        <v>3493.87</v>
      </c>
      <c r="AA106" s="33">
        <v>6987.74</v>
      </c>
      <c r="AB106" s="33">
        <v>284</v>
      </c>
      <c r="AC106" s="57"/>
      <c r="AD106" s="57"/>
      <c r="AE106" s="57"/>
      <c r="AF106" s="68"/>
      <c r="AG106" s="57"/>
      <c r="AH106" s="57"/>
      <c r="AI106" s="33">
        <v>10000</v>
      </c>
      <c r="AJ106" s="33">
        <f t="shared" si="49"/>
        <v>17271.739999999998</v>
      </c>
      <c r="AK106" s="54">
        <v>0</v>
      </c>
      <c r="AL106" s="54">
        <f t="shared" si="36"/>
        <v>454.20310000000001</v>
      </c>
      <c r="AM106" s="54">
        <f t="shared" si="36"/>
        <v>908.40620000000001</v>
      </c>
      <c r="AN106" s="55">
        <f t="shared" si="20"/>
        <v>908.40620000000001</v>
      </c>
      <c r="AO106" s="56">
        <f t="shared" si="21"/>
        <v>16363.333799999999</v>
      </c>
      <c r="AP106" s="55">
        <f t="shared" si="40"/>
        <v>10714.534666666666</v>
      </c>
      <c r="AQ106" s="55">
        <f t="shared" si="41"/>
        <v>15333.333333333332</v>
      </c>
      <c r="AR106" s="55">
        <f t="shared" si="42"/>
        <v>1454.348</v>
      </c>
      <c r="AS106" s="81"/>
      <c r="AT106" s="81"/>
      <c r="AU106" s="81"/>
      <c r="AV106" s="57"/>
      <c r="AW106" s="57"/>
      <c r="AX106" s="57"/>
      <c r="AY106" s="55">
        <f t="shared" si="43"/>
        <v>2908.6959999999999</v>
      </c>
      <c r="AZ106" s="54">
        <v>0.26</v>
      </c>
      <c r="BA106" s="33">
        <f t="shared" si="44"/>
        <v>908.40620000000001</v>
      </c>
      <c r="BB106" s="33">
        <f t="shared" si="45"/>
        <v>1816.8124</v>
      </c>
      <c r="BC106" s="58">
        <f t="shared" si="37"/>
        <v>69.877399999999994</v>
      </c>
      <c r="BD106" s="58">
        <f t="shared" si="37"/>
        <v>139.75479999999999</v>
      </c>
      <c r="BE106" s="55">
        <f t="shared" si="28"/>
        <v>518.15219999999988</v>
      </c>
      <c r="BF106" s="55">
        <f t="shared" si="29"/>
        <v>1386.8491199999996</v>
      </c>
      <c r="BG106" s="59" t="s">
        <v>918</v>
      </c>
      <c r="BH106" s="59" t="s">
        <v>919</v>
      </c>
      <c r="BI106" s="28" t="s">
        <v>920</v>
      </c>
      <c r="BJ106" s="61" t="s">
        <v>921</v>
      </c>
      <c r="BK106" s="61" t="s">
        <v>925</v>
      </c>
      <c r="BL106" s="61" t="s">
        <v>922</v>
      </c>
      <c r="BM106" s="62" t="s">
        <v>923</v>
      </c>
      <c r="BN106" s="39"/>
    </row>
    <row r="107" spans="1:66" s="2" customFormat="1" ht="39.950000000000003" customHeight="1" x14ac:dyDescent="0.25">
      <c r="A107" s="41">
        <v>92700132</v>
      </c>
      <c r="B107" s="42">
        <v>49</v>
      </c>
      <c r="C107" s="77">
        <v>459</v>
      </c>
      <c r="D107" s="28"/>
      <c r="E107" s="45" t="s">
        <v>915</v>
      </c>
      <c r="F107" s="46" t="s">
        <v>916</v>
      </c>
      <c r="G107" s="47" t="s">
        <v>917</v>
      </c>
      <c r="H107" s="48" t="s">
        <v>84</v>
      </c>
      <c r="I107" s="40" t="s">
        <v>931</v>
      </c>
      <c r="J107" s="40" t="s">
        <v>322</v>
      </c>
      <c r="K107" s="40" t="s">
        <v>450</v>
      </c>
      <c r="L107" s="30" t="s">
        <v>329</v>
      </c>
      <c r="M107" s="50"/>
      <c r="N107" s="50">
        <v>45946</v>
      </c>
      <c r="O107" s="47"/>
      <c r="P107" s="46"/>
      <c r="Q107" s="48" t="s">
        <v>69</v>
      </c>
      <c r="R107" s="82"/>
      <c r="S107" s="52" t="s">
        <v>148</v>
      </c>
      <c r="T107" s="47">
        <v>20</v>
      </c>
      <c r="U107" s="47" t="s">
        <v>103</v>
      </c>
      <c r="V107" s="47">
        <f t="shared" ca="1" si="46"/>
        <v>30</v>
      </c>
      <c r="W107" s="53">
        <v>10755600</v>
      </c>
      <c r="X107" s="47">
        <v>189</v>
      </c>
      <c r="Y107" s="54">
        <f t="shared" si="47"/>
        <v>232.92466666666667</v>
      </c>
      <c r="Z107" s="54">
        <f t="shared" si="48"/>
        <v>3493.87</v>
      </c>
      <c r="AA107" s="33">
        <v>6987.74</v>
      </c>
      <c r="AB107" s="33">
        <v>284</v>
      </c>
      <c r="AC107" s="57"/>
      <c r="AD107" s="57"/>
      <c r="AE107" s="57"/>
      <c r="AF107" s="68"/>
      <c r="AG107" s="57"/>
      <c r="AH107" s="57"/>
      <c r="AI107" s="33">
        <v>10000</v>
      </c>
      <c r="AJ107" s="33">
        <f t="shared" si="49"/>
        <v>17271.739999999998</v>
      </c>
      <c r="AK107" s="54">
        <v>0</v>
      </c>
      <c r="AL107" s="54">
        <f t="shared" si="36"/>
        <v>454.20310000000001</v>
      </c>
      <c r="AM107" s="54">
        <f t="shared" si="36"/>
        <v>908.40620000000001</v>
      </c>
      <c r="AN107" s="55">
        <f t="shared" si="20"/>
        <v>908.40620000000001</v>
      </c>
      <c r="AO107" s="56">
        <f t="shared" si="21"/>
        <v>16363.333799999999</v>
      </c>
      <c r="AP107" s="55">
        <f t="shared" si="40"/>
        <v>10714.534666666666</v>
      </c>
      <c r="AQ107" s="55">
        <f t="shared" si="41"/>
        <v>15333.333333333332</v>
      </c>
      <c r="AR107" s="55">
        <f t="shared" si="42"/>
        <v>1454.348</v>
      </c>
      <c r="AS107" s="81"/>
      <c r="AT107" s="81"/>
      <c r="AU107" s="81"/>
      <c r="AV107" s="57"/>
      <c r="AW107" s="57"/>
      <c r="AX107" s="57"/>
      <c r="AY107" s="55">
        <f t="shared" si="43"/>
        <v>2908.6959999999999</v>
      </c>
      <c r="AZ107" s="54">
        <v>0.26</v>
      </c>
      <c r="BA107" s="33">
        <f t="shared" si="44"/>
        <v>908.40620000000001</v>
      </c>
      <c r="BB107" s="33">
        <f t="shared" si="45"/>
        <v>1816.8124</v>
      </c>
      <c r="BC107" s="58">
        <f t="shared" si="37"/>
        <v>69.877399999999994</v>
      </c>
      <c r="BD107" s="58">
        <f t="shared" si="37"/>
        <v>139.75479999999999</v>
      </c>
      <c r="BE107" s="55">
        <f t="shared" si="28"/>
        <v>518.15219999999988</v>
      </c>
      <c r="BF107" s="55">
        <f t="shared" si="29"/>
        <v>1386.8491199999996</v>
      </c>
      <c r="BG107" s="59" t="s">
        <v>918</v>
      </c>
      <c r="BH107" s="59" t="s">
        <v>919</v>
      </c>
      <c r="BI107" s="28" t="s">
        <v>920</v>
      </c>
      <c r="BJ107" s="61" t="s">
        <v>921</v>
      </c>
      <c r="BK107" s="61" t="s">
        <v>925</v>
      </c>
      <c r="BL107" s="61" t="s">
        <v>922</v>
      </c>
      <c r="BM107" s="62" t="s">
        <v>923</v>
      </c>
      <c r="BN107" s="39">
        <v>49</v>
      </c>
    </row>
    <row r="108" spans="1:66" s="2" customFormat="1" ht="39.950000000000003" hidden="1" customHeight="1" x14ac:dyDescent="0.25">
      <c r="A108" s="41" t="s">
        <v>932</v>
      </c>
      <c r="B108" s="42">
        <v>54</v>
      </c>
      <c r="C108" s="43" t="s">
        <v>933</v>
      </c>
      <c r="D108" s="43" t="s">
        <v>934</v>
      </c>
      <c r="E108" s="45" t="s">
        <v>935</v>
      </c>
      <c r="F108" s="46" t="s">
        <v>936</v>
      </c>
      <c r="G108" s="47" t="s">
        <v>937</v>
      </c>
      <c r="H108" s="48" t="s">
        <v>161</v>
      </c>
      <c r="I108" s="30" t="s">
        <v>162</v>
      </c>
      <c r="J108" s="30" t="s">
        <v>86</v>
      </c>
      <c r="K108" s="30" t="s">
        <v>938</v>
      </c>
      <c r="L108" s="30" t="s">
        <v>320</v>
      </c>
      <c r="M108" s="66">
        <v>44044</v>
      </c>
      <c r="N108" s="66">
        <v>44636</v>
      </c>
      <c r="O108" s="47"/>
      <c r="P108" s="46"/>
      <c r="Q108" s="48" t="s">
        <v>69</v>
      </c>
      <c r="R108" s="48"/>
      <c r="S108" s="52" t="s">
        <v>148</v>
      </c>
      <c r="T108" s="47">
        <v>6</v>
      </c>
      <c r="U108" s="47" t="s">
        <v>88</v>
      </c>
      <c r="V108" s="47">
        <f t="shared" ca="1" si="46"/>
        <v>30</v>
      </c>
      <c r="W108" s="53">
        <v>10767600</v>
      </c>
      <c r="X108" s="47">
        <v>194</v>
      </c>
      <c r="Y108" s="54">
        <f t="shared" si="47"/>
        <v>200.13333333333333</v>
      </c>
      <c r="Z108" s="54">
        <f t="shared" si="48"/>
        <v>3002</v>
      </c>
      <c r="AA108" s="33">
        <v>6004</v>
      </c>
      <c r="AB108" s="33">
        <v>284</v>
      </c>
      <c r="AC108" s="57"/>
      <c r="AD108" s="57"/>
      <c r="AE108" s="64"/>
      <c r="AF108" s="65"/>
      <c r="AG108" s="57"/>
      <c r="AH108" s="57"/>
      <c r="AI108" s="33">
        <v>7000</v>
      </c>
      <c r="AJ108" s="33">
        <f t="shared" ref="AJ108:AJ162" si="50">SUM(AA108:AI108)</f>
        <v>13288</v>
      </c>
      <c r="AK108" s="54">
        <v>0</v>
      </c>
      <c r="AL108" s="54">
        <f t="shared" si="36"/>
        <v>390.26</v>
      </c>
      <c r="AM108" s="54">
        <f t="shared" si="36"/>
        <v>780.52</v>
      </c>
      <c r="AN108" s="55">
        <f t="shared" si="20"/>
        <v>780.52</v>
      </c>
      <c r="AO108" s="56">
        <f t="shared" si="21"/>
        <v>12507.48</v>
      </c>
      <c r="AP108" s="55">
        <f t="shared" si="40"/>
        <v>9206.1333333333332</v>
      </c>
      <c r="AQ108" s="55">
        <f t="shared" si="41"/>
        <v>10733.333333333334</v>
      </c>
      <c r="AR108" s="55">
        <f t="shared" si="42"/>
        <v>1257.5999999999999</v>
      </c>
      <c r="AS108" s="55"/>
      <c r="AT108" s="55"/>
      <c r="AU108" s="55"/>
      <c r="AV108" s="57"/>
      <c r="AW108" s="57"/>
      <c r="AX108" s="57"/>
      <c r="AY108" s="55">
        <f t="shared" si="43"/>
        <v>2515.1999999999998</v>
      </c>
      <c r="AZ108" s="54">
        <v>0.26</v>
      </c>
      <c r="BA108" s="33">
        <f t="shared" si="44"/>
        <v>780.52</v>
      </c>
      <c r="BB108" s="33">
        <f t="shared" si="45"/>
        <v>1561.04</v>
      </c>
      <c r="BC108" s="58">
        <f t="shared" si="37"/>
        <v>60.04</v>
      </c>
      <c r="BD108" s="58">
        <f t="shared" si="37"/>
        <v>120.08</v>
      </c>
      <c r="BE108" s="55">
        <f t="shared" si="28"/>
        <v>398.64</v>
      </c>
      <c r="BF108" s="55">
        <f t="shared" si="29"/>
        <v>1072.28</v>
      </c>
      <c r="BG108" s="59" t="s">
        <v>939</v>
      </c>
      <c r="BH108" s="59" t="s">
        <v>940</v>
      </c>
      <c r="BI108" s="28" t="s">
        <v>941</v>
      </c>
      <c r="BJ108" s="61" t="s">
        <v>942</v>
      </c>
      <c r="BK108" s="61"/>
      <c r="BL108" s="61" t="s">
        <v>154</v>
      </c>
      <c r="BM108" s="62" t="s">
        <v>943</v>
      </c>
      <c r="BN108" s="39"/>
    </row>
    <row r="109" spans="1:66" s="2" customFormat="1" ht="39.950000000000003" hidden="1" customHeight="1" x14ac:dyDescent="0.25">
      <c r="A109" s="41" t="s">
        <v>932</v>
      </c>
      <c r="B109" s="42">
        <v>30</v>
      </c>
      <c r="C109" s="43" t="s">
        <v>934</v>
      </c>
      <c r="D109" s="43" t="s">
        <v>944</v>
      </c>
      <c r="E109" s="45" t="s">
        <v>935</v>
      </c>
      <c r="F109" s="46" t="s">
        <v>936</v>
      </c>
      <c r="G109" s="47" t="s">
        <v>937</v>
      </c>
      <c r="H109" s="48" t="s">
        <v>161</v>
      </c>
      <c r="I109" s="30" t="s">
        <v>162</v>
      </c>
      <c r="J109" s="30" t="s">
        <v>86</v>
      </c>
      <c r="K109" s="30" t="s">
        <v>938</v>
      </c>
      <c r="L109" s="30" t="s">
        <v>131</v>
      </c>
      <c r="M109" s="66"/>
      <c r="N109" s="66">
        <v>44636</v>
      </c>
      <c r="O109" s="47"/>
      <c r="P109" s="46"/>
      <c r="Q109" s="48" t="s">
        <v>69</v>
      </c>
      <c r="R109" s="48"/>
      <c r="S109" s="52" t="s">
        <v>148</v>
      </c>
      <c r="T109" s="47">
        <v>6</v>
      </c>
      <c r="U109" s="47" t="s">
        <v>88</v>
      </c>
      <c r="V109" s="47">
        <f t="shared" ca="1" si="46"/>
        <v>30</v>
      </c>
      <c r="W109" s="53">
        <v>10767600</v>
      </c>
      <c r="X109" s="47">
        <v>194</v>
      </c>
      <c r="Y109" s="54">
        <f t="shared" si="47"/>
        <v>200.13333333333333</v>
      </c>
      <c r="Z109" s="54">
        <f t="shared" si="48"/>
        <v>3002</v>
      </c>
      <c r="AA109" s="33">
        <v>6004</v>
      </c>
      <c r="AB109" s="33">
        <v>284</v>
      </c>
      <c r="AC109" s="57"/>
      <c r="AD109" s="57"/>
      <c r="AE109" s="64"/>
      <c r="AF109" s="65"/>
      <c r="AG109" s="57"/>
      <c r="AH109" s="57"/>
      <c r="AI109" s="33">
        <v>10984</v>
      </c>
      <c r="AJ109" s="33">
        <f t="shared" si="50"/>
        <v>17272</v>
      </c>
      <c r="AK109" s="54">
        <v>0</v>
      </c>
      <c r="AL109" s="54">
        <f t="shared" si="36"/>
        <v>390.26</v>
      </c>
      <c r="AM109" s="54">
        <f t="shared" si="36"/>
        <v>780.52</v>
      </c>
      <c r="AN109" s="55">
        <f t="shared" ref="AN109:AN173" si="51">AK109+AM109</f>
        <v>780.52</v>
      </c>
      <c r="AO109" s="56">
        <f t="shared" ref="AO109:AO173" si="52">AJ109-AN109</f>
        <v>16491.48</v>
      </c>
      <c r="AP109" s="55">
        <f t="shared" si="40"/>
        <v>9206.1333333333332</v>
      </c>
      <c r="AQ109" s="55">
        <f t="shared" si="41"/>
        <v>16842.133333333331</v>
      </c>
      <c r="AR109" s="55">
        <f t="shared" si="42"/>
        <v>1257.5999999999999</v>
      </c>
      <c r="AS109" s="55"/>
      <c r="AT109" s="55"/>
      <c r="AU109" s="55"/>
      <c r="AV109" s="57"/>
      <c r="AW109" s="57"/>
      <c r="AX109" s="57"/>
      <c r="AY109" s="55">
        <f t="shared" si="43"/>
        <v>2515.1999999999998</v>
      </c>
      <c r="AZ109" s="54">
        <v>0.26</v>
      </c>
      <c r="BA109" s="33">
        <f t="shared" si="44"/>
        <v>780.52</v>
      </c>
      <c r="BB109" s="33">
        <f t="shared" si="45"/>
        <v>1561.04</v>
      </c>
      <c r="BC109" s="58">
        <f t="shared" si="37"/>
        <v>60.04</v>
      </c>
      <c r="BD109" s="58">
        <f t="shared" si="37"/>
        <v>120.08</v>
      </c>
      <c r="BE109" s="55">
        <f t="shared" ref="BE109:BE173" si="53">AJ109*3%</f>
        <v>518.16</v>
      </c>
      <c r="BF109" s="55">
        <f t="shared" ref="BF109:BF173" si="54">(AJ109+AP109+AQ109+AY109)*3%</f>
        <v>1375.0639999999999</v>
      </c>
      <c r="BG109" s="60" t="s">
        <v>939</v>
      </c>
      <c r="BH109" s="60" t="s">
        <v>940</v>
      </c>
      <c r="BI109" s="28" t="s">
        <v>941</v>
      </c>
      <c r="BJ109" s="61" t="s">
        <v>942</v>
      </c>
      <c r="BK109" s="61"/>
      <c r="BL109" s="61" t="s">
        <v>154</v>
      </c>
      <c r="BM109" s="62" t="s">
        <v>943</v>
      </c>
      <c r="BN109" s="39"/>
    </row>
    <row r="110" spans="1:66" s="6" customFormat="1" ht="39.950000000000003" hidden="1" customHeight="1" x14ac:dyDescent="0.25">
      <c r="A110" s="91" t="s">
        <v>932</v>
      </c>
      <c r="B110" s="92">
        <v>30</v>
      </c>
      <c r="C110" s="93" t="s">
        <v>944</v>
      </c>
      <c r="D110" s="44" t="s">
        <v>945</v>
      </c>
      <c r="E110" s="94" t="s">
        <v>935</v>
      </c>
      <c r="F110" s="95" t="s">
        <v>936</v>
      </c>
      <c r="G110" s="77" t="s">
        <v>937</v>
      </c>
      <c r="H110" s="88" t="s">
        <v>315</v>
      </c>
      <c r="I110" s="40" t="s">
        <v>316</v>
      </c>
      <c r="J110" s="40" t="s">
        <v>86</v>
      </c>
      <c r="K110" s="40" t="s">
        <v>938</v>
      </c>
      <c r="L110" s="40" t="s">
        <v>11</v>
      </c>
      <c r="M110" s="96"/>
      <c r="N110" s="96">
        <v>44927</v>
      </c>
      <c r="O110" s="51">
        <v>45657</v>
      </c>
      <c r="P110" s="95"/>
      <c r="Q110" s="88" t="s">
        <v>69</v>
      </c>
      <c r="R110" s="88"/>
      <c r="S110" s="97" t="s">
        <v>148</v>
      </c>
      <c r="T110" s="77">
        <v>6</v>
      </c>
      <c r="U110" s="77" t="s">
        <v>88</v>
      </c>
      <c r="V110" s="47">
        <f t="shared" ca="1" si="46"/>
        <v>30</v>
      </c>
      <c r="W110" s="98">
        <v>10767600</v>
      </c>
      <c r="X110" s="77">
        <v>194</v>
      </c>
      <c r="Y110" s="31">
        <f t="shared" si="47"/>
        <v>232.92466666666667</v>
      </c>
      <c r="Z110" s="31">
        <f t="shared" si="48"/>
        <v>3493.87</v>
      </c>
      <c r="AA110" s="32">
        <v>6987.74</v>
      </c>
      <c r="AB110" s="32">
        <v>284</v>
      </c>
      <c r="AC110" s="99"/>
      <c r="AD110" s="99"/>
      <c r="AE110" s="100"/>
      <c r="AF110" s="101"/>
      <c r="AG110" s="99"/>
      <c r="AH110" s="99"/>
      <c r="AI110" s="32">
        <v>10000</v>
      </c>
      <c r="AJ110" s="33">
        <f t="shared" si="50"/>
        <v>17271.739999999998</v>
      </c>
      <c r="AK110" s="54">
        <v>0</v>
      </c>
      <c r="AL110" s="31">
        <f t="shared" ref="AL110:AM141" si="55">Z110*13%</f>
        <v>454.20310000000001</v>
      </c>
      <c r="AM110" s="31">
        <f t="shared" si="55"/>
        <v>908.40620000000001</v>
      </c>
      <c r="AN110" s="34">
        <f t="shared" si="51"/>
        <v>908.40620000000001</v>
      </c>
      <c r="AO110" s="35">
        <f t="shared" si="52"/>
        <v>16363.333799999999</v>
      </c>
      <c r="AP110" s="34">
        <f t="shared" si="40"/>
        <v>10714.534666666666</v>
      </c>
      <c r="AQ110" s="34">
        <f t="shared" si="41"/>
        <v>15333.333333333332</v>
      </c>
      <c r="AR110" s="34">
        <f t="shared" si="42"/>
        <v>1454.348</v>
      </c>
      <c r="AS110" s="34"/>
      <c r="AT110" s="34"/>
      <c r="AU110" s="34"/>
      <c r="AV110" s="99"/>
      <c r="AW110" s="99"/>
      <c r="AX110" s="99"/>
      <c r="AY110" s="34">
        <f t="shared" si="43"/>
        <v>2908.6959999999999</v>
      </c>
      <c r="AZ110" s="31">
        <v>0.26</v>
      </c>
      <c r="BA110" s="32">
        <f t="shared" si="44"/>
        <v>908.40620000000001</v>
      </c>
      <c r="BB110" s="32">
        <f t="shared" si="45"/>
        <v>1816.8124</v>
      </c>
      <c r="BC110" s="37">
        <f t="shared" ref="BC110:BD141" si="56">Z110*2%</f>
        <v>69.877399999999994</v>
      </c>
      <c r="BD110" s="37">
        <f t="shared" si="56"/>
        <v>139.75479999999999</v>
      </c>
      <c r="BE110" s="34">
        <f t="shared" si="53"/>
        <v>518.15219999999988</v>
      </c>
      <c r="BF110" s="34">
        <f t="shared" si="54"/>
        <v>1386.8491199999996</v>
      </c>
      <c r="BG110" s="29" t="s">
        <v>939</v>
      </c>
      <c r="BH110" s="29" t="s">
        <v>940</v>
      </c>
      <c r="BI110" s="38" t="s">
        <v>941</v>
      </c>
      <c r="BJ110" s="39" t="s">
        <v>942</v>
      </c>
      <c r="BK110" s="39"/>
      <c r="BL110" s="39" t="s">
        <v>154</v>
      </c>
      <c r="BM110" s="102" t="s">
        <v>943</v>
      </c>
      <c r="BN110" s="39"/>
    </row>
    <row r="111" spans="1:66" s="6" customFormat="1" ht="39.950000000000003" hidden="1" customHeight="1" x14ac:dyDescent="0.25">
      <c r="A111" s="91" t="s">
        <v>946</v>
      </c>
      <c r="B111" s="92">
        <v>55</v>
      </c>
      <c r="C111" s="93" t="s">
        <v>947</v>
      </c>
      <c r="D111" s="93" t="s">
        <v>948</v>
      </c>
      <c r="E111" s="94" t="s">
        <v>949</v>
      </c>
      <c r="F111" s="95" t="s">
        <v>950</v>
      </c>
      <c r="G111" s="77" t="s">
        <v>951</v>
      </c>
      <c r="H111" s="88" t="s">
        <v>161</v>
      </c>
      <c r="I111" s="40" t="s">
        <v>162</v>
      </c>
      <c r="J111" s="40" t="s">
        <v>86</v>
      </c>
      <c r="K111" s="40" t="s">
        <v>174</v>
      </c>
      <c r="L111" s="40" t="s">
        <v>952</v>
      </c>
      <c r="M111" s="103">
        <v>44044</v>
      </c>
      <c r="N111" s="103"/>
      <c r="O111" s="77"/>
      <c r="P111" s="95"/>
      <c r="Q111" s="88" t="s">
        <v>69</v>
      </c>
      <c r="R111" s="88"/>
      <c r="S111" s="97" t="s">
        <v>70</v>
      </c>
      <c r="T111" s="77">
        <v>19</v>
      </c>
      <c r="U111" s="77" t="s">
        <v>243</v>
      </c>
      <c r="V111" s="47">
        <f t="shared" ca="1" si="46"/>
        <v>32</v>
      </c>
      <c r="W111" s="98">
        <v>10750000</v>
      </c>
      <c r="X111" s="77">
        <v>192</v>
      </c>
      <c r="Y111" s="31">
        <f t="shared" si="47"/>
        <v>200.13333333333333</v>
      </c>
      <c r="Z111" s="31">
        <f t="shared" si="48"/>
        <v>3002</v>
      </c>
      <c r="AA111" s="32">
        <v>6004</v>
      </c>
      <c r="AB111" s="32">
        <v>284</v>
      </c>
      <c r="AC111" s="99"/>
      <c r="AD111" s="99"/>
      <c r="AE111" s="100"/>
      <c r="AF111" s="101"/>
      <c r="AG111" s="99"/>
      <c r="AH111" s="99"/>
      <c r="AI111" s="32">
        <v>7000</v>
      </c>
      <c r="AJ111" s="33">
        <f t="shared" si="50"/>
        <v>13288</v>
      </c>
      <c r="AK111" s="54">
        <v>0</v>
      </c>
      <c r="AL111" s="31">
        <f t="shared" si="55"/>
        <v>390.26</v>
      </c>
      <c r="AM111" s="31">
        <f t="shared" si="55"/>
        <v>780.52</v>
      </c>
      <c r="AN111" s="34">
        <f t="shared" si="51"/>
        <v>780.52</v>
      </c>
      <c r="AO111" s="35">
        <f t="shared" si="52"/>
        <v>12507.48</v>
      </c>
      <c r="AP111" s="34">
        <f t="shared" si="40"/>
        <v>9206.1333333333332</v>
      </c>
      <c r="AQ111" s="34">
        <f t="shared" si="41"/>
        <v>10733.333333333334</v>
      </c>
      <c r="AR111" s="34">
        <f t="shared" si="42"/>
        <v>1257.5999999999999</v>
      </c>
      <c r="AS111" s="34"/>
      <c r="AT111" s="34"/>
      <c r="AU111" s="34"/>
      <c r="AV111" s="99"/>
      <c r="AW111" s="99"/>
      <c r="AX111" s="99"/>
      <c r="AY111" s="34">
        <f t="shared" si="43"/>
        <v>2515.1999999999998</v>
      </c>
      <c r="AZ111" s="31">
        <v>0.26</v>
      </c>
      <c r="BA111" s="32">
        <f t="shared" si="44"/>
        <v>780.52</v>
      </c>
      <c r="BB111" s="32">
        <f t="shared" si="45"/>
        <v>1561.04</v>
      </c>
      <c r="BC111" s="37">
        <f t="shared" si="56"/>
        <v>60.04</v>
      </c>
      <c r="BD111" s="37">
        <f t="shared" si="56"/>
        <v>120.08</v>
      </c>
      <c r="BE111" s="34">
        <f t="shared" si="53"/>
        <v>398.64</v>
      </c>
      <c r="BF111" s="34">
        <f t="shared" si="54"/>
        <v>1072.28</v>
      </c>
      <c r="BG111" s="59" t="s">
        <v>953</v>
      </c>
      <c r="BH111" s="59" t="s">
        <v>954</v>
      </c>
      <c r="BI111" s="38" t="s">
        <v>955</v>
      </c>
      <c r="BJ111" s="39" t="s">
        <v>956</v>
      </c>
      <c r="BK111" s="39"/>
      <c r="BL111" s="39" t="s">
        <v>957</v>
      </c>
      <c r="BM111" s="102" t="s">
        <v>958</v>
      </c>
      <c r="BN111" s="39"/>
    </row>
    <row r="112" spans="1:66" s="6" customFormat="1" ht="39.950000000000003" hidden="1" customHeight="1" x14ac:dyDescent="0.25">
      <c r="A112" s="91" t="s">
        <v>946</v>
      </c>
      <c r="B112" s="92">
        <v>61</v>
      </c>
      <c r="C112" s="93" t="s">
        <v>948</v>
      </c>
      <c r="D112" s="93" t="s">
        <v>959</v>
      </c>
      <c r="E112" s="94" t="s">
        <v>949</v>
      </c>
      <c r="F112" s="95" t="s">
        <v>950</v>
      </c>
      <c r="G112" s="77" t="s">
        <v>951</v>
      </c>
      <c r="H112" s="88" t="s">
        <v>161</v>
      </c>
      <c r="I112" s="40" t="s">
        <v>162</v>
      </c>
      <c r="J112" s="40" t="s">
        <v>86</v>
      </c>
      <c r="K112" s="40" t="s">
        <v>174</v>
      </c>
      <c r="L112" s="40" t="s">
        <v>131</v>
      </c>
      <c r="M112" s="103"/>
      <c r="N112" s="103"/>
      <c r="O112" s="77"/>
      <c r="P112" s="95"/>
      <c r="Q112" s="88" t="s">
        <v>69</v>
      </c>
      <c r="R112" s="88"/>
      <c r="S112" s="97" t="s">
        <v>70</v>
      </c>
      <c r="T112" s="77">
        <v>19</v>
      </c>
      <c r="U112" s="77" t="s">
        <v>243</v>
      </c>
      <c r="V112" s="47">
        <f t="shared" ca="1" si="46"/>
        <v>32</v>
      </c>
      <c r="W112" s="98">
        <v>10750000</v>
      </c>
      <c r="X112" s="77">
        <v>192</v>
      </c>
      <c r="Y112" s="31">
        <f t="shared" si="47"/>
        <v>200.13333333333333</v>
      </c>
      <c r="Z112" s="31">
        <f t="shared" si="48"/>
        <v>3002</v>
      </c>
      <c r="AA112" s="32">
        <v>6004</v>
      </c>
      <c r="AB112" s="32">
        <v>284</v>
      </c>
      <c r="AC112" s="99"/>
      <c r="AD112" s="99"/>
      <c r="AE112" s="99"/>
      <c r="AF112" s="104"/>
      <c r="AG112" s="99"/>
      <c r="AH112" s="99"/>
      <c r="AI112" s="32">
        <v>10984</v>
      </c>
      <c r="AJ112" s="33">
        <f t="shared" si="50"/>
        <v>17272</v>
      </c>
      <c r="AK112" s="54">
        <v>0</v>
      </c>
      <c r="AL112" s="31">
        <f t="shared" si="55"/>
        <v>390.26</v>
      </c>
      <c r="AM112" s="31">
        <f t="shared" si="55"/>
        <v>780.52</v>
      </c>
      <c r="AN112" s="34">
        <f t="shared" si="51"/>
        <v>780.52</v>
      </c>
      <c r="AO112" s="35">
        <f t="shared" si="52"/>
        <v>16491.48</v>
      </c>
      <c r="AP112" s="34">
        <f t="shared" si="40"/>
        <v>9206.1333333333332</v>
      </c>
      <c r="AQ112" s="34">
        <f t="shared" si="41"/>
        <v>16842.133333333331</v>
      </c>
      <c r="AR112" s="34">
        <f t="shared" si="42"/>
        <v>1257.5999999999999</v>
      </c>
      <c r="AS112" s="34"/>
      <c r="AT112" s="34"/>
      <c r="AU112" s="34"/>
      <c r="AV112" s="99"/>
      <c r="AW112" s="99"/>
      <c r="AX112" s="99"/>
      <c r="AY112" s="34">
        <f t="shared" si="43"/>
        <v>2515.1999999999998</v>
      </c>
      <c r="AZ112" s="31">
        <v>0.26</v>
      </c>
      <c r="BA112" s="32">
        <f t="shared" si="44"/>
        <v>780.52</v>
      </c>
      <c r="BB112" s="32">
        <f t="shared" si="45"/>
        <v>1561.04</v>
      </c>
      <c r="BC112" s="37">
        <f t="shared" si="56"/>
        <v>60.04</v>
      </c>
      <c r="BD112" s="37">
        <f t="shared" si="56"/>
        <v>120.08</v>
      </c>
      <c r="BE112" s="34">
        <f t="shared" si="53"/>
        <v>518.16</v>
      </c>
      <c r="BF112" s="34">
        <f t="shared" si="54"/>
        <v>1375.0639999999999</v>
      </c>
      <c r="BG112" s="59" t="s">
        <v>953</v>
      </c>
      <c r="BH112" s="59" t="s">
        <v>954</v>
      </c>
      <c r="BI112" s="38" t="s">
        <v>960</v>
      </c>
      <c r="BJ112" s="39" t="s">
        <v>956</v>
      </c>
      <c r="BK112" s="39"/>
      <c r="BL112" s="39" t="s">
        <v>957</v>
      </c>
      <c r="BM112" s="102" t="s">
        <v>958</v>
      </c>
      <c r="BN112" s="39"/>
    </row>
    <row r="113" spans="1:66" s="6" customFormat="1" ht="39.950000000000003" hidden="1" customHeight="1" x14ac:dyDescent="0.25">
      <c r="A113" s="91" t="s">
        <v>946</v>
      </c>
      <c r="B113" s="92">
        <v>61</v>
      </c>
      <c r="C113" s="93" t="s">
        <v>959</v>
      </c>
      <c r="D113" s="44" t="s">
        <v>961</v>
      </c>
      <c r="E113" s="94" t="s">
        <v>949</v>
      </c>
      <c r="F113" s="95" t="s">
        <v>950</v>
      </c>
      <c r="G113" s="77" t="s">
        <v>951</v>
      </c>
      <c r="H113" s="88" t="s">
        <v>315</v>
      </c>
      <c r="I113" s="40" t="s">
        <v>316</v>
      </c>
      <c r="J113" s="40" t="s">
        <v>86</v>
      </c>
      <c r="K113" s="40" t="s">
        <v>174</v>
      </c>
      <c r="L113" s="40" t="s">
        <v>11</v>
      </c>
      <c r="M113" s="103"/>
      <c r="N113" s="103">
        <v>44927</v>
      </c>
      <c r="O113" s="103">
        <v>45747</v>
      </c>
      <c r="P113" s="95"/>
      <c r="Q113" s="88" t="s">
        <v>69</v>
      </c>
      <c r="R113" s="88"/>
      <c r="S113" s="97" t="s">
        <v>70</v>
      </c>
      <c r="T113" s="77">
        <v>19</v>
      </c>
      <c r="U113" s="77" t="s">
        <v>243</v>
      </c>
      <c r="V113" s="47">
        <f t="shared" ca="1" si="46"/>
        <v>32</v>
      </c>
      <c r="W113" s="98">
        <v>10750000</v>
      </c>
      <c r="X113" s="77">
        <v>192</v>
      </c>
      <c r="Y113" s="31">
        <f t="shared" si="47"/>
        <v>232.92466666666667</v>
      </c>
      <c r="Z113" s="31">
        <f t="shared" si="48"/>
        <v>3493.87</v>
      </c>
      <c r="AA113" s="32">
        <v>6987.74</v>
      </c>
      <c r="AB113" s="32">
        <v>284</v>
      </c>
      <c r="AC113" s="99"/>
      <c r="AD113" s="99"/>
      <c r="AE113" s="99"/>
      <c r="AF113" s="104"/>
      <c r="AG113" s="99"/>
      <c r="AH113" s="99"/>
      <c r="AI113" s="32">
        <v>10000</v>
      </c>
      <c r="AJ113" s="33">
        <f t="shared" si="50"/>
        <v>17271.739999999998</v>
      </c>
      <c r="AK113" s="54">
        <v>0</v>
      </c>
      <c r="AL113" s="31">
        <f t="shared" si="55"/>
        <v>454.20310000000001</v>
      </c>
      <c r="AM113" s="31">
        <f t="shared" si="55"/>
        <v>908.40620000000001</v>
      </c>
      <c r="AN113" s="34">
        <f t="shared" si="51"/>
        <v>908.40620000000001</v>
      </c>
      <c r="AO113" s="35">
        <f t="shared" si="52"/>
        <v>16363.333799999999</v>
      </c>
      <c r="AP113" s="34">
        <f t="shared" si="40"/>
        <v>10714.534666666666</v>
      </c>
      <c r="AQ113" s="34">
        <f t="shared" si="41"/>
        <v>15333.333333333332</v>
      </c>
      <c r="AR113" s="34">
        <f t="shared" si="42"/>
        <v>1454.348</v>
      </c>
      <c r="AS113" s="34"/>
      <c r="AT113" s="34"/>
      <c r="AU113" s="34"/>
      <c r="AV113" s="99"/>
      <c r="AW113" s="99"/>
      <c r="AX113" s="99"/>
      <c r="AY113" s="34">
        <f t="shared" si="43"/>
        <v>2908.6959999999999</v>
      </c>
      <c r="AZ113" s="31">
        <v>0.26</v>
      </c>
      <c r="BA113" s="32">
        <f t="shared" si="44"/>
        <v>908.40620000000001</v>
      </c>
      <c r="BB113" s="32">
        <f t="shared" si="45"/>
        <v>1816.8124</v>
      </c>
      <c r="BC113" s="37">
        <f t="shared" si="56"/>
        <v>69.877399999999994</v>
      </c>
      <c r="BD113" s="37">
        <f t="shared" si="56"/>
        <v>139.75479999999999</v>
      </c>
      <c r="BE113" s="34">
        <f t="shared" si="53"/>
        <v>518.15219999999988</v>
      </c>
      <c r="BF113" s="34">
        <f t="shared" si="54"/>
        <v>1386.8491199999996</v>
      </c>
      <c r="BG113" s="59" t="s">
        <v>953</v>
      </c>
      <c r="BH113" s="59" t="s">
        <v>954</v>
      </c>
      <c r="BI113" s="38" t="s">
        <v>960</v>
      </c>
      <c r="BJ113" s="39" t="s">
        <v>956</v>
      </c>
      <c r="BK113" s="39"/>
      <c r="BL113" s="39" t="s">
        <v>957</v>
      </c>
      <c r="BM113" s="102" t="s">
        <v>958</v>
      </c>
      <c r="BN113" s="39"/>
    </row>
    <row r="114" spans="1:66" s="6" customFormat="1" ht="39.950000000000003" hidden="1" customHeight="1" x14ac:dyDescent="0.25">
      <c r="A114" s="91" t="s">
        <v>962</v>
      </c>
      <c r="B114" s="92">
        <v>58</v>
      </c>
      <c r="C114" s="93" t="s">
        <v>963</v>
      </c>
      <c r="D114" s="93" t="s">
        <v>964</v>
      </c>
      <c r="E114" s="94" t="s">
        <v>965</v>
      </c>
      <c r="F114" s="29" t="s">
        <v>966</v>
      </c>
      <c r="G114" s="38" t="s">
        <v>967</v>
      </c>
      <c r="H114" s="88" t="s">
        <v>161</v>
      </c>
      <c r="I114" s="40" t="s">
        <v>162</v>
      </c>
      <c r="J114" s="40" t="s">
        <v>68</v>
      </c>
      <c r="K114" s="40" t="s">
        <v>68</v>
      </c>
      <c r="L114" s="40" t="s">
        <v>131</v>
      </c>
      <c r="M114" s="103">
        <v>44075</v>
      </c>
      <c r="N114" s="103">
        <v>44270</v>
      </c>
      <c r="O114" s="77"/>
      <c r="P114" s="95"/>
      <c r="Q114" s="88" t="s">
        <v>69</v>
      </c>
      <c r="R114" s="88"/>
      <c r="S114" s="97" t="s">
        <v>70</v>
      </c>
      <c r="T114" s="77">
        <v>26</v>
      </c>
      <c r="U114" s="77" t="s">
        <v>305</v>
      </c>
      <c r="V114" s="47">
        <f t="shared" ca="1" si="46"/>
        <v>47</v>
      </c>
      <c r="W114" s="98">
        <v>10747900</v>
      </c>
      <c r="X114" s="77">
        <v>190</v>
      </c>
      <c r="Y114" s="31">
        <f t="shared" si="47"/>
        <v>153.1</v>
      </c>
      <c r="Z114" s="31">
        <f t="shared" si="48"/>
        <v>2296.5</v>
      </c>
      <c r="AA114" s="32">
        <v>4593</v>
      </c>
      <c r="AB114" s="32">
        <v>311</v>
      </c>
      <c r="AC114" s="99"/>
      <c r="AD114" s="99"/>
      <c r="AE114" s="99"/>
      <c r="AF114" s="104"/>
      <c r="AG114" s="99"/>
      <c r="AH114" s="99"/>
      <c r="AI114" s="32">
        <v>6500</v>
      </c>
      <c r="AJ114" s="33">
        <f t="shared" si="50"/>
        <v>11404</v>
      </c>
      <c r="AK114" s="54">
        <v>0</v>
      </c>
      <c r="AL114" s="31">
        <f t="shared" si="55"/>
        <v>298.54500000000002</v>
      </c>
      <c r="AM114" s="31">
        <f t="shared" si="55"/>
        <v>597.09</v>
      </c>
      <c r="AN114" s="34">
        <f t="shared" si="51"/>
        <v>597.09</v>
      </c>
      <c r="AO114" s="35">
        <f t="shared" si="52"/>
        <v>10806.91</v>
      </c>
      <c r="AP114" s="34">
        <f t="shared" si="40"/>
        <v>7042.5999999999995</v>
      </c>
      <c r="AQ114" s="34">
        <f t="shared" si="41"/>
        <v>9966.6666666666661</v>
      </c>
      <c r="AR114" s="34">
        <f t="shared" si="42"/>
        <v>980.8</v>
      </c>
      <c r="AS114" s="34"/>
      <c r="AT114" s="34"/>
      <c r="AU114" s="34"/>
      <c r="AV114" s="99"/>
      <c r="AW114" s="99"/>
      <c r="AX114" s="99"/>
      <c r="AY114" s="34">
        <f t="shared" si="43"/>
        <v>1961.6</v>
      </c>
      <c r="AZ114" s="31">
        <v>0.26</v>
      </c>
      <c r="BA114" s="32">
        <f t="shared" si="44"/>
        <v>597.09</v>
      </c>
      <c r="BB114" s="32">
        <f t="shared" si="45"/>
        <v>1194.18</v>
      </c>
      <c r="BC114" s="37">
        <f t="shared" si="56"/>
        <v>45.93</v>
      </c>
      <c r="BD114" s="37">
        <f t="shared" si="56"/>
        <v>91.86</v>
      </c>
      <c r="BE114" s="34">
        <f t="shared" si="53"/>
        <v>342.12</v>
      </c>
      <c r="BF114" s="34">
        <f t="shared" si="54"/>
        <v>911.24599999999975</v>
      </c>
      <c r="BG114" s="29"/>
      <c r="BH114" s="29" t="s">
        <v>968</v>
      </c>
      <c r="BI114" s="38" t="s">
        <v>969</v>
      </c>
      <c r="BJ114" s="39" t="s">
        <v>970</v>
      </c>
      <c r="BK114" s="39"/>
      <c r="BL114" s="39" t="s">
        <v>971</v>
      </c>
      <c r="BM114" s="102" t="s">
        <v>972</v>
      </c>
      <c r="BN114" s="39"/>
    </row>
    <row r="115" spans="1:66" s="6" customFormat="1" ht="39.950000000000003" hidden="1" customHeight="1" x14ac:dyDescent="0.25">
      <c r="A115" s="91" t="s">
        <v>962</v>
      </c>
      <c r="B115" s="92">
        <v>70</v>
      </c>
      <c r="C115" s="93" t="s">
        <v>964</v>
      </c>
      <c r="D115" s="93" t="s">
        <v>973</v>
      </c>
      <c r="E115" s="94" t="s">
        <v>965</v>
      </c>
      <c r="F115" s="29" t="s">
        <v>966</v>
      </c>
      <c r="G115" s="38" t="s">
        <v>967</v>
      </c>
      <c r="H115" s="88" t="s">
        <v>161</v>
      </c>
      <c r="I115" s="40" t="s">
        <v>162</v>
      </c>
      <c r="J115" s="40" t="s">
        <v>449</v>
      </c>
      <c r="K115" s="40" t="s">
        <v>323</v>
      </c>
      <c r="L115" s="40" t="s">
        <v>11</v>
      </c>
      <c r="M115" s="103">
        <v>44270</v>
      </c>
      <c r="N115" s="103"/>
      <c r="O115" s="105"/>
      <c r="P115" s="95"/>
      <c r="Q115" s="88" t="s">
        <v>69</v>
      </c>
      <c r="R115" s="88"/>
      <c r="S115" s="97" t="s">
        <v>70</v>
      </c>
      <c r="T115" s="77">
        <v>26</v>
      </c>
      <c r="U115" s="77" t="s">
        <v>305</v>
      </c>
      <c r="V115" s="47">
        <f t="shared" ca="1" si="46"/>
        <v>47</v>
      </c>
      <c r="W115" s="98">
        <v>10747900</v>
      </c>
      <c r="X115" s="77">
        <v>188</v>
      </c>
      <c r="Y115" s="31">
        <f t="shared" si="47"/>
        <v>200.13333333333333</v>
      </c>
      <c r="Z115" s="31">
        <f t="shared" si="48"/>
        <v>3002</v>
      </c>
      <c r="AA115" s="32">
        <v>6004</v>
      </c>
      <c r="AB115" s="32">
        <v>284</v>
      </c>
      <c r="AC115" s="99"/>
      <c r="AD115" s="99"/>
      <c r="AE115" s="100"/>
      <c r="AF115" s="101"/>
      <c r="AG115" s="99"/>
      <c r="AH115" s="99"/>
      <c r="AI115" s="32">
        <v>10984</v>
      </c>
      <c r="AJ115" s="33">
        <f t="shared" si="50"/>
        <v>17272</v>
      </c>
      <c r="AK115" s="54">
        <v>0</v>
      </c>
      <c r="AL115" s="31">
        <f t="shared" si="55"/>
        <v>390.26</v>
      </c>
      <c r="AM115" s="31">
        <f t="shared" si="55"/>
        <v>780.52</v>
      </c>
      <c r="AN115" s="34">
        <f t="shared" si="51"/>
        <v>780.52</v>
      </c>
      <c r="AO115" s="35">
        <f t="shared" si="52"/>
        <v>16491.48</v>
      </c>
      <c r="AP115" s="34">
        <f t="shared" si="40"/>
        <v>9206.1333333333332</v>
      </c>
      <c r="AQ115" s="34">
        <f t="shared" si="41"/>
        <v>16842.133333333331</v>
      </c>
      <c r="AR115" s="34">
        <f t="shared" si="42"/>
        <v>1257.5999999999999</v>
      </c>
      <c r="AS115" s="34"/>
      <c r="AT115" s="34"/>
      <c r="AU115" s="34"/>
      <c r="AV115" s="99"/>
      <c r="AW115" s="99"/>
      <c r="AX115" s="99"/>
      <c r="AY115" s="34">
        <f t="shared" si="43"/>
        <v>2515.1999999999998</v>
      </c>
      <c r="AZ115" s="31">
        <v>0.26</v>
      </c>
      <c r="BA115" s="32">
        <f t="shared" si="44"/>
        <v>780.52</v>
      </c>
      <c r="BB115" s="32">
        <f t="shared" si="45"/>
        <v>1561.04</v>
      </c>
      <c r="BC115" s="37">
        <f t="shared" si="56"/>
        <v>60.04</v>
      </c>
      <c r="BD115" s="37">
        <f t="shared" si="56"/>
        <v>120.08</v>
      </c>
      <c r="BE115" s="34">
        <f t="shared" si="53"/>
        <v>518.16</v>
      </c>
      <c r="BF115" s="34">
        <f t="shared" si="54"/>
        <v>1375.0639999999999</v>
      </c>
      <c r="BG115" s="29"/>
      <c r="BH115" s="29" t="s">
        <v>968</v>
      </c>
      <c r="BI115" s="38" t="s">
        <v>969</v>
      </c>
      <c r="BJ115" s="39" t="s">
        <v>970</v>
      </c>
      <c r="BK115" s="39"/>
      <c r="BL115" s="39" t="s">
        <v>971</v>
      </c>
      <c r="BM115" s="102" t="s">
        <v>972</v>
      </c>
      <c r="BN115" s="39"/>
    </row>
    <row r="116" spans="1:66" s="6" customFormat="1" ht="39.950000000000003" hidden="1" customHeight="1" x14ac:dyDescent="0.25">
      <c r="A116" s="91" t="s">
        <v>962</v>
      </c>
      <c r="B116" s="92">
        <v>74</v>
      </c>
      <c r="C116" s="93" t="s">
        <v>973</v>
      </c>
      <c r="D116" s="93" t="s">
        <v>974</v>
      </c>
      <c r="E116" s="94" t="s">
        <v>965</v>
      </c>
      <c r="F116" s="29" t="s">
        <v>966</v>
      </c>
      <c r="G116" s="38" t="s">
        <v>967</v>
      </c>
      <c r="H116" s="88" t="s">
        <v>84</v>
      </c>
      <c r="I116" s="40" t="s">
        <v>462</v>
      </c>
      <c r="J116" s="40" t="s">
        <v>449</v>
      </c>
      <c r="K116" s="40" t="s">
        <v>323</v>
      </c>
      <c r="L116" s="40" t="s">
        <v>11</v>
      </c>
      <c r="M116" s="103">
        <v>44212</v>
      </c>
      <c r="N116" s="103"/>
      <c r="O116" s="105">
        <v>44424</v>
      </c>
      <c r="P116" s="95"/>
      <c r="Q116" s="88" t="s">
        <v>69</v>
      </c>
      <c r="R116" s="88"/>
      <c r="S116" s="97" t="s">
        <v>70</v>
      </c>
      <c r="T116" s="77">
        <v>26</v>
      </c>
      <c r="U116" s="77" t="s">
        <v>305</v>
      </c>
      <c r="V116" s="47">
        <f t="shared" ca="1" si="46"/>
        <v>47</v>
      </c>
      <c r="W116" s="98">
        <v>10747900</v>
      </c>
      <c r="X116" s="77">
        <v>188</v>
      </c>
      <c r="Y116" s="31">
        <f t="shared" si="47"/>
        <v>232.92466666666667</v>
      </c>
      <c r="Z116" s="31">
        <f t="shared" si="48"/>
        <v>3493.87</v>
      </c>
      <c r="AA116" s="32">
        <v>6987.74</v>
      </c>
      <c r="AB116" s="32">
        <v>284</v>
      </c>
      <c r="AC116" s="99"/>
      <c r="AD116" s="99"/>
      <c r="AE116" s="100"/>
      <c r="AF116" s="101"/>
      <c r="AG116" s="99"/>
      <c r="AH116" s="99"/>
      <c r="AI116" s="32">
        <v>11283.15</v>
      </c>
      <c r="AJ116" s="33">
        <f t="shared" si="50"/>
        <v>18554.89</v>
      </c>
      <c r="AK116" s="54">
        <v>0</v>
      </c>
      <c r="AL116" s="31">
        <f t="shared" si="55"/>
        <v>454.20310000000001</v>
      </c>
      <c r="AM116" s="31">
        <f t="shared" si="55"/>
        <v>908.40620000000001</v>
      </c>
      <c r="AN116" s="34">
        <f t="shared" si="51"/>
        <v>908.40620000000001</v>
      </c>
      <c r="AO116" s="35">
        <f t="shared" si="52"/>
        <v>17646.483799999998</v>
      </c>
      <c r="AP116" s="34">
        <f t="shared" si="40"/>
        <v>10714.534666666666</v>
      </c>
      <c r="AQ116" s="34">
        <f t="shared" si="41"/>
        <v>17300.829999999998</v>
      </c>
      <c r="AR116" s="34">
        <f t="shared" si="42"/>
        <v>1454.348</v>
      </c>
      <c r="AS116" s="34"/>
      <c r="AT116" s="34"/>
      <c r="AU116" s="34"/>
      <c r="AV116" s="99"/>
      <c r="AW116" s="99"/>
      <c r="AX116" s="99"/>
      <c r="AY116" s="34">
        <f t="shared" si="43"/>
        <v>2908.6959999999999</v>
      </c>
      <c r="AZ116" s="31">
        <v>0.26</v>
      </c>
      <c r="BA116" s="32">
        <f t="shared" si="44"/>
        <v>908.40620000000001</v>
      </c>
      <c r="BB116" s="32">
        <f t="shared" si="45"/>
        <v>1816.8124</v>
      </c>
      <c r="BC116" s="37">
        <f t="shared" si="56"/>
        <v>69.877399999999994</v>
      </c>
      <c r="BD116" s="37">
        <f t="shared" si="56"/>
        <v>139.75479999999999</v>
      </c>
      <c r="BE116" s="34">
        <f t="shared" si="53"/>
        <v>556.64670000000001</v>
      </c>
      <c r="BF116" s="34">
        <f t="shared" si="54"/>
        <v>1484.3685199999995</v>
      </c>
      <c r="BG116" s="29"/>
      <c r="BH116" s="29" t="s">
        <v>968</v>
      </c>
      <c r="BI116" s="38" t="s">
        <v>969</v>
      </c>
      <c r="BJ116" s="39" t="s">
        <v>970</v>
      </c>
      <c r="BK116" s="39"/>
      <c r="BL116" s="39" t="s">
        <v>971</v>
      </c>
      <c r="BM116" s="102" t="s">
        <v>972</v>
      </c>
      <c r="BN116" s="39"/>
    </row>
    <row r="117" spans="1:66" s="6" customFormat="1" ht="39.950000000000003" hidden="1" customHeight="1" x14ac:dyDescent="0.25">
      <c r="A117" s="91" t="s">
        <v>975</v>
      </c>
      <c r="B117" s="92">
        <v>59</v>
      </c>
      <c r="C117" s="93" t="s">
        <v>976</v>
      </c>
      <c r="D117" s="93" t="s">
        <v>977</v>
      </c>
      <c r="E117" s="106" t="s">
        <v>978</v>
      </c>
      <c r="F117" s="29" t="s">
        <v>979</v>
      </c>
      <c r="G117" s="38" t="s">
        <v>980</v>
      </c>
      <c r="H117" s="88" t="s">
        <v>161</v>
      </c>
      <c r="I117" s="40" t="s">
        <v>162</v>
      </c>
      <c r="J117" s="40" t="s">
        <v>68</v>
      </c>
      <c r="K117" s="40" t="s">
        <v>374</v>
      </c>
      <c r="L117" s="40" t="s">
        <v>981</v>
      </c>
      <c r="M117" s="96">
        <v>44044</v>
      </c>
      <c r="N117" s="96"/>
      <c r="O117" s="38"/>
      <c r="P117" s="95"/>
      <c r="Q117" s="88" t="s">
        <v>69</v>
      </c>
      <c r="R117" s="88"/>
      <c r="S117" s="97" t="s">
        <v>148</v>
      </c>
      <c r="T117" s="77">
        <v>21</v>
      </c>
      <c r="U117" s="77" t="s">
        <v>149</v>
      </c>
      <c r="V117" s="47">
        <f t="shared" ca="1" si="46"/>
        <v>36</v>
      </c>
      <c r="W117" s="98">
        <v>10748600</v>
      </c>
      <c r="X117" s="77">
        <v>190</v>
      </c>
      <c r="Y117" s="31">
        <f t="shared" si="47"/>
        <v>200.13333333333333</v>
      </c>
      <c r="Z117" s="31">
        <f t="shared" si="48"/>
        <v>3002</v>
      </c>
      <c r="AA117" s="32">
        <v>6004</v>
      </c>
      <c r="AB117" s="32">
        <v>284</v>
      </c>
      <c r="AC117" s="99"/>
      <c r="AD117" s="99"/>
      <c r="AE117" s="100"/>
      <c r="AF117" s="101"/>
      <c r="AG117" s="99"/>
      <c r="AH117" s="99"/>
      <c r="AI117" s="32">
        <v>10984</v>
      </c>
      <c r="AJ117" s="33">
        <f t="shared" si="50"/>
        <v>17272</v>
      </c>
      <c r="AK117" s="54">
        <v>0</v>
      </c>
      <c r="AL117" s="31">
        <f t="shared" si="55"/>
        <v>390.26</v>
      </c>
      <c r="AM117" s="31">
        <f t="shared" si="55"/>
        <v>780.52</v>
      </c>
      <c r="AN117" s="34">
        <f t="shared" si="51"/>
        <v>780.52</v>
      </c>
      <c r="AO117" s="35">
        <f t="shared" si="52"/>
        <v>16491.48</v>
      </c>
      <c r="AP117" s="34">
        <f t="shared" si="40"/>
        <v>9206.1333333333332</v>
      </c>
      <c r="AQ117" s="34">
        <f t="shared" si="41"/>
        <v>16842.133333333331</v>
      </c>
      <c r="AR117" s="34">
        <f t="shared" si="42"/>
        <v>1257.5999999999999</v>
      </c>
      <c r="AS117" s="34"/>
      <c r="AT117" s="34"/>
      <c r="AU117" s="34"/>
      <c r="AV117" s="99"/>
      <c r="AW117" s="99"/>
      <c r="AX117" s="99"/>
      <c r="AY117" s="34">
        <f t="shared" si="43"/>
        <v>2515.1999999999998</v>
      </c>
      <c r="AZ117" s="31">
        <v>0.26</v>
      </c>
      <c r="BA117" s="32">
        <f t="shared" si="44"/>
        <v>780.52</v>
      </c>
      <c r="BB117" s="32">
        <f t="shared" si="45"/>
        <v>1561.04</v>
      </c>
      <c r="BC117" s="37">
        <f t="shared" si="56"/>
        <v>60.04</v>
      </c>
      <c r="BD117" s="37">
        <f t="shared" si="56"/>
        <v>120.08</v>
      </c>
      <c r="BE117" s="34">
        <f t="shared" si="53"/>
        <v>518.16</v>
      </c>
      <c r="BF117" s="34">
        <f t="shared" si="54"/>
        <v>1375.0639999999999</v>
      </c>
      <c r="BG117" s="29" t="s">
        <v>982</v>
      </c>
      <c r="BH117" s="59" t="s">
        <v>983</v>
      </c>
      <c r="BI117" s="38" t="s">
        <v>984</v>
      </c>
      <c r="BJ117" s="39" t="s">
        <v>985</v>
      </c>
      <c r="BK117" s="39"/>
      <c r="BL117" s="39" t="s">
        <v>744</v>
      </c>
      <c r="BM117" s="102" t="s">
        <v>986</v>
      </c>
      <c r="BN117" s="39"/>
    </row>
    <row r="118" spans="1:66" s="6" customFormat="1" ht="39.950000000000003" hidden="1" customHeight="1" x14ac:dyDescent="0.25">
      <c r="A118" s="91" t="s">
        <v>975</v>
      </c>
      <c r="B118" s="92">
        <v>59</v>
      </c>
      <c r="C118" s="93" t="s">
        <v>977</v>
      </c>
      <c r="D118" s="44" t="s">
        <v>987</v>
      </c>
      <c r="E118" s="106" t="s">
        <v>978</v>
      </c>
      <c r="F118" s="29" t="s">
        <v>979</v>
      </c>
      <c r="G118" s="38" t="s">
        <v>980</v>
      </c>
      <c r="H118" s="88" t="s">
        <v>315</v>
      </c>
      <c r="I118" s="40" t="s">
        <v>316</v>
      </c>
      <c r="J118" s="40" t="s">
        <v>68</v>
      </c>
      <c r="K118" s="40" t="s">
        <v>988</v>
      </c>
      <c r="L118" s="40" t="s">
        <v>11</v>
      </c>
      <c r="M118" s="96"/>
      <c r="N118" s="96">
        <v>44927</v>
      </c>
      <c r="O118" s="105">
        <v>45657</v>
      </c>
      <c r="P118" s="95"/>
      <c r="Q118" s="88" t="s">
        <v>69</v>
      </c>
      <c r="R118" s="88"/>
      <c r="S118" s="97" t="s">
        <v>148</v>
      </c>
      <c r="T118" s="77">
        <v>21</v>
      </c>
      <c r="U118" s="77" t="s">
        <v>149</v>
      </c>
      <c r="V118" s="47">
        <f t="shared" ca="1" si="46"/>
        <v>36</v>
      </c>
      <c r="W118" s="98">
        <v>10748600</v>
      </c>
      <c r="X118" s="77">
        <v>190</v>
      </c>
      <c r="Y118" s="31">
        <f t="shared" si="47"/>
        <v>232.92466666666667</v>
      </c>
      <c r="Z118" s="31">
        <f t="shared" si="48"/>
        <v>3493.87</v>
      </c>
      <c r="AA118" s="32">
        <v>6987.74</v>
      </c>
      <c r="AB118" s="32">
        <v>284</v>
      </c>
      <c r="AC118" s="99"/>
      <c r="AD118" s="99"/>
      <c r="AE118" s="100"/>
      <c r="AF118" s="101"/>
      <c r="AG118" s="99"/>
      <c r="AH118" s="99"/>
      <c r="AI118" s="32">
        <v>10000</v>
      </c>
      <c r="AJ118" s="33">
        <f t="shared" si="50"/>
        <v>17271.739999999998</v>
      </c>
      <c r="AK118" s="54">
        <v>0</v>
      </c>
      <c r="AL118" s="31">
        <f t="shared" si="55"/>
        <v>454.20310000000001</v>
      </c>
      <c r="AM118" s="31">
        <f t="shared" si="55"/>
        <v>908.40620000000001</v>
      </c>
      <c r="AN118" s="34">
        <f t="shared" si="51"/>
        <v>908.40620000000001</v>
      </c>
      <c r="AO118" s="35">
        <f t="shared" si="52"/>
        <v>16363.333799999999</v>
      </c>
      <c r="AP118" s="34">
        <f t="shared" si="40"/>
        <v>10714.534666666666</v>
      </c>
      <c r="AQ118" s="34">
        <f t="shared" si="41"/>
        <v>15333.333333333332</v>
      </c>
      <c r="AR118" s="34">
        <f t="shared" si="42"/>
        <v>1454.348</v>
      </c>
      <c r="AS118" s="34"/>
      <c r="AT118" s="34"/>
      <c r="AU118" s="34"/>
      <c r="AV118" s="99"/>
      <c r="AW118" s="99"/>
      <c r="AX118" s="99"/>
      <c r="AY118" s="34">
        <f t="shared" si="43"/>
        <v>2908.6959999999999</v>
      </c>
      <c r="AZ118" s="31">
        <v>0.26</v>
      </c>
      <c r="BA118" s="32">
        <f t="shared" si="44"/>
        <v>908.40620000000001</v>
      </c>
      <c r="BB118" s="32">
        <f t="shared" si="45"/>
        <v>1816.8124</v>
      </c>
      <c r="BC118" s="37">
        <f t="shared" si="56"/>
        <v>69.877399999999994</v>
      </c>
      <c r="BD118" s="37">
        <f t="shared" si="56"/>
        <v>139.75479999999999</v>
      </c>
      <c r="BE118" s="34">
        <f t="shared" si="53"/>
        <v>518.15219999999988</v>
      </c>
      <c r="BF118" s="34">
        <f t="shared" si="54"/>
        <v>1386.8491199999996</v>
      </c>
      <c r="BG118" s="29" t="s">
        <v>982</v>
      </c>
      <c r="BH118" s="59" t="s">
        <v>983</v>
      </c>
      <c r="BI118" s="38" t="s">
        <v>989</v>
      </c>
      <c r="BJ118" s="39" t="s">
        <v>985</v>
      </c>
      <c r="BK118" s="39"/>
      <c r="BL118" s="39" t="s">
        <v>744</v>
      </c>
      <c r="BM118" s="102" t="s">
        <v>986</v>
      </c>
      <c r="BN118" s="39"/>
    </row>
    <row r="119" spans="1:66" s="6" customFormat="1" ht="39.950000000000003" hidden="1" customHeight="1" x14ac:dyDescent="0.25">
      <c r="A119" s="91" t="s">
        <v>990</v>
      </c>
      <c r="B119" s="92">
        <v>60</v>
      </c>
      <c r="C119" s="93" t="s">
        <v>991</v>
      </c>
      <c r="D119" s="93" t="s">
        <v>992</v>
      </c>
      <c r="E119" s="106" t="s">
        <v>993</v>
      </c>
      <c r="F119" s="29" t="s">
        <v>994</v>
      </c>
      <c r="G119" s="38" t="s">
        <v>995</v>
      </c>
      <c r="H119" s="88" t="s">
        <v>161</v>
      </c>
      <c r="I119" s="40" t="s">
        <v>162</v>
      </c>
      <c r="J119" s="40" t="s">
        <v>68</v>
      </c>
      <c r="K119" s="40" t="s">
        <v>996</v>
      </c>
      <c r="L119" s="40" t="s">
        <v>11</v>
      </c>
      <c r="M119" s="96">
        <v>44044</v>
      </c>
      <c r="N119" s="96"/>
      <c r="O119" s="105">
        <v>44316</v>
      </c>
      <c r="P119" s="95"/>
      <c r="Q119" s="88" t="s">
        <v>69</v>
      </c>
      <c r="R119" s="88"/>
      <c r="S119" s="97" t="s">
        <v>70</v>
      </c>
      <c r="T119" s="77">
        <v>13</v>
      </c>
      <c r="U119" s="77" t="s">
        <v>243</v>
      </c>
      <c r="V119" s="47">
        <f t="shared" ca="1" si="46"/>
        <v>53</v>
      </c>
      <c r="W119" s="98">
        <v>10781200</v>
      </c>
      <c r="X119" s="77">
        <v>190</v>
      </c>
      <c r="Y119" s="31">
        <f t="shared" si="47"/>
        <v>200.13333333333333</v>
      </c>
      <c r="Z119" s="31">
        <f t="shared" si="48"/>
        <v>3002</v>
      </c>
      <c r="AA119" s="32">
        <v>6004</v>
      </c>
      <c r="AB119" s="32">
        <v>284</v>
      </c>
      <c r="AC119" s="99"/>
      <c r="AD119" s="99"/>
      <c r="AE119" s="100"/>
      <c r="AF119" s="101"/>
      <c r="AG119" s="99"/>
      <c r="AH119" s="99"/>
      <c r="AI119" s="32">
        <v>10984</v>
      </c>
      <c r="AJ119" s="33">
        <f t="shared" si="50"/>
        <v>17272</v>
      </c>
      <c r="AK119" s="54">
        <v>0</v>
      </c>
      <c r="AL119" s="31">
        <f t="shared" si="55"/>
        <v>390.26</v>
      </c>
      <c r="AM119" s="31">
        <f t="shared" si="55"/>
        <v>780.52</v>
      </c>
      <c r="AN119" s="34">
        <f t="shared" si="51"/>
        <v>780.52</v>
      </c>
      <c r="AO119" s="35">
        <f t="shared" si="52"/>
        <v>16491.48</v>
      </c>
      <c r="AP119" s="34">
        <f t="shared" si="40"/>
        <v>9206.1333333333332</v>
      </c>
      <c r="AQ119" s="34">
        <f t="shared" si="41"/>
        <v>16842.133333333331</v>
      </c>
      <c r="AR119" s="34">
        <f t="shared" si="42"/>
        <v>1257.5999999999999</v>
      </c>
      <c r="AS119" s="34"/>
      <c r="AT119" s="34"/>
      <c r="AU119" s="34"/>
      <c r="AV119" s="99"/>
      <c r="AW119" s="99"/>
      <c r="AX119" s="99"/>
      <c r="AY119" s="34">
        <f t="shared" si="43"/>
        <v>2515.1999999999998</v>
      </c>
      <c r="AZ119" s="31">
        <v>0.26</v>
      </c>
      <c r="BA119" s="32">
        <f t="shared" si="44"/>
        <v>780.52</v>
      </c>
      <c r="BB119" s="32">
        <f t="shared" si="45"/>
        <v>1561.04</v>
      </c>
      <c r="BC119" s="37">
        <f t="shared" si="56"/>
        <v>60.04</v>
      </c>
      <c r="BD119" s="37">
        <f t="shared" si="56"/>
        <v>120.08</v>
      </c>
      <c r="BE119" s="34">
        <f t="shared" si="53"/>
        <v>518.16</v>
      </c>
      <c r="BF119" s="34">
        <f t="shared" si="54"/>
        <v>1375.0639999999999</v>
      </c>
      <c r="BG119" s="29"/>
      <c r="BH119" s="29" t="s">
        <v>997</v>
      </c>
      <c r="BI119" s="38" t="s">
        <v>998</v>
      </c>
      <c r="BJ119" s="39" t="s">
        <v>999</v>
      </c>
      <c r="BK119" s="39"/>
      <c r="BL119" s="39" t="s">
        <v>1000</v>
      </c>
      <c r="BM119" s="102" t="s">
        <v>1001</v>
      </c>
      <c r="BN119" s="39"/>
    </row>
    <row r="120" spans="1:66" s="6" customFormat="1" ht="39.950000000000003" hidden="1" customHeight="1" x14ac:dyDescent="0.25">
      <c r="A120" s="91" t="s">
        <v>1002</v>
      </c>
      <c r="B120" s="92">
        <v>61</v>
      </c>
      <c r="C120" s="93" t="s">
        <v>1003</v>
      </c>
      <c r="D120" s="93" t="s">
        <v>1004</v>
      </c>
      <c r="E120" s="106" t="s">
        <v>1005</v>
      </c>
      <c r="F120" s="29" t="s">
        <v>1006</v>
      </c>
      <c r="G120" s="38" t="s">
        <v>1007</v>
      </c>
      <c r="H120" s="88" t="s">
        <v>161</v>
      </c>
      <c r="I120" s="40" t="s">
        <v>162</v>
      </c>
      <c r="J120" s="40" t="s">
        <v>68</v>
      </c>
      <c r="K120" s="40" t="s">
        <v>1008</v>
      </c>
      <c r="L120" s="40" t="s">
        <v>11</v>
      </c>
      <c r="M120" s="96">
        <v>44044</v>
      </c>
      <c r="N120" s="96"/>
      <c r="O120" s="105">
        <v>44408</v>
      </c>
      <c r="P120" s="95"/>
      <c r="Q120" s="88" t="s">
        <v>69</v>
      </c>
      <c r="R120" s="88"/>
      <c r="S120" s="97" t="s">
        <v>70</v>
      </c>
      <c r="T120" s="77">
        <v>12</v>
      </c>
      <c r="U120" s="77" t="s">
        <v>305</v>
      </c>
      <c r="V120" s="47">
        <f t="shared" ca="1" si="46"/>
        <v>62</v>
      </c>
      <c r="W120" s="98">
        <v>10750500</v>
      </c>
      <c r="X120" s="77">
        <v>190</v>
      </c>
      <c r="Y120" s="31">
        <f t="shared" si="47"/>
        <v>200.13333333333333</v>
      </c>
      <c r="Z120" s="31">
        <f t="shared" si="48"/>
        <v>3002</v>
      </c>
      <c r="AA120" s="32">
        <v>6004</v>
      </c>
      <c r="AB120" s="32">
        <v>284</v>
      </c>
      <c r="AC120" s="99"/>
      <c r="AD120" s="99"/>
      <c r="AE120" s="100"/>
      <c r="AF120" s="101"/>
      <c r="AG120" s="99"/>
      <c r="AH120" s="99"/>
      <c r="AI120" s="32">
        <v>10984</v>
      </c>
      <c r="AJ120" s="33">
        <f t="shared" si="50"/>
        <v>17272</v>
      </c>
      <c r="AK120" s="54">
        <v>0</v>
      </c>
      <c r="AL120" s="31">
        <f t="shared" si="55"/>
        <v>390.26</v>
      </c>
      <c r="AM120" s="31">
        <f t="shared" si="55"/>
        <v>780.52</v>
      </c>
      <c r="AN120" s="34">
        <f t="shared" si="51"/>
        <v>780.52</v>
      </c>
      <c r="AO120" s="35">
        <f t="shared" si="52"/>
        <v>16491.48</v>
      </c>
      <c r="AP120" s="34">
        <f t="shared" si="40"/>
        <v>9206.1333333333332</v>
      </c>
      <c r="AQ120" s="34">
        <f t="shared" si="41"/>
        <v>16842.133333333331</v>
      </c>
      <c r="AR120" s="34">
        <f t="shared" si="42"/>
        <v>1257.5999999999999</v>
      </c>
      <c r="AS120" s="34"/>
      <c r="AT120" s="34"/>
      <c r="AU120" s="34"/>
      <c r="AV120" s="99"/>
      <c r="AW120" s="99"/>
      <c r="AX120" s="99"/>
      <c r="AY120" s="34">
        <f t="shared" si="43"/>
        <v>2515.1999999999998</v>
      </c>
      <c r="AZ120" s="31">
        <v>0.19</v>
      </c>
      <c r="BA120" s="32">
        <f t="shared" si="44"/>
        <v>570.38</v>
      </c>
      <c r="BB120" s="32">
        <f t="shared" si="45"/>
        <v>1140.76</v>
      </c>
      <c r="BC120" s="37">
        <f t="shared" si="56"/>
        <v>60.04</v>
      </c>
      <c r="BD120" s="37">
        <f t="shared" si="56"/>
        <v>120.08</v>
      </c>
      <c r="BE120" s="34">
        <f t="shared" si="53"/>
        <v>518.16</v>
      </c>
      <c r="BF120" s="34">
        <f t="shared" si="54"/>
        <v>1375.0639999999999</v>
      </c>
      <c r="BG120" s="59" t="s">
        <v>1009</v>
      </c>
      <c r="BH120" s="29" t="s">
        <v>1010</v>
      </c>
      <c r="BI120" s="38" t="s">
        <v>1011</v>
      </c>
      <c r="BJ120" s="39" t="s">
        <v>1012</v>
      </c>
      <c r="BK120" s="39"/>
      <c r="BL120" s="39" t="s">
        <v>194</v>
      </c>
      <c r="BM120" s="102" t="s">
        <v>1013</v>
      </c>
      <c r="BN120" s="39"/>
    </row>
    <row r="121" spans="1:66" s="6" customFormat="1" ht="39.950000000000003" hidden="1" customHeight="1" x14ac:dyDescent="0.25">
      <c r="A121" s="91" t="s">
        <v>1014</v>
      </c>
      <c r="B121" s="107">
        <v>62</v>
      </c>
      <c r="C121" s="108" t="s">
        <v>1015</v>
      </c>
      <c r="D121" s="108" t="s">
        <v>1016</v>
      </c>
      <c r="E121" s="39" t="s">
        <v>1017</v>
      </c>
      <c r="F121" s="29" t="s">
        <v>1018</v>
      </c>
      <c r="G121" s="38" t="s">
        <v>1019</v>
      </c>
      <c r="H121" s="88" t="s">
        <v>161</v>
      </c>
      <c r="I121" s="40" t="s">
        <v>162</v>
      </c>
      <c r="J121" s="40" t="s">
        <v>68</v>
      </c>
      <c r="K121" s="40" t="s">
        <v>1020</v>
      </c>
      <c r="L121" s="40" t="s">
        <v>11</v>
      </c>
      <c r="M121" s="96">
        <v>44044</v>
      </c>
      <c r="N121" s="96"/>
      <c r="O121" s="105">
        <v>44196</v>
      </c>
      <c r="P121" s="95"/>
      <c r="Q121" s="88" t="s">
        <v>69</v>
      </c>
      <c r="R121" s="88"/>
      <c r="S121" s="97" t="s">
        <v>148</v>
      </c>
      <c r="T121" s="77">
        <v>18</v>
      </c>
      <c r="U121" s="77" t="s">
        <v>88</v>
      </c>
      <c r="V121" s="47">
        <f t="shared" ca="1" si="46"/>
        <v>39</v>
      </c>
      <c r="W121" s="98" t="e">
        <v>#N/A</v>
      </c>
      <c r="X121" s="77" t="e">
        <v>#N/A</v>
      </c>
      <c r="Y121" s="31">
        <f t="shared" si="47"/>
        <v>200.13333333333333</v>
      </c>
      <c r="Z121" s="31">
        <f t="shared" si="48"/>
        <v>3002</v>
      </c>
      <c r="AA121" s="32">
        <v>6004</v>
      </c>
      <c r="AB121" s="32">
        <v>284</v>
      </c>
      <c r="AC121" s="99"/>
      <c r="AD121" s="99"/>
      <c r="AE121" s="100"/>
      <c r="AF121" s="101"/>
      <c r="AG121" s="99"/>
      <c r="AH121" s="99"/>
      <c r="AI121" s="32">
        <v>10984</v>
      </c>
      <c r="AJ121" s="33">
        <f t="shared" si="50"/>
        <v>17272</v>
      </c>
      <c r="AK121" s="54">
        <v>0</v>
      </c>
      <c r="AL121" s="31">
        <f t="shared" si="55"/>
        <v>390.26</v>
      </c>
      <c r="AM121" s="31">
        <f t="shared" si="55"/>
        <v>780.52</v>
      </c>
      <c r="AN121" s="34">
        <f t="shared" si="51"/>
        <v>780.52</v>
      </c>
      <c r="AO121" s="35">
        <f t="shared" si="52"/>
        <v>16491.48</v>
      </c>
      <c r="AP121" s="34">
        <f t="shared" si="40"/>
        <v>9206.1333333333332</v>
      </c>
      <c r="AQ121" s="34">
        <f t="shared" si="41"/>
        <v>16842.133333333331</v>
      </c>
      <c r="AR121" s="34">
        <f t="shared" si="42"/>
        <v>1257.5999999999999</v>
      </c>
      <c r="AS121" s="34"/>
      <c r="AT121" s="34"/>
      <c r="AU121" s="34"/>
      <c r="AV121" s="99"/>
      <c r="AW121" s="99"/>
      <c r="AX121" s="99"/>
      <c r="AY121" s="34">
        <f t="shared" si="43"/>
        <v>2515.1999999999998</v>
      </c>
      <c r="AZ121" s="31">
        <v>0.26</v>
      </c>
      <c r="BA121" s="32">
        <f t="shared" si="44"/>
        <v>780.52</v>
      </c>
      <c r="BB121" s="32">
        <f t="shared" si="45"/>
        <v>1561.04</v>
      </c>
      <c r="BC121" s="37">
        <f t="shared" si="56"/>
        <v>60.04</v>
      </c>
      <c r="BD121" s="37">
        <f t="shared" si="56"/>
        <v>120.08</v>
      </c>
      <c r="BE121" s="34">
        <f t="shared" si="53"/>
        <v>518.16</v>
      </c>
      <c r="BF121" s="34">
        <f t="shared" si="54"/>
        <v>1375.0639999999999</v>
      </c>
      <c r="BG121" s="29"/>
      <c r="BH121" s="29" t="s">
        <v>1021</v>
      </c>
      <c r="BI121" s="38" t="s">
        <v>1022</v>
      </c>
      <c r="BJ121" s="39"/>
      <c r="BK121" s="39"/>
      <c r="BL121" s="39" t="s">
        <v>194</v>
      </c>
      <c r="BM121" s="102" t="s">
        <v>1023</v>
      </c>
      <c r="BN121" s="39"/>
    </row>
    <row r="122" spans="1:66" s="6" customFormat="1" ht="39.950000000000003" hidden="1" customHeight="1" x14ac:dyDescent="0.25">
      <c r="A122" s="91" t="s">
        <v>1024</v>
      </c>
      <c r="B122" s="109">
        <v>64</v>
      </c>
      <c r="C122" s="110" t="s">
        <v>1025</v>
      </c>
      <c r="D122" s="110" t="s">
        <v>1026</v>
      </c>
      <c r="E122" s="39" t="s">
        <v>1027</v>
      </c>
      <c r="F122" s="29" t="s">
        <v>1028</v>
      </c>
      <c r="G122" s="38" t="s">
        <v>1029</v>
      </c>
      <c r="H122" s="88" t="s">
        <v>161</v>
      </c>
      <c r="I122" s="40" t="s">
        <v>162</v>
      </c>
      <c r="J122" s="40" t="s">
        <v>68</v>
      </c>
      <c r="K122" s="40" t="s">
        <v>996</v>
      </c>
      <c r="L122" s="40" t="s">
        <v>255</v>
      </c>
      <c r="M122" s="96">
        <v>44044</v>
      </c>
      <c r="N122" s="96"/>
      <c r="O122" s="105">
        <v>44196</v>
      </c>
      <c r="P122" s="95"/>
      <c r="Q122" s="88" t="s">
        <v>69</v>
      </c>
      <c r="R122" s="88"/>
      <c r="S122" s="97" t="s">
        <v>70</v>
      </c>
      <c r="T122" s="77">
        <v>17</v>
      </c>
      <c r="U122" s="77" t="s">
        <v>243</v>
      </c>
      <c r="V122" s="47">
        <f t="shared" ca="1" si="46"/>
        <v>38</v>
      </c>
      <c r="W122" s="98" t="e">
        <v>#N/A</v>
      </c>
      <c r="X122" s="77">
        <v>190</v>
      </c>
      <c r="Y122" s="31">
        <f t="shared" si="47"/>
        <v>200.13333333333333</v>
      </c>
      <c r="Z122" s="31">
        <f t="shared" si="48"/>
        <v>3002</v>
      </c>
      <c r="AA122" s="32">
        <v>6004</v>
      </c>
      <c r="AB122" s="32">
        <v>284</v>
      </c>
      <c r="AC122" s="99"/>
      <c r="AD122" s="99"/>
      <c r="AE122" s="100"/>
      <c r="AF122" s="101"/>
      <c r="AG122" s="99"/>
      <c r="AH122" s="99"/>
      <c r="AI122" s="32">
        <v>7000</v>
      </c>
      <c r="AJ122" s="33">
        <f t="shared" si="50"/>
        <v>13288</v>
      </c>
      <c r="AK122" s="54">
        <v>0</v>
      </c>
      <c r="AL122" s="31">
        <f t="shared" si="55"/>
        <v>390.26</v>
      </c>
      <c r="AM122" s="31">
        <f t="shared" si="55"/>
        <v>780.52</v>
      </c>
      <c r="AN122" s="34">
        <f t="shared" si="51"/>
        <v>780.52</v>
      </c>
      <c r="AO122" s="35">
        <f t="shared" si="52"/>
        <v>12507.48</v>
      </c>
      <c r="AP122" s="34">
        <f t="shared" si="40"/>
        <v>9206.1333333333332</v>
      </c>
      <c r="AQ122" s="34">
        <f t="shared" si="41"/>
        <v>10733.333333333334</v>
      </c>
      <c r="AR122" s="34">
        <f t="shared" si="42"/>
        <v>1257.5999999999999</v>
      </c>
      <c r="AS122" s="34"/>
      <c r="AT122" s="34"/>
      <c r="AU122" s="34"/>
      <c r="AV122" s="99"/>
      <c r="AW122" s="99"/>
      <c r="AX122" s="99"/>
      <c r="AY122" s="34">
        <f t="shared" si="43"/>
        <v>2515.1999999999998</v>
      </c>
      <c r="AZ122" s="31">
        <v>0.26</v>
      </c>
      <c r="BA122" s="32">
        <f t="shared" si="44"/>
        <v>780.52</v>
      </c>
      <c r="BB122" s="32">
        <f t="shared" si="45"/>
        <v>1561.04</v>
      </c>
      <c r="BC122" s="37">
        <f t="shared" si="56"/>
        <v>60.04</v>
      </c>
      <c r="BD122" s="37">
        <f t="shared" si="56"/>
        <v>120.08</v>
      </c>
      <c r="BE122" s="34">
        <f t="shared" si="53"/>
        <v>398.64</v>
      </c>
      <c r="BF122" s="34">
        <f t="shared" si="54"/>
        <v>1072.28</v>
      </c>
      <c r="BG122" s="29"/>
      <c r="BH122" s="29" t="s">
        <v>1030</v>
      </c>
      <c r="BI122" s="38" t="s">
        <v>1031</v>
      </c>
      <c r="BJ122" s="39" t="s">
        <v>1032</v>
      </c>
      <c r="BK122" s="39"/>
      <c r="BL122" s="39" t="s">
        <v>1033</v>
      </c>
      <c r="BM122" s="102" t="s">
        <v>1034</v>
      </c>
      <c r="BN122" s="39"/>
    </row>
    <row r="123" spans="1:66" s="6" customFormat="1" ht="39.950000000000003" hidden="1" customHeight="1" x14ac:dyDescent="0.25">
      <c r="A123" s="91" t="s">
        <v>1035</v>
      </c>
      <c r="B123" s="107">
        <v>65</v>
      </c>
      <c r="C123" s="108" t="s">
        <v>1036</v>
      </c>
      <c r="D123" s="108" t="s">
        <v>1037</v>
      </c>
      <c r="E123" s="39" t="s">
        <v>1038</v>
      </c>
      <c r="F123" s="29" t="s">
        <v>1039</v>
      </c>
      <c r="G123" s="38" t="s">
        <v>1040</v>
      </c>
      <c r="H123" s="88" t="s">
        <v>161</v>
      </c>
      <c r="I123" s="40" t="s">
        <v>162</v>
      </c>
      <c r="J123" s="40" t="s">
        <v>68</v>
      </c>
      <c r="K123" s="40" t="s">
        <v>996</v>
      </c>
      <c r="L123" s="40" t="s">
        <v>11</v>
      </c>
      <c r="M123" s="96">
        <v>44044</v>
      </c>
      <c r="N123" s="96"/>
      <c r="O123" s="105">
        <v>44196</v>
      </c>
      <c r="P123" s="111">
        <v>44348</v>
      </c>
      <c r="Q123" s="88" t="s">
        <v>69</v>
      </c>
      <c r="R123" s="88"/>
      <c r="S123" s="97" t="s">
        <v>148</v>
      </c>
      <c r="T123" s="77">
        <v>22</v>
      </c>
      <c r="U123" s="77" t="s">
        <v>88</v>
      </c>
      <c r="V123" s="47">
        <f t="shared" ca="1" si="46"/>
        <v>46</v>
      </c>
      <c r="W123" s="98">
        <v>10746300</v>
      </c>
      <c r="X123" s="77">
        <v>190</v>
      </c>
      <c r="Y123" s="31">
        <f t="shared" si="47"/>
        <v>200.13333333333333</v>
      </c>
      <c r="Z123" s="31">
        <f t="shared" si="48"/>
        <v>3002</v>
      </c>
      <c r="AA123" s="32">
        <v>6004</v>
      </c>
      <c r="AB123" s="32">
        <v>284</v>
      </c>
      <c r="AC123" s="99"/>
      <c r="AD123" s="99"/>
      <c r="AE123" s="100"/>
      <c r="AF123" s="101"/>
      <c r="AG123" s="99"/>
      <c r="AH123" s="99"/>
      <c r="AI123" s="32">
        <v>7000</v>
      </c>
      <c r="AJ123" s="33">
        <f t="shared" si="50"/>
        <v>13288</v>
      </c>
      <c r="AK123" s="54">
        <v>0</v>
      </c>
      <c r="AL123" s="31">
        <f t="shared" si="55"/>
        <v>390.26</v>
      </c>
      <c r="AM123" s="31">
        <f t="shared" si="55"/>
        <v>780.52</v>
      </c>
      <c r="AN123" s="34">
        <f t="shared" si="51"/>
        <v>780.52</v>
      </c>
      <c r="AO123" s="35">
        <f t="shared" si="52"/>
        <v>12507.48</v>
      </c>
      <c r="AP123" s="34">
        <f t="shared" si="40"/>
        <v>9206.1333333333332</v>
      </c>
      <c r="AQ123" s="34">
        <f t="shared" si="41"/>
        <v>10733.333333333334</v>
      </c>
      <c r="AR123" s="34">
        <f t="shared" si="42"/>
        <v>1257.5999999999999</v>
      </c>
      <c r="AS123" s="34"/>
      <c r="AT123" s="34"/>
      <c r="AU123" s="34"/>
      <c r="AV123" s="99"/>
      <c r="AW123" s="99"/>
      <c r="AX123" s="99"/>
      <c r="AY123" s="34">
        <f t="shared" si="43"/>
        <v>2515.1999999999998</v>
      </c>
      <c r="AZ123" s="31">
        <v>0.26</v>
      </c>
      <c r="BA123" s="32">
        <f t="shared" si="44"/>
        <v>780.52</v>
      </c>
      <c r="BB123" s="32">
        <f t="shared" si="45"/>
        <v>1561.04</v>
      </c>
      <c r="BC123" s="37">
        <f t="shared" si="56"/>
        <v>60.04</v>
      </c>
      <c r="BD123" s="37">
        <f t="shared" si="56"/>
        <v>120.08</v>
      </c>
      <c r="BE123" s="34">
        <f t="shared" si="53"/>
        <v>398.64</v>
      </c>
      <c r="BF123" s="34">
        <f t="shared" si="54"/>
        <v>1072.28</v>
      </c>
      <c r="BG123" s="59" t="s">
        <v>1041</v>
      </c>
      <c r="BH123" s="29" t="s">
        <v>1042</v>
      </c>
      <c r="BI123" s="38" t="s">
        <v>1043</v>
      </c>
      <c r="BJ123" s="39" t="s">
        <v>1044</v>
      </c>
      <c r="BK123" s="39"/>
      <c r="BL123" s="39" t="s">
        <v>1045</v>
      </c>
      <c r="BM123" s="102" t="s">
        <v>1046</v>
      </c>
      <c r="BN123" s="39"/>
    </row>
    <row r="124" spans="1:66" s="6" customFormat="1" ht="39.950000000000003" hidden="1" customHeight="1" x14ac:dyDescent="0.25">
      <c r="A124" s="91" t="s">
        <v>1035</v>
      </c>
      <c r="B124" s="107">
        <v>79</v>
      </c>
      <c r="C124" s="108" t="s">
        <v>1047</v>
      </c>
      <c r="D124" s="108" t="s">
        <v>1048</v>
      </c>
      <c r="E124" s="39" t="s">
        <v>1038</v>
      </c>
      <c r="F124" s="29" t="s">
        <v>1039</v>
      </c>
      <c r="G124" s="38" t="s">
        <v>1040</v>
      </c>
      <c r="H124" s="88" t="s">
        <v>161</v>
      </c>
      <c r="I124" s="40" t="s">
        <v>162</v>
      </c>
      <c r="J124" s="40" t="s">
        <v>68</v>
      </c>
      <c r="K124" s="40" t="s">
        <v>1049</v>
      </c>
      <c r="L124" s="40" t="s">
        <v>11</v>
      </c>
      <c r="M124" s="96">
        <v>44348</v>
      </c>
      <c r="N124" s="96"/>
      <c r="O124" s="105">
        <v>44561</v>
      </c>
      <c r="P124" s="111"/>
      <c r="Q124" s="88" t="s">
        <v>69</v>
      </c>
      <c r="R124" s="88"/>
      <c r="S124" s="97" t="s">
        <v>148</v>
      </c>
      <c r="T124" s="77">
        <v>22</v>
      </c>
      <c r="U124" s="77" t="s">
        <v>88</v>
      </c>
      <c r="V124" s="47">
        <f t="shared" ca="1" si="46"/>
        <v>46</v>
      </c>
      <c r="W124" s="98">
        <v>10746300</v>
      </c>
      <c r="X124" s="77">
        <v>190</v>
      </c>
      <c r="Y124" s="31">
        <f t="shared" si="47"/>
        <v>200.13333333333333</v>
      </c>
      <c r="Z124" s="31">
        <f t="shared" si="48"/>
        <v>3002</v>
      </c>
      <c r="AA124" s="32">
        <v>6004</v>
      </c>
      <c r="AB124" s="32">
        <v>284</v>
      </c>
      <c r="AC124" s="99"/>
      <c r="AD124" s="99"/>
      <c r="AE124" s="100"/>
      <c r="AF124" s="101"/>
      <c r="AG124" s="99"/>
      <c r="AH124" s="99"/>
      <c r="AI124" s="32">
        <v>10984</v>
      </c>
      <c r="AJ124" s="33">
        <f t="shared" si="50"/>
        <v>17272</v>
      </c>
      <c r="AK124" s="54">
        <v>0</v>
      </c>
      <c r="AL124" s="31">
        <f t="shared" si="55"/>
        <v>390.26</v>
      </c>
      <c r="AM124" s="31">
        <f t="shared" si="55"/>
        <v>780.52</v>
      </c>
      <c r="AN124" s="34">
        <f t="shared" si="51"/>
        <v>780.52</v>
      </c>
      <c r="AO124" s="35">
        <f t="shared" si="52"/>
        <v>16491.48</v>
      </c>
      <c r="AP124" s="34">
        <f t="shared" si="40"/>
        <v>9206.1333333333332</v>
      </c>
      <c r="AQ124" s="34">
        <f t="shared" si="41"/>
        <v>16842.133333333331</v>
      </c>
      <c r="AR124" s="34">
        <f t="shared" si="42"/>
        <v>1257.5999999999999</v>
      </c>
      <c r="AS124" s="34"/>
      <c r="AT124" s="34"/>
      <c r="AU124" s="34"/>
      <c r="AV124" s="99"/>
      <c r="AW124" s="99"/>
      <c r="AX124" s="99"/>
      <c r="AY124" s="34">
        <f t="shared" si="43"/>
        <v>2515.1999999999998</v>
      </c>
      <c r="AZ124" s="31">
        <v>0.26</v>
      </c>
      <c r="BA124" s="32">
        <f t="shared" si="44"/>
        <v>780.52</v>
      </c>
      <c r="BB124" s="32">
        <f t="shared" si="45"/>
        <v>1561.04</v>
      </c>
      <c r="BC124" s="37">
        <f t="shared" si="56"/>
        <v>60.04</v>
      </c>
      <c r="BD124" s="37">
        <f t="shared" si="56"/>
        <v>120.08</v>
      </c>
      <c r="BE124" s="34">
        <f t="shared" si="53"/>
        <v>518.16</v>
      </c>
      <c r="BF124" s="34">
        <f t="shared" si="54"/>
        <v>1375.0639999999999</v>
      </c>
      <c r="BG124" s="59" t="s">
        <v>1041</v>
      </c>
      <c r="BH124" s="29" t="s">
        <v>1042</v>
      </c>
      <c r="BI124" s="38" t="s">
        <v>1043</v>
      </c>
      <c r="BJ124" s="39" t="s">
        <v>1044</v>
      </c>
      <c r="BK124" s="39"/>
      <c r="BL124" s="39" t="s">
        <v>1045</v>
      </c>
      <c r="BM124" s="102" t="s">
        <v>1046</v>
      </c>
      <c r="BN124" s="39"/>
    </row>
    <row r="125" spans="1:66" s="6" customFormat="1" ht="39.950000000000003" hidden="1" customHeight="1" x14ac:dyDescent="0.25">
      <c r="A125" s="91" t="s">
        <v>1050</v>
      </c>
      <c r="B125" s="109">
        <v>66</v>
      </c>
      <c r="C125" s="110" t="s">
        <v>1051</v>
      </c>
      <c r="D125" s="110" t="s">
        <v>1052</v>
      </c>
      <c r="E125" s="39" t="s">
        <v>1053</v>
      </c>
      <c r="F125" s="29" t="s">
        <v>1054</v>
      </c>
      <c r="G125" s="38" t="s">
        <v>1055</v>
      </c>
      <c r="H125" s="88" t="s">
        <v>161</v>
      </c>
      <c r="I125" s="40" t="s">
        <v>162</v>
      </c>
      <c r="J125" s="40" t="s">
        <v>68</v>
      </c>
      <c r="K125" s="40" t="s">
        <v>1056</v>
      </c>
      <c r="L125" s="40" t="s">
        <v>255</v>
      </c>
      <c r="M125" s="96">
        <v>44044</v>
      </c>
      <c r="N125" s="96"/>
      <c r="O125" s="105">
        <v>44196</v>
      </c>
      <c r="P125" s="95"/>
      <c r="Q125" s="88" t="s">
        <v>69</v>
      </c>
      <c r="R125" s="88"/>
      <c r="S125" s="97" t="s">
        <v>70</v>
      </c>
      <c r="T125" s="77">
        <v>20</v>
      </c>
      <c r="U125" s="77" t="s">
        <v>337</v>
      </c>
      <c r="V125" s="47">
        <f t="shared" ca="1" si="46"/>
        <v>46</v>
      </c>
      <c r="W125" s="98" t="e">
        <v>#N/A</v>
      </c>
      <c r="X125" s="77">
        <v>190</v>
      </c>
      <c r="Y125" s="31">
        <f t="shared" si="47"/>
        <v>200.13333333333333</v>
      </c>
      <c r="Z125" s="31">
        <f t="shared" si="48"/>
        <v>3002</v>
      </c>
      <c r="AA125" s="32">
        <v>6004</v>
      </c>
      <c r="AB125" s="32">
        <v>284</v>
      </c>
      <c r="AC125" s="99"/>
      <c r="AD125" s="99"/>
      <c r="AE125" s="100"/>
      <c r="AF125" s="101"/>
      <c r="AG125" s="99"/>
      <c r="AH125" s="99"/>
      <c r="AI125" s="32">
        <v>7000</v>
      </c>
      <c r="AJ125" s="33">
        <f t="shared" si="50"/>
        <v>13288</v>
      </c>
      <c r="AK125" s="54">
        <v>0</v>
      </c>
      <c r="AL125" s="31">
        <f t="shared" si="55"/>
        <v>390.26</v>
      </c>
      <c r="AM125" s="31">
        <f t="shared" si="55"/>
        <v>780.52</v>
      </c>
      <c r="AN125" s="34">
        <f t="shared" si="51"/>
        <v>780.52</v>
      </c>
      <c r="AO125" s="35">
        <f t="shared" si="52"/>
        <v>12507.48</v>
      </c>
      <c r="AP125" s="34">
        <f t="shared" si="40"/>
        <v>9206.1333333333332</v>
      </c>
      <c r="AQ125" s="34">
        <f t="shared" si="41"/>
        <v>10733.333333333334</v>
      </c>
      <c r="AR125" s="34">
        <f t="shared" si="42"/>
        <v>1257.5999999999999</v>
      </c>
      <c r="AS125" s="34"/>
      <c r="AT125" s="34"/>
      <c r="AU125" s="34"/>
      <c r="AV125" s="99"/>
      <c r="AW125" s="99"/>
      <c r="AX125" s="99"/>
      <c r="AY125" s="34">
        <f t="shared" si="43"/>
        <v>2515.1999999999998</v>
      </c>
      <c r="AZ125" s="31">
        <v>0.26</v>
      </c>
      <c r="BA125" s="32">
        <f t="shared" si="44"/>
        <v>780.52</v>
      </c>
      <c r="BB125" s="32">
        <f t="shared" si="45"/>
        <v>1561.04</v>
      </c>
      <c r="BC125" s="37">
        <f t="shared" si="56"/>
        <v>60.04</v>
      </c>
      <c r="BD125" s="37">
        <f t="shared" si="56"/>
        <v>120.08</v>
      </c>
      <c r="BE125" s="34">
        <f t="shared" si="53"/>
        <v>398.64</v>
      </c>
      <c r="BF125" s="34">
        <f t="shared" si="54"/>
        <v>1072.28</v>
      </c>
      <c r="BG125" s="29"/>
      <c r="BH125" s="29" t="s">
        <v>1057</v>
      </c>
      <c r="BI125" s="38" t="s">
        <v>1058</v>
      </c>
      <c r="BJ125" s="39" t="s">
        <v>1059</v>
      </c>
      <c r="BK125" s="39"/>
      <c r="BL125" s="39" t="s">
        <v>166</v>
      </c>
      <c r="BM125" s="102" t="s">
        <v>1060</v>
      </c>
      <c r="BN125" s="39"/>
    </row>
    <row r="126" spans="1:66" s="6" customFormat="1" ht="39.950000000000003" hidden="1" customHeight="1" x14ac:dyDescent="0.25">
      <c r="A126" s="91" t="s">
        <v>1061</v>
      </c>
      <c r="B126" s="109">
        <v>67</v>
      </c>
      <c r="C126" s="110" t="s">
        <v>1062</v>
      </c>
      <c r="D126" s="110" t="s">
        <v>1063</v>
      </c>
      <c r="E126" s="39" t="s">
        <v>1064</v>
      </c>
      <c r="F126" s="29" t="s">
        <v>1065</v>
      </c>
      <c r="G126" s="38" t="s">
        <v>1066</v>
      </c>
      <c r="H126" s="88" t="s">
        <v>161</v>
      </c>
      <c r="I126" s="40" t="s">
        <v>162</v>
      </c>
      <c r="J126" s="40" t="s">
        <v>68</v>
      </c>
      <c r="K126" s="40" t="s">
        <v>1008</v>
      </c>
      <c r="L126" s="40" t="s">
        <v>255</v>
      </c>
      <c r="M126" s="96">
        <v>44044</v>
      </c>
      <c r="N126" s="96"/>
      <c r="O126" s="105">
        <v>44196</v>
      </c>
      <c r="P126" s="95"/>
      <c r="Q126" s="88" t="s">
        <v>69</v>
      </c>
      <c r="R126" s="88"/>
      <c r="S126" s="97" t="s">
        <v>148</v>
      </c>
      <c r="T126" s="77">
        <v>9</v>
      </c>
      <c r="U126" s="77" t="s">
        <v>243</v>
      </c>
      <c r="V126" s="47">
        <f t="shared" ca="1" si="46"/>
        <v>42</v>
      </c>
      <c r="W126" s="98" t="e">
        <v>#N/A</v>
      </c>
      <c r="X126" s="77">
        <v>190</v>
      </c>
      <c r="Y126" s="31">
        <f t="shared" si="47"/>
        <v>200.13333333333333</v>
      </c>
      <c r="Z126" s="31">
        <f t="shared" si="48"/>
        <v>3002</v>
      </c>
      <c r="AA126" s="32">
        <v>6004</v>
      </c>
      <c r="AB126" s="32">
        <v>284</v>
      </c>
      <c r="AC126" s="99"/>
      <c r="AD126" s="99"/>
      <c r="AE126" s="100"/>
      <c r="AF126" s="101"/>
      <c r="AG126" s="99"/>
      <c r="AH126" s="99"/>
      <c r="AI126" s="32">
        <v>7000</v>
      </c>
      <c r="AJ126" s="33">
        <f t="shared" si="50"/>
        <v>13288</v>
      </c>
      <c r="AK126" s="54">
        <v>0</v>
      </c>
      <c r="AL126" s="31">
        <f t="shared" si="55"/>
        <v>390.26</v>
      </c>
      <c r="AM126" s="31">
        <f t="shared" si="55"/>
        <v>780.52</v>
      </c>
      <c r="AN126" s="34">
        <f t="shared" si="51"/>
        <v>780.52</v>
      </c>
      <c r="AO126" s="35">
        <f t="shared" si="52"/>
        <v>12507.48</v>
      </c>
      <c r="AP126" s="34">
        <f t="shared" si="40"/>
        <v>9206.1333333333332</v>
      </c>
      <c r="AQ126" s="34">
        <f t="shared" si="41"/>
        <v>10733.333333333334</v>
      </c>
      <c r="AR126" s="34">
        <f t="shared" si="42"/>
        <v>1257.5999999999999</v>
      </c>
      <c r="AS126" s="34"/>
      <c r="AT126" s="34"/>
      <c r="AU126" s="34"/>
      <c r="AV126" s="99"/>
      <c r="AW126" s="99"/>
      <c r="AX126" s="99"/>
      <c r="AY126" s="34">
        <f t="shared" si="43"/>
        <v>2515.1999999999998</v>
      </c>
      <c r="AZ126" s="31">
        <v>0.26</v>
      </c>
      <c r="BA126" s="32">
        <f t="shared" si="44"/>
        <v>780.52</v>
      </c>
      <c r="BB126" s="32">
        <f t="shared" si="45"/>
        <v>1561.04</v>
      </c>
      <c r="BC126" s="37">
        <f t="shared" si="56"/>
        <v>60.04</v>
      </c>
      <c r="BD126" s="37">
        <f t="shared" si="56"/>
        <v>120.08</v>
      </c>
      <c r="BE126" s="34">
        <f t="shared" si="53"/>
        <v>398.64</v>
      </c>
      <c r="BF126" s="34">
        <f t="shared" si="54"/>
        <v>1072.28</v>
      </c>
      <c r="BG126" s="29"/>
      <c r="BH126" s="29" t="s">
        <v>1067</v>
      </c>
      <c r="BI126" s="38" t="s">
        <v>1068</v>
      </c>
      <c r="BJ126" s="39" t="s">
        <v>1069</v>
      </c>
      <c r="BK126" s="39"/>
      <c r="BL126" s="39" t="s">
        <v>194</v>
      </c>
      <c r="BM126" s="102" t="s">
        <v>1070</v>
      </c>
      <c r="BN126" s="39"/>
    </row>
    <row r="127" spans="1:66" s="6" customFormat="1" ht="39.950000000000003" hidden="1" customHeight="1" x14ac:dyDescent="0.25">
      <c r="A127" s="91" t="s">
        <v>1071</v>
      </c>
      <c r="B127" s="109">
        <v>68</v>
      </c>
      <c r="C127" s="110" t="s">
        <v>1072</v>
      </c>
      <c r="D127" s="110" t="s">
        <v>1073</v>
      </c>
      <c r="E127" s="39" t="s">
        <v>1074</v>
      </c>
      <c r="F127" s="29" t="s">
        <v>1075</v>
      </c>
      <c r="G127" s="38" t="s">
        <v>1076</v>
      </c>
      <c r="H127" s="88" t="s">
        <v>161</v>
      </c>
      <c r="I127" s="40" t="s">
        <v>162</v>
      </c>
      <c r="J127" s="40" t="s">
        <v>68</v>
      </c>
      <c r="K127" s="40" t="s">
        <v>1020</v>
      </c>
      <c r="L127" s="40" t="s">
        <v>255</v>
      </c>
      <c r="M127" s="96">
        <v>44044</v>
      </c>
      <c r="N127" s="96"/>
      <c r="O127" s="105">
        <v>44196</v>
      </c>
      <c r="P127" s="95"/>
      <c r="Q127" s="88" t="s">
        <v>69</v>
      </c>
      <c r="R127" s="88"/>
      <c r="S127" s="97" t="s">
        <v>70</v>
      </c>
      <c r="T127" s="77">
        <v>21</v>
      </c>
      <c r="U127" s="77" t="s">
        <v>305</v>
      </c>
      <c r="V127" s="47">
        <f t="shared" ca="1" si="46"/>
        <v>48</v>
      </c>
      <c r="W127" s="98" t="e">
        <v>#N/A</v>
      </c>
      <c r="X127" s="77">
        <v>190</v>
      </c>
      <c r="Y127" s="31">
        <f t="shared" si="47"/>
        <v>200.13333333333333</v>
      </c>
      <c r="Z127" s="31">
        <f t="shared" si="48"/>
        <v>3002</v>
      </c>
      <c r="AA127" s="32">
        <v>6004</v>
      </c>
      <c r="AB127" s="32">
        <v>284</v>
      </c>
      <c r="AC127" s="99"/>
      <c r="AD127" s="99"/>
      <c r="AE127" s="100"/>
      <c r="AF127" s="101"/>
      <c r="AG127" s="99"/>
      <c r="AH127" s="99"/>
      <c r="AI127" s="32">
        <v>7000</v>
      </c>
      <c r="AJ127" s="33">
        <f t="shared" si="50"/>
        <v>13288</v>
      </c>
      <c r="AK127" s="54">
        <v>0</v>
      </c>
      <c r="AL127" s="31">
        <f t="shared" si="55"/>
        <v>390.26</v>
      </c>
      <c r="AM127" s="31">
        <f t="shared" si="55"/>
        <v>780.52</v>
      </c>
      <c r="AN127" s="34">
        <f t="shared" si="51"/>
        <v>780.52</v>
      </c>
      <c r="AO127" s="35">
        <f t="shared" si="52"/>
        <v>12507.48</v>
      </c>
      <c r="AP127" s="34">
        <f t="shared" si="40"/>
        <v>9206.1333333333332</v>
      </c>
      <c r="AQ127" s="34">
        <f t="shared" si="41"/>
        <v>10733.333333333334</v>
      </c>
      <c r="AR127" s="34">
        <f t="shared" si="42"/>
        <v>1257.5999999999999</v>
      </c>
      <c r="AS127" s="34"/>
      <c r="AT127" s="34"/>
      <c r="AU127" s="34"/>
      <c r="AV127" s="99"/>
      <c r="AW127" s="99"/>
      <c r="AX127" s="99"/>
      <c r="AY127" s="34">
        <f t="shared" si="43"/>
        <v>2515.1999999999998</v>
      </c>
      <c r="AZ127" s="31">
        <v>0.26</v>
      </c>
      <c r="BA127" s="32">
        <f t="shared" si="44"/>
        <v>780.52</v>
      </c>
      <c r="BB127" s="32">
        <f t="shared" si="45"/>
        <v>1561.04</v>
      </c>
      <c r="BC127" s="37">
        <f t="shared" si="56"/>
        <v>60.04</v>
      </c>
      <c r="BD127" s="37">
        <f t="shared" si="56"/>
        <v>120.08</v>
      </c>
      <c r="BE127" s="34">
        <f t="shared" si="53"/>
        <v>398.64</v>
      </c>
      <c r="BF127" s="34">
        <f t="shared" si="54"/>
        <v>1072.28</v>
      </c>
      <c r="BG127" s="29"/>
      <c r="BH127" s="29" t="s">
        <v>1077</v>
      </c>
      <c r="BI127" s="38" t="s">
        <v>969</v>
      </c>
      <c r="BJ127" s="39" t="s">
        <v>1078</v>
      </c>
      <c r="BK127" s="39"/>
      <c r="BL127" s="39" t="s">
        <v>194</v>
      </c>
      <c r="BM127" s="102" t="s">
        <v>1079</v>
      </c>
      <c r="BN127" s="39"/>
    </row>
    <row r="128" spans="1:66" s="6" customFormat="1" ht="39.950000000000003" hidden="1" customHeight="1" x14ac:dyDescent="0.25">
      <c r="A128" s="91" t="s">
        <v>1080</v>
      </c>
      <c r="B128" s="92">
        <v>76</v>
      </c>
      <c r="C128" s="93" t="s">
        <v>1081</v>
      </c>
      <c r="D128" s="93" t="s">
        <v>1082</v>
      </c>
      <c r="E128" s="94" t="s">
        <v>1083</v>
      </c>
      <c r="F128" s="95" t="s">
        <v>1084</v>
      </c>
      <c r="G128" s="77" t="s">
        <v>1085</v>
      </c>
      <c r="H128" s="88" t="s">
        <v>161</v>
      </c>
      <c r="I128" s="40" t="s">
        <v>162</v>
      </c>
      <c r="J128" s="40" t="s">
        <v>129</v>
      </c>
      <c r="K128" s="40" t="s">
        <v>130</v>
      </c>
      <c r="L128" s="40" t="s">
        <v>131</v>
      </c>
      <c r="M128" s="103">
        <v>44075</v>
      </c>
      <c r="N128" s="103"/>
      <c r="O128" s="77"/>
      <c r="P128" s="95"/>
      <c r="Q128" s="88" t="s">
        <v>69</v>
      </c>
      <c r="R128" s="88"/>
      <c r="S128" s="97" t="s">
        <v>70</v>
      </c>
      <c r="T128" s="77">
        <v>24</v>
      </c>
      <c r="U128" s="77" t="s">
        <v>103</v>
      </c>
      <c r="V128" s="47">
        <f t="shared" ca="1" si="46"/>
        <v>54</v>
      </c>
      <c r="W128" s="98">
        <v>10746700</v>
      </c>
      <c r="X128" s="77">
        <v>184</v>
      </c>
      <c r="Y128" s="31">
        <f t="shared" si="47"/>
        <v>200.13333333333333</v>
      </c>
      <c r="Z128" s="31">
        <f t="shared" si="48"/>
        <v>3002</v>
      </c>
      <c r="AA128" s="32">
        <v>6004</v>
      </c>
      <c r="AB128" s="32">
        <v>284</v>
      </c>
      <c r="AC128" s="99"/>
      <c r="AD128" s="99"/>
      <c r="AE128" s="100"/>
      <c r="AF128" s="101"/>
      <c r="AG128" s="99"/>
      <c r="AH128" s="99"/>
      <c r="AI128" s="32">
        <v>10984</v>
      </c>
      <c r="AJ128" s="33">
        <f t="shared" si="50"/>
        <v>17272</v>
      </c>
      <c r="AK128" s="54">
        <v>0</v>
      </c>
      <c r="AL128" s="31">
        <f t="shared" si="55"/>
        <v>390.26</v>
      </c>
      <c r="AM128" s="31">
        <f t="shared" si="55"/>
        <v>780.52</v>
      </c>
      <c r="AN128" s="34">
        <f t="shared" si="51"/>
        <v>780.52</v>
      </c>
      <c r="AO128" s="35">
        <f t="shared" si="52"/>
        <v>16491.48</v>
      </c>
      <c r="AP128" s="34">
        <f t="shared" si="40"/>
        <v>9206.1333333333332</v>
      </c>
      <c r="AQ128" s="34">
        <f t="shared" si="41"/>
        <v>16842.133333333331</v>
      </c>
      <c r="AR128" s="34">
        <f t="shared" si="42"/>
        <v>1257.5999999999999</v>
      </c>
      <c r="AS128" s="34"/>
      <c r="AT128" s="34"/>
      <c r="AU128" s="34"/>
      <c r="AV128" s="99"/>
      <c r="AW128" s="99"/>
      <c r="AX128" s="99"/>
      <c r="AY128" s="34">
        <f t="shared" si="43"/>
        <v>2515.1999999999998</v>
      </c>
      <c r="AZ128" s="31">
        <v>0.26</v>
      </c>
      <c r="BA128" s="32">
        <f t="shared" si="44"/>
        <v>780.52</v>
      </c>
      <c r="BB128" s="32">
        <f t="shared" si="45"/>
        <v>1561.04</v>
      </c>
      <c r="BC128" s="37">
        <f t="shared" si="56"/>
        <v>60.04</v>
      </c>
      <c r="BD128" s="37">
        <f t="shared" si="56"/>
        <v>120.08</v>
      </c>
      <c r="BE128" s="34">
        <f t="shared" si="53"/>
        <v>518.16</v>
      </c>
      <c r="BF128" s="34">
        <f t="shared" si="54"/>
        <v>1375.0639999999999</v>
      </c>
      <c r="BG128" s="59" t="s">
        <v>1086</v>
      </c>
      <c r="BH128" s="59" t="s">
        <v>1087</v>
      </c>
      <c r="BI128" s="38" t="s">
        <v>1088</v>
      </c>
      <c r="BJ128" s="39" t="s">
        <v>1089</v>
      </c>
      <c r="BK128" s="39"/>
      <c r="BL128" s="39" t="s">
        <v>166</v>
      </c>
      <c r="BM128" s="102" t="s">
        <v>1090</v>
      </c>
      <c r="BN128" s="39"/>
    </row>
    <row r="129" spans="1:66" s="6" customFormat="1" ht="39.950000000000003" hidden="1" customHeight="1" x14ac:dyDescent="0.25">
      <c r="A129" s="91" t="s">
        <v>1080</v>
      </c>
      <c r="B129" s="92">
        <v>76</v>
      </c>
      <c r="C129" s="93" t="s">
        <v>1082</v>
      </c>
      <c r="D129" s="44" t="s">
        <v>1091</v>
      </c>
      <c r="E129" s="94" t="s">
        <v>1083</v>
      </c>
      <c r="F129" s="95" t="s">
        <v>1084</v>
      </c>
      <c r="G129" s="77" t="s">
        <v>1085</v>
      </c>
      <c r="H129" s="88" t="s">
        <v>315</v>
      </c>
      <c r="I129" s="40" t="s">
        <v>316</v>
      </c>
      <c r="J129" s="40" t="s">
        <v>129</v>
      </c>
      <c r="K129" s="40" t="s">
        <v>130</v>
      </c>
      <c r="L129" s="40" t="s">
        <v>11</v>
      </c>
      <c r="M129" s="103"/>
      <c r="N129" s="103">
        <v>44927</v>
      </c>
      <c r="O129" s="105">
        <v>45657</v>
      </c>
      <c r="P129" s="95"/>
      <c r="Q129" s="88" t="s">
        <v>69</v>
      </c>
      <c r="R129" s="88"/>
      <c r="S129" s="97" t="s">
        <v>70</v>
      </c>
      <c r="T129" s="77">
        <v>24</v>
      </c>
      <c r="U129" s="77" t="s">
        <v>103</v>
      </c>
      <c r="V129" s="47">
        <f t="shared" ca="1" si="46"/>
        <v>54</v>
      </c>
      <c r="W129" s="98">
        <v>10746700</v>
      </c>
      <c r="X129" s="77">
        <v>184</v>
      </c>
      <c r="Y129" s="31">
        <f t="shared" si="47"/>
        <v>232.92466666666667</v>
      </c>
      <c r="Z129" s="31">
        <f t="shared" si="48"/>
        <v>3493.87</v>
      </c>
      <c r="AA129" s="32">
        <v>6987.74</v>
      </c>
      <c r="AB129" s="32">
        <v>284</v>
      </c>
      <c r="AC129" s="99"/>
      <c r="AD129" s="99"/>
      <c r="AE129" s="100"/>
      <c r="AF129" s="101"/>
      <c r="AG129" s="99"/>
      <c r="AH129" s="99"/>
      <c r="AI129" s="32">
        <v>10000</v>
      </c>
      <c r="AJ129" s="33">
        <f t="shared" si="50"/>
        <v>17271.739999999998</v>
      </c>
      <c r="AK129" s="54">
        <v>0</v>
      </c>
      <c r="AL129" s="31">
        <f t="shared" si="55"/>
        <v>454.20310000000001</v>
      </c>
      <c r="AM129" s="31">
        <f t="shared" si="55"/>
        <v>908.40620000000001</v>
      </c>
      <c r="AN129" s="34">
        <f t="shared" si="51"/>
        <v>908.40620000000001</v>
      </c>
      <c r="AO129" s="35">
        <f t="shared" si="52"/>
        <v>16363.333799999999</v>
      </c>
      <c r="AP129" s="34">
        <f t="shared" si="40"/>
        <v>10714.534666666666</v>
      </c>
      <c r="AQ129" s="34">
        <f t="shared" si="41"/>
        <v>15333.333333333332</v>
      </c>
      <c r="AR129" s="34">
        <f t="shared" si="42"/>
        <v>1454.348</v>
      </c>
      <c r="AS129" s="34"/>
      <c r="AT129" s="34"/>
      <c r="AU129" s="34"/>
      <c r="AV129" s="99"/>
      <c r="AW129" s="99"/>
      <c r="AX129" s="99"/>
      <c r="AY129" s="34">
        <f t="shared" si="43"/>
        <v>2908.6959999999999</v>
      </c>
      <c r="AZ129" s="31">
        <v>0.26</v>
      </c>
      <c r="BA129" s="32">
        <f t="shared" si="44"/>
        <v>908.40620000000001</v>
      </c>
      <c r="BB129" s="32">
        <f t="shared" si="45"/>
        <v>1816.8124</v>
      </c>
      <c r="BC129" s="37">
        <f t="shared" si="56"/>
        <v>69.877399999999994</v>
      </c>
      <c r="BD129" s="37">
        <f t="shared" si="56"/>
        <v>139.75479999999999</v>
      </c>
      <c r="BE129" s="34">
        <f t="shared" si="53"/>
        <v>518.15219999999988</v>
      </c>
      <c r="BF129" s="34">
        <f t="shared" si="54"/>
        <v>1386.8491199999996</v>
      </c>
      <c r="BG129" s="59" t="s">
        <v>1086</v>
      </c>
      <c r="BH129" s="59" t="s">
        <v>1087</v>
      </c>
      <c r="BI129" s="38" t="s">
        <v>1088</v>
      </c>
      <c r="BJ129" s="39" t="s">
        <v>1089</v>
      </c>
      <c r="BK129" s="39" t="s">
        <v>1092</v>
      </c>
      <c r="BL129" s="39" t="s">
        <v>166</v>
      </c>
      <c r="BM129" s="102" t="s">
        <v>1090</v>
      </c>
      <c r="BN129" s="39"/>
    </row>
    <row r="130" spans="1:66" s="6" customFormat="1" ht="39.950000000000003" hidden="1" customHeight="1" x14ac:dyDescent="0.25">
      <c r="A130" s="91" t="s">
        <v>1093</v>
      </c>
      <c r="B130" s="92">
        <v>71</v>
      </c>
      <c r="C130" s="93" t="s">
        <v>1094</v>
      </c>
      <c r="D130" s="93" t="s">
        <v>1095</v>
      </c>
      <c r="E130" s="40" t="s">
        <v>1096</v>
      </c>
      <c r="F130" s="95" t="s">
        <v>1097</v>
      </c>
      <c r="G130" s="77" t="s">
        <v>1098</v>
      </c>
      <c r="H130" s="88" t="s">
        <v>201</v>
      </c>
      <c r="I130" s="40" t="s">
        <v>202</v>
      </c>
      <c r="J130" s="40" t="s">
        <v>449</v>
      </c>
      <c r="K130" s="40" t="s">
        <v>449</v>
      </c>
      <c r="L130" s="40" t="s">
        <v>255</v>
      </c>
      <c r="M130" s="103">
        <v>44075</v>
      </c>
      <c r="N130" s="103"/>
      <c r="O130" s="105">
        <v>44196</v>
      </c>
      <c r="P130" s="95"/>
      <c r="Q130" s="88" t="s">
        <v>69</v>
      </c>
      <c r="R130" s="88"/>
      <c r="S130" s="97" t="s">
        <v>148</v>
      </c>
      <c r="T130" s="77">
        <v>26</v>
      </c>
      <c r="U130" s="77" t="s">
        <v>71</v>
      </c>
      <c r="V130" s="47">
        <f t="shared" ca="1" si="46"/>
        <v>41</v>
      </c>
      <c r="W130" s="98" t="e">
        <v>#N/A</v>
      </c>
      <c r="X130" s="77">
        <v>187</v>
      </c>
      <c r="Y130" s="31">
        <f t="shared" si="47"/>
        <v>153.1</v>
      </c>
      <c r="Z130" s="31">
        <f t="shared" si="48"/>
        <v>2296.5</v>
      </c>
      <c r="AA130" s="32">
        <v>4593</v>
      </c>
      <c r="AB130" s="32">
        <v>311</v>
      </c>
      <c r="AC130" s="99"/>
      <c r="AD130" s="99"/>
      <c r="AE130" s="99"/>
      <c r="AF130" s="104"/>
      <c r="AG130" s="99"/>
      <c r="AH130" s="99"/>
      <c r="AI130" s="32">
        <v>6500</v>
      </c>
      <c r="AJ130" s="33">
        <f t="shared" si="50"/>
        <v>11404</v>
      </c>
      <c r="AK130" s="54">
        <v>0</v>
      </c>
      <c r="AL130" s="31">
        <f t="shared" si="55"/>
        <v>298.54500000000002</v>
      </c>
      <c r="AM130" s="31">
        <f t="shared" si="55"/>
        <v>597.09</v>
      </c>
      <c r="AN130" s="34">
        <f t="shared" si="51"/>
        <v>597.09</v>
      </c>
      <c r="AO130" s="35">
        <f t="shared" si="52"/>
        <v>10806.91</v>
      </c>
      <c r="AP130" s="34">
        <f t="shared" si="40"/>
        <v>7042.5999999999995</v>
      </c>
      <c r="AQ130" s="34">
        <f t="shared" si="41"/>
        <v>9966.6666666666661</v>
      </c>
      <c r="AR130" s="34">
        <f t="shared" si="42"/>
        <v>980.8</v>
      </c>
      <c r="AS130" s="34"/>
      <c r="AT130" s="34"/>
      <c r="AU130" s="34"/>
      <c r="AV130" s="99"/>
      <c r="AW130" s="99"/>
      <c r="AX130" s="99"/>
      <c r="AY130" s="34">
        <f t="shared" si="43"/>
        <v>1961.6</v>
      </c>
      <c r="AZ130" s="31">
        <v>0.26</v>
      </c>
      <c r="BA130" s="32">
        <f t="shared" si="44"/>
        <v>597.09</v>
      </c>
      <c r="BB130" s="32">
        <f t="shared" si="45"/>
        <v>1194.18</v>
      </c>
      <c r="BC130" s="37">
        <f t="shared" si="56"/>
        <v>45.93</v>
      </c>
      <c r="BD130" s="37">
        <f t="shared" si="56"/>
        <v>91.86</v>
      </c>
      <c r="BE130" s="34">
        <f t="shared" si="53"/>
        <v>342.12</v>
      </c>
      <c r="BF130" s="34">
        <f t="shared" si="54"/>
        <v>911.24599999999975</v>
      </c>
      <c r="BG130" s="29"/>
      <c r="BH130" s="29" t="s">
        <v>1099</v>
      </c>
      <c r="BI130" s="38" t="s">
        <v>1100</v>
      </c>
      <c r="BJ130" s="39" t="s">
        <v>1101</v>
      </c>
      <c r="BK130" s="39"/>
      <c r="BL130" s="39" t="s">
        <v>166</v>
      </c>
      <c r="BM130" s="102" t="s">
        <v>1102</v>
      </c>
      <c r="BN130" s="39"/>
    </row>
    <row r="131" spans="1:66" s="6" customFormat="1" ht="39.950000000000003" hidden="1" customHeight="1" x14ac:dyDescent="0.25">
      <c r="A131" s="91" t="s">
        <v>1103</v>
      </c>
      <c r="B131" s="92">
        <v>72</v>
      </c>
      <c r="C131" s="93" t="s">
        <v>1104</v>
      </c>
      <c r="D131" s="93" t="s">
        <v>1105</v>
      </c>
      <c r="E131" s="86" t="s">
        <v>1106</v>
      </c>
      <c r="F131" s="84" t="s">
        <v>1107</v>
      </c>
      <c r="G131" s="77" t="s">
        <v>1108</v>
      </c>
      <c r="H131" s="88" t="s">
        <v>161</v>
      </c>
      <c r="I131" s="40" t="s">
        <v>162</v>
      </c>
      <c r="J131" s="40" t="s">
        <v>449</v>
      </c>
      <c r="K131" s="40" t="s">
        <v>450</v>
      </c>
      <c r="L131" s="40" t="s">
        <v>11</v>
      </c>
      <c r="M131" s="103">
        <v>44075</v>
      </c>
      <c r="N131" s="103"/>
      <c r="O131" s="77"/>
      <c r="P131" s="95"/>
      <c r="Q131" s="88" t="s">
        <v>69</v>
      </c>
      <c r="R131" s="88"/>
      <c r="S131" s="97" t="s">
        <v>148</v>
      </c>
      <c r="T131" s="77">
        <v>2</v>
      </c>
      <c r="U131" s="77" t="s">
        <v>175</v>
      </c>
      <c r="V131" s="47">
        <f t="shared" ca="1" si="46"/>
        <v>28</v>
      </c>
      <c r="W131" s="98">
        <v>10747200</v>
      </c>
      <c r="X131" s="77">
        <v>189</v>
      </c>
      <c r="Y131" s="31">
        <f t="shared" si="47"/>
        <v>200.13333333333333</v>
      </c>
      <c r="Z131" s="31">
        <f t="shared" si="48"/>
        <v>3002</v>
      </c>
      <c r="AA131" s="32">
        <v>6004</v>
      </c>
      <c r="AB131" s="32">
        <v>284</v>
      </c>
      <c r="AC131" s="99"/>
      <c r="AD131" s="99"/>
      <c r="AE131" s="100"/>
      <c r="AF131" s="101"/>
      <c r="AG131" s="99"/>
      <c r="AH131" s="99"/>
      <c r="AI131" s="32">
        <v>7000</v>
      </c>
      <c r="AJ131" s="33">
        <f t="shared" si="50"/>
        <v>13288</v>
      </c>
      <c r="AK131" s="54">
        <v>0</v>
      </c>
      <c r="AL131" s="31">
        <f t="shared" si="55"/>
        <v>390.26</v>
      </c>
      <c r="AM131" s="31">
        <f t="shared" si="55"/>
        <v>780.52</v>
      </c>
      <c r="AN131" s="34">
        <f t="shared" si="51"/>
        <v>780.52</v>
      </c>
      <c r="AO131" s="35">
        <f t="shared" si="52"/>
        <v>12507.48</v>
      </c>
      <c r="AP131" s="34">
        <f t="shared" si="40"/>
        <v>9206.1333333333332</v>
      </c>
      <c r="AQ131" s="34">
        <f t="shared" si="41"/>
        <v>10733.333333333334</v>
      </c>
      <c r="AR131" s="34">
        <f t="shared" si="42"/>
        <v>1257.5999999999999</v>
      </c>
      <c r="AS131" s="34"/>
      <c r="AT131" s="34"/>
      <c r="AU131" s="34"/>
      <c r="AV131" s="99"/>
      <c r="AW131" s="99"/>
      <c r="AX131" s="99"/>
      <c r="AY131" s="34">
        <f t="shared" si="43"/>
        <v>2515.1999999999998</v>
      </c>
      <c r="AZ131" s="31">
        <v>0.26</v>
      </c>
      <c r="BA131" s="32">
        <f t="shared" si="44"/>
        <v>780.52</v>
      </c>
      <c r="BB131" s="32">
        <f t="shared" si="45"/>
        <v>1561.04</v>
      </c>
      <c r="BC131" s="37">
        <f t="shared" si="56"/>
        <v>60.04</v>
      </c>
      <c r="BD131" s="37">
        <f t="shared" si="56"/>
        <v>120.08</v>
      </c>
      <c r="BE131" s="34">
        <f t="shared" si="53"/>
        <v>398.64</v>
      </c>
      <c r="BF131" s="34">
        <f t="shared" si="54"/>
        <v>1072.28</v>
      </c>
      <c r="BG131" s="59" t="s">
        <v>1109</v>
      </c>
      <c r="BH131" s="29" t="s">
        <v>1110</v>
      </c>
      <c r="BI131" s="38" t="s">
        <v>1111</v>
      </c>
      <c r="BJ131" s="39" t="s">
        <v>1112</v>
      </c>
      <c r="BK131" s="39"/>
      <c r="BL131" s="39" t="s">
        <v>1113</v>
      </c>
      <c r="BM131" s="102" t="s">
        <v>1114</v>
      </c>
      <c r="BN131" s="39"/>
    </row>
    <row r="132" spans="1:66" s="6" customFormat="1" ht="39.950000000000003" hidden="1" customHeight="1" x14ac:dyDescent="0.25">
      <c r="A132" s="91" t="s">
        <v>1115</v>
      </c>
      <c r="B132" s="92">
        <v>74</v>
      </c>
      <c r="C132" s="93" t="s">
        <v>1116</v>
      </c>
      <c r="D132" s="93" t="s">
        <v>1117</v>
      </c>
      <c r="E132" s="94" t="s">
        <v>1118</v>
      </c>
      <c r="F132" s="95" t="s">
        <v>1119</v>
      </c>
      <c r="G132" s="77" t="s">
        <v>1120</v>
      </c>
      <c r="H132" s="88" t="s">
        <v>161</v>
      </c>
      <c r="I132" s="40" t="s">
        <v>162</v>
      </c>
      <c r="J132" s="40" t="s">
        <v>280</v>
      </c>
      <c r="K132" s="40" t="s">
        <v>280</v>
      </c>
      <c r="L132" s="40" t="s">
        <v>11</v>
      </c>
      <c r="M132" s="103">
        <v>44075</v>
      </c>
      <c r="N132" s="103"/>
      <c r="O132" s="105">
        <v>44196</v>
      </c>
      <c r="P132" s="95"/>
      <c r="Q132" s="88" t="s">
        <v>69</v>
      </c>
      <c r="R132" s="112"/>
      <c r="S132" s="97" t="s">
        <v>148</v>
      </c>
      <c r="T132" s="77">
        <v>29</v>
      </c>
      <c r="U132" s="77" t="s">
        <v>88</v>
      </c>
      <c r="V132" s="47">
        <f t="shared" ca="1" si="46"/>
        <v>38</v>
      </c>
      <c r="W132" s="98">
        <v>10769400</v>
      </c>
      <c r="X132" s="77">
        <v>167</v>
      </c>
      <c r="Y132" s="31">
        <f t="shared" si="47"/>
        <v>200.13333333333333</v>
      </c>
      <c r="Z132" s="31">
        <f t="shared" si="48"/>
        <v>3002</v>
      </c>
      <c r="AA132" s="32">
        <v>6004</v>
      </c>
      <c r="AB132" s="32">
        <v>284</v>
      </c>
      <c r="AC132" s="99"/>
      <c r="AD132" s="99"/>
      <c r="AE132" s="99"/>
      <c r="AF132" s="104"/>
      <c r="AG132" s="99"/>
      <c r="AH132" s="99"/>
      <c r="AI132" s="32">
        <v>10984</v>
      </c>
      <c r="AJ132" s="33">
        <f t="shared" si="50"/>
        <v>17272</v>
      </c>
      <c r="AK132" s="54">
        <v>0</v>
      </c>
      <c r="AL132" s="31">
        <f t="shared" si="55"/>
        <v>390.26</v>
      </c>
      <c r="AM132" s="31">
        <f t="shared" si="55"/>
        <v>780.52</v>
      </c>
      <c r="AN132" s="34">
        <f t="shared" si="51"/>
        <v>780.52</v>
      </c>
      <c r="AO132" s="35">
        <f t="shared" si="52"/>
        <v>16491.48</v>
      </c>
      <c r="AP132" s="34">
        <f t="shared" si="40"/>
        <v>9206.1333333333332</v>
      </c>
      <c r="AQ132" s="34">
        <f t="shared" si="41"/>
        <v>16842.133333333331</v>
      </c>
      <c r="AR132" s="34">
        <f t="shared" si="42"/>
        <v>1257.5999999999999</v>
      </c>
      <c r="AS132" s="34"/>
      <c r="AT132" s="34"/>
      <c r="AU132" s="34"/>
      <c r="AV132" s="99"/>
      <c r="AW132" s="99"/>
      <c r="AX132" s="99"/>
      <c r="AY132" s="34">
        <f t="shared" si="43"/>
        <v>2515.1999999999998</v>
      </c>
      <c r="AZ132" s="31">
        <v>0.26</v>
      </c>
      <c r="BA132" s="32">
        <f t="shared" si="44"/>
        <v>780.52</v>
      </c>
      <c r="BB132" s="32">
        <f t="shared" si="45"/>
        <v>1561.04</v>
      </c>
      <c r="BC132" s="37">
        <f t="shared" si="56"/>
        <v>60.04</v>
      </c>
      <c r="BD132" s="37">
        <f t="shared" si="56"/>
        <v>120.08</v>
      </c>
      <c r="BE132" s="34">
        <f t="shared" si="53"/>
        <v>518.16</v>
      </c>
      <c r="BF132" s="34">
        <f t="shared" si="54"/>
        <v>1375.0639999999999</v>
      </c>
      <c r="BG132" s="29" t="s">
        <v>1121</v>
      </c>
      <c r="BH132" s="29" t="s">
        <v>1121</v>
      </c>
      <c r="BI132" s="38" t="s">
        <v>1122</v>
      </c>
      <c r="BJ132" s="39" t="s">
        <v>1123</v>
      </c>
      <c r="BK132" s="39"/>
      <c r="BL132" s="39" t="s">
        <v>154</v>
      </c>
      <c r="BM132" s="102" t="s">
        <v>1124</v>
      </c>
      <c r="BN132" s="39"/>
    </row>
    <row r="133" spans="1:66" s="6" customFormat="1" ht="39.950000000000003" hidden="1" customHeight="1" x14ac:dyDescent="0.25">
      <c r="A133" s="91" t="s">
        <v>1115</v>
      </c>
      <c r="B133" s="92">
        <v>12</v>
      </c>
      <c r="C133" s="93" t="s">
        <v>1125</v>
      </c>
      <c r="D133" s="93" t="s">
        <v>1126</v>
      </c>
      <c r="E133" s="94" t="s">
        <v>1118</v>
      </c>
      <c r="F133" s="95" t="s">
        <v>1119</v>
      </c>
      <c r="G133" s="77" t="s">
        <v>1120</v>
      </c>
      <c r="H133" s="88" t="s">
        <v>161</v>
      </c>
      <c r="I133" s="40" t="s">
        <v>162</v>
      </c>
      <c r="J133" s="40" t="s">
        <v>147</v>
      </c>
      <c r="K133" s="40" t="s">
        <v>147</v>
      </c>
      <c r="L133" s="40" t="s">
        <v>131</v>
      </c>
      <c r="M133" s="103">
        <v>44197</v>
      </c>
      <c r="N133" s="103"/>
      <c r="O133" s="77"/>
      <c r="P133" s="95"/>
      <c r="Q133" s="88" t="s">
        <v>69</v>
      </c>
      <c r="R133" s="112"/>
      <c r="S133" s="97" t="s">
        <v>148</v>
      </c>
      <c r="T133" s="77">
        <v>29</v>
      </c>
      <c r="U133" s="77" t="s">
        <v>88</v>
      </c>
      <c r="V133" s="47">
        <f t="shared" ca="1" si="46"/>
        <v>38</v>
      </c>
      <c r="W133" s="98">
        <v>10769400</v>
      </c>
      <c r="X133" s="77">
        <v>167</v>
      </c>
      <c r="Y133" s="31">
        <f t="shared" si="47"/>
        <v>200.13333333333333</v>
      </c>
      <c r="Z133" s="31">
        <f t="shared" si="48"/>
        <v>3002</v>
      </c>
      <c r="AA133" s="32">
        <v>6004</v>
      </c>
      <c r="AB133" s="32">
        <v>284</v>
      </c>
      <c r="AC133" s="99"/>
      <c r="AD133" s="99"/>
      <c r="AE133" s="99"/>
      <c r="AF133" s="104"/>
      <c r="AG133" s="99"/>
      <c r="AH133" s="99"/>
      <c r="AI133" s="32">
        <v>10984</v>
      </c>
      <c r="AJ133" s="33">
        <f t="shared" si="50"/>
        <v>17272</v>
      </c>
      <c r="AK133" s="54">
        <v>0</v>
      </c>
      <c r="AL133" s="31">
        <f t="shared" si="55"/>
        <v>390.26</v>
      </c>
      <c r="AM133" s="31">
        <f t="shared" si="55"/>
        <v>780.52</v>
      </c>
      <c r="AN133" s="34">
        <f t="shared" si="51"/>
        <v>780.52</v>
      </c>
      <c r="AO133" s="35">
        <f t="shared" si="52"/>
        <v>16491.48</v>
      </c>
      <c r="AP133" s="34">
        <f t="shared" si="40"/>
        <v>9206.1333333333332</v>
      </c>
      <c r="AQ133" s="34">
        <f t="shared" si="41"/>
        <v>16842.133333333331</v>
      </c>
      <c r="AR133" s="34">
        <f t="shared" si="42"/>
        <v>1257.5999999999999</v>
      </c>
      <c r="AS133" s="34"/>
      <c r="AT133" s="34"/>
      <c r="AU133" s="34"/>
      <c r="AV133" s="99"/>
      <c r="AW133" s="99"/>
      <c r="AX133" s="99"/>
      <c r="AY133" s="34">
        <f t="shared" si="43"/>
        <v>2515.1999999999998</v>
      </c>
      <c r="AZ133" s="31">
        <v>0.26</v>
      </c>
      <c r="BA133" s="32">
        <f t="shared" si="44"/>
        <v>780.52</v>
      </c>
      <c r="BB133" s="32">
        <f t="shared" si="45"/>
        <v>1561.04</v>
      </c>
      <c r="BC133" s="37">
        <f t="shared" si="56"/>
        <v>60.04</v>
      </c>
      <c r="BD133" s="37">
        <f t="shared" si="56"/>
        <v>120.08</v>
      </c>
      <c r="BE133" s="34">
        <f t="shared" si="53"/>
        <v>518.16</v>
      </c>
      <c r="BF133" s="34">
        <f t="shared" si="54"/>
        <v>1375.0639999999999</v>
      </c>
      <c r="BG133" s="29" t="s">
        <v>1121</v>
      </c>
      <c r="BH133" s="59" t="s">
        <v>1121</v>
      </c>
      <c r="BI133" s="38" t="s">
        <v>1127</v>
      </c>
      <c r="BJ133" s="39" t="s">
        <v>1128</v>
      </c>
      <c r="BK133" s="39"/>
      <c r="BL133" s="39" t="s">
        <v>154</v>
      </c>
      <c r="BM133" s="102" t="s">
        <v>1124</v>
      </c>
      <c r="BN133" s="39"/>
    </row>
    <row r="134" spans="1:66" s="6" customFormat="1" ht="39.950000000000003" hidden="1" customHeight="1" x14ac:dyDescent="0.25">
      <c r="A134" s="91" t="s">
        <v>1115</v>
      </c>
      <c r="B134" s="92">
        <v>12</v>
      </c>
      <c r="C134" s="93" t="s">
        <v>1126</v>
      </c>
      <c r="D134" s="44" t="s">
        <v>1129</v>
      </c>
      <c r="E134" s="94" t="s">
        <v>1118</v>
      </c>
      <c r="F134" s="95" t="s">
        <v>1119</v>
      </c>
      <c r="G134" s="77" t="s">
        <v>1120</v>
      </c>
      <c r="H134" s="88" t="s">
        <v>315</v>
      </c>
      <c r="I134" s="40" t="s">
        <v>316</v>
      </c>
      <c r="J134" s="40" t="s">
        <v>280</v>
      </c>
      <c r="K134" s="40" t="s">
        <v>1130</v>
      </c>
      <c r="L134" s="40" t="s">
        <v>11</v>
      </c>
      <c r="M134" s="103"/>
      <c r="N134" s="103">
        <v>44927</v>
      </c>
      <c r="O134" s="103">
        <v>44985</v>
      </c>
      <c r="P134" s="95"/>
      <c r="Q134" s="88" t="s">
        <v>69</v>
      </c>
      <c r="R134" s="112"/>
      <c r="S134" s="97" t="s">
        <v>148</v>
      </c>
      <c r="T134" s="77">
        <v>29</v>
      </c>
      <c r="U134" s="77" t="s">
        <v>88</v>
      </c>
      <c r="V134" s="47">
        <f t="shared" ca="1" si="46"/>
        <v>38</v>
      </c>
      <c r="W134" s="98">
        <v>10769400</v>
      </c>
      <c r="X134" s="77">
        <v>167</v>
      </c>
      <c r="Y134" s="31">
        <f t="shared" si="47"/>
        <v>232.92466666666667</v>
      </c>
      <c r="Z134" s="31">
        <f t="shared" si="48"/>
        <v>3493.87</v>
      </c>
      <c r="AA134" s="32">
        <v>6987.74</v>
      </c>
      <c r="AB134" s="32">
        <v>284</v>
      </c>
      <c r="AC134" s="99"/>
      <c r="AD134" s="99"/>
      <c r="AE134" s="99"/>
      <c r="AF134" s="104"/>
      <c r="AG134" s="99"/>
      <c r="AH134" s="99"/>
      <c r="AI134" s="32">
        <v>10000</v>
      </c>
      <c r="AJ134" s="33">
        <f t="shared" si="50"/>
        <v>17271.739999999998</v>
      </c>
      <c r="AK134" s="54">
        <v>0</v>
      </c>
      <c r="AL134" s="31">
        <f t="shared" si="55"/>
        <v>454.20310000000001</v>
      </c>
      <c r="AM134" s="31">
        <f t="shared" si="55"/>
        <v>908.40620000000001</v>
      </c>
      <c r="AN134" s="34">
        <f t="shared" si="51"/>
        <v>908.40620000000001</v>
      </c>
      <c r="AO134" s="35">
        <f t="shared" si="52"/>
        <v>16363.333799999999</v>
      </c>
      <c r="AP134" s="34">
        <f t="shared" si="40"/>
        <v>10714.534666666666</v>
      </c>
      <c r="AQ134" s="34">
        <f t="shared" si="41"/>
        <v>15333.333333333332</v>
      </c>
      <c r="AR134" s="34">
        <f t="shared" si="42"/>
        <v>1454.348</v>
      </c>
      <c r="AS134" s="34"/>
      <c r="AT134" s="34"/>
      <c r="AU134" s="34"/>
      <c r="AV134" s="99"/>
      <c r="AW134" s="99"/>
      <c r="AX134" s="99"/>
      <c r="AY134" s="34">
        <f t="shared" si="43"/>
        <v>2908.6959999999999</v>
      </c>
      <c r="AZ134" s="31">
        <v>0.26</v>
      </c>
      <c r="BA134" s="32">
        <f t="shared" si="44"/>
        <v>908.40620000000001</v>
      </c>
      <c r="BB134" s="32">
        <f t="shared" si="45"/>
        <v>1816.8124</v>
      </c>
      <c r="BC134" s="37">
        <f t="shared" si="56"/>
        <v>69.877399999999994</v>
      </c>
      <c r="BD134" s="37">
        <f t="shared" si="56"/>
        <v>139.75479999999999</v>
      </c>
      <c r="BE134" s="34">
        <f t="shared" si="53"/>
        <v>518.15219999999988</v>
      </c>
      <c r="BF134" s="34">
        <f t="shared" si="54"/>
        <v>1386.8491199999996</v>
      </c>
      <c r="BG134" s="29" t="s">
        <v>1121</v>
      </c>
      <c r="BH134" s="59" t="s">
        <v>1121</v>
      </c>
      <c r="BI134" s="38" t="s">
        <v>1127</v>
      </c>
      <c r="BJ134" s="39" t="s">
        <v>1128</v>
      </c>
      <c r="BK134" s="39" t="s">
        <v>1131</v>
      </c>
      <c r="BL134" s="39" t="s">
        <v>154</v>
      </c>
      <c r="BM134" s="102" t="s">
        <v>1124</v>
      </c>
      <c r="BN134" s="39"/>
    </row>
    <row r="135" spans="1:66" s="6" customFormat="1" ht="39.950000000000003" hidden="1" customHeight="1" x14ac:dyDescent="0.25">
      <c r="A135" s="91" t="s">
        <v>1132</v>
      </c>
      <c r="B135" s="92">
        <v>75</v>
      </c>
      <c r="C135" s="93" t="s">
        <v>1133</v>
      </c>
      <c r="D135" s="93" t="s">
        <v>1134</v>
      </c>
      <c r="E135" s="40" t="s">
        <v>1135</v>
      </c>
      <c r="F135" s="95" t="s">
        <v>1136</v>
      </c>
      <c r="G135" s="77" t="s">
        <v>1137</v>
      </c>
      <c r="H135" s="88" t="s">
        <v>84</v>
      </c>
      <c r="I135" s="40" t="s">
        <v>1138</v>
      </c>
      <c r="J135" s="40" t="s">
        <v>449</v>
      </c>
      <c r="K135" s="40" t="s">
        <v>147</v>
      </c>
      <c r="L135" s="40" t="s">
        <v>255</v>
      </c>
      <c r="M135" s="103">
        <v>44090</v>
      </c>
      <c r="N135" s="103"/>
      <c r="O135" s="105">
        <v>44196</v>
      </c>
      <c r="P135" s="95"/>
      <c r="Q135" s="88" t="s">
        <v>69</v>
      </c>
      <c r="R135" s="112"/>
      <c r="S135" s="97" t="s">
        <v>148</v>
      </c>
      <c r="T135" s="77">
        <v>23</v>
      </c>
      <c r="U135" s="77" t="s">
        <v>243</v>
      </c>
      <c r="V135" s="47">
        <f t="shared" ca="1" si="46"/>
        <v>46</v>
      </c>
      <c r="W135" s="98" t="e">
        <v>#N/A</v>
      </c>
      <c r="X135" s="77">
        <v>187</v>
      </c>
      <c r="Y135" s="31">
        <f t="shared" si="47"/>
        <v>232.92466666666667</v>
      </c>
      <c r="Z135" s="31">
        <f t="shared" si="48"/>
        <v>3493.87</v>
      </c>
      <c r="AA135" s="32">
        <v>6987.74</v>
      </c>
      <c r="AB135" s="32">
        <v>284</v>
      </c>
      <c r="AC135" s="99"/>
      <c r="AD135" s="99"/>
      <c r="AE135" s="99"/>
      <c r="AF135" s="104"/>
      <c r="AG135" s="99"/>
      <c r="AH135" s="99"/>
      <c r="AI135" s="32">
        <v>11283.15</v>
      </c>
      <c r="AJ135" s="33">
        <f t="shared" si="50"/>
        <v>18554.89</v>
      </c>
      <c r="AK135" s="54">
        <v>0</v>
      </c>
      <c r="AL135" s="31">
        <f t="shared" si="55"/>
        <v>454.20310000000001</v>
      </c>
      <c r="AM135" s="31">
        <f t="shared" si="55"/>
        <v>908.40620000000001</v>
      </c>
      <c r="AN135" s="34">
        <f t="shared" si="51"/>
        <v>908.40620000000001</v>
      </c>
      <c r="AO135" s="35">
        <f t="shared" si="52"/>
        <v>17646.483799999998</v>
      </c>
      <c r="AP135" s="34">
        <f t="shared" si="40"/>
        <v>10714.534666666666</v>
      </c>
      <c r="AQ135" s="34">
        <f t="shared" si="41"/>
        <v>17300.829999999998</v>
      </c>
      <c r="AR135" s="34">
        <f t="shared" si="42"/>
        <v>1454.348</v>
      </c>
      <c r="AS135" s="34"/>
      <c r="AT135" s="34"/>
      <c r="AU135" s="34"/>
      <c r="AV135" s="99"/>
      <c r="AW135" s="99"/>
      <c r="AX135" s="99"/>
      <c r="AY135" s="34">
        <f t="shared" si="43"/>
        <v>2908.6959999999999</v>
      </c>
      <c r="AZ135" s="31">
        <v>0.26</v>
      </c>
      <c r="BA135" s="32">
        <f t="shared" si="44"/>
        <v>908.40620000000001</v>
      </c>
      <c r="BB135" s="32">
        <f t="shared" si="45"/>
        <v>1816.8124</v>
      </c>
      <c r="BC135" s="37">
        <f t="shared" si="56"/>
        <v>69.877399999999994</v>
      </c>
      <c r="BD135" s="37">
        <f t="shared" si="56"/>
        <v>139.75479999999999</v>
      </c>
      <c r="BE135" s="34">
        <f t="shared" si="53"/>
        <v>556.64670000000001</v>
      </c>
      <c r="BF135" s="34">
        <f t="shared" si="54"/>
        <v>1484.3685199999995</v>
      </c>
      <c r="BG135" s="29"/>
      <c r="BH135" s="29" t="s">
        <v>1139</v>
      </c>
      <c r="BI135" s="38" t="s">
        <v>1140</v>
      </c>
      <c r="BJ135" s="39" t="s">
        <v>1141</v>
      </c>
      <c r="BK135" s="39"/>
      <c r="BL135" s="39" t="s">
        <v>1142</v>
      </c>
      <c r="BM135" s="102"/>
      <c r="BN135" s="39"/>
    </row>
    <row r="136" spans="1:66" s="6" customFormat="1" ht="39.950000000000003" hidden="1" customHeight="1" x14ac:dyDescent="0.25">
      <c r="A136" s="91" t="s">
        <v>1143</v>
      </c>
      <c r="B136" s="92">
        <v>77</v>
      </c>
      <c r="C136" s="93" t="s">
        <v>1144</v>
      </c>
      <c r="D136" s="93" t="s">
        <v>1145</v>
      </c>
      <c r="E136" s="94" t="s">
        <v>1146</v>
      </c>
      <c r="F136" s="95" t="s">
        <v>1147</v>
      </c>
      <c r="G136" s="77" t="s">
        <v>1148</v>
      </c>
      <c r="H136" s="88" t="s">
        <v>84</v>
      </c>
      <c r="I136" s="40" t="s">
        <v>1149</v>
      </c>
      <c r="J136" s="40" t="s">
        <v>86</v>
      </c>
      <c r="K136" s="40" t="s">
        <v>938</v>
      </c>
      <c r="L136" s="40" t="s">
        <v>11</v>
      </c>
      <c r="M136" s="96">
        <v>44090</v>
      </c>
      <c r="N136" s="96"/>
      <c r="O136" s="105">
        <v>44681</v>
      </c>
      <c r="P136" s="95"/>
      <c r="Q136" s="88" t="s">
        <v>69</v>
      </c>
      <c r="R136" s="88"/>
      <c r="S136" s="97" t="s">
        <v>70</v>
      </c>
      <c r="T136" s="77">
        <v>28</v>
      </c>
      <c r="U136" s="77" t="s">
        <v>88</v>
      </c>
      <c r="V136" s="47">
        <f t="shared" ca="1" si="46"/>
        <v>31</v>
      </c>
      <c r="W136" s="98">
        <v>10748200</v>
      </c>
      <c r="X136" s="77">
        <v>194</v>
      </c>
      <c r="Y136" s="31">
        <f t="shared" si="47"/>
        <v>232.92466666666667</v>
      </c>
      <c r="Z136" s="31">
        <f t="shared" si="48"/>
        <v>3493.87</v>
      </c>
      <c r="AA136" s="32">
        <v>6987.74</v>
      </c>
      <c r="AB136" s="32">
        <v>284</v>
      </c>
      <c r="AC136" s="99"/>
      <c r="AD136" s="99"/>
      <c r="AE136" s="99"/>
      <c r="AF136" s="104"/>
      <c r="AG136" s="99"/>
      <c r="AH136" s="99"/>
      <c r="AI136" s="32">
        <v>11283.15</v>
      </c>
      <c r="AJ136" s="33">
        <f t="shared" si="50"/>
        <v>18554.89</v>
      </c>
      <c r="AK136" s="54">
        <v>0</v>
      </c>
      <c r="AL136" s="31">
        <f t="shared" si="55"/>
        <v>454.20310000000001</v>
      </c>
      <c r="AM136" s="31">
        <f t="shared" si="55"/>
        <v>908.40620000000001</v>
      </c>
      <c r="AN136" s="34">
        <f t="shared" si="51"/>
        <v>908.40620000000001</v>
      </c>
      <c r="AO136" s="35">
        <f t="shared" si="52"/>
        <v>17646.483799999998</v>
      </c>
      <c r="AP136" s="34">
        <f t="shared" si="40"/>
        <v>10714.534666666666</v>
      </c>
      <c r="AQ136" s="34">
        <f t="shared" si="41"/>
        <v>17300.829999999998</v>
      </c>
      <c r="AR136" s="34">
        <f t="shared" si="42"/>
        <v>1454.348</v>
      </c>
      <c r="AS136" s="34"/>
      <c r="AT136" s="34"/>
      <c r="AU136" s="34"/>
      <c r="AV136" s="99"/>
      <c r="AW136" s="99"/>
      <c r="AX136" s="99"/>
      <c r="AY136" s="34">
        <f t="shared" si="43"/>
        <v>2908.6959999999999</v>
      </c>
      <c r="AZ136" s="31">
        <v>0.26</v>
      </c>
      <c r="BA136" s="32">
        <f t="shared" si="44"/>
        <v>908.40620000000001</v>
      </c>
      <c r="BB136" s="32">
        <f t="shared" si="45"/>
        <v>1816.8124</v>
      </c>
      <c r="BC136" s="37">
        <f t="shared" si="56"/>
        <v>69.877399999999994</v>
      </c>
      <c r="BD136" s="37">
        <f t="shared" si="56"/>
        <v>139.75479999999999</v>
      </c>
      <c r="BE136" s="34">
        <f t="shared" si="53"/>
        <v>556.64670000000001</v>
      </c>
      <c r="BF136" s="34">
        <f t="shared" si="54"/>
        <v>1484.3685199999995</v>
      </c>
      <c r="BG136" s="59" t="s">
        <v>1150</v>
      </c>
      <c r="BH136" s="59" t="s">
        <v>1151</v>
      </c>
      <c r="BI136" s="38" t="s">
        <v>1152</v>
      </c>
      <c r="BJ136" s="39" t="s">
        <v>1153</v>
      </c>
      <c r="BK136" s="39"/>
      <c r="BL136" s="39" t="s">
        <v>194</v>
      </c>
      <c r="BM136" s="102" t="s">
        <v>1154</v>
      </c>
      <c r="BN136" s="39"/>
    </row>
    <row r="137" spans="1:66" s="6" customFormat="1" ht="39.950000000000003" hidden="1" customHeight="1" x14ac:dyDescent="0.25">
      <c r="A137" s="91" t="s">
        <v>1155</v>
      </c>
      <c r="B137" s="109">
        <v>78</v>
      </c>
      <c r="C137" s="110" t="s">
        <v>1156</v>
      </c>
      <c r="D137" s="110" t="s">
        <v>1157</v>
      </c>
      <c r="E137" s="39" t="s">
        <v>1158</v>
      </c>
      <c r="F137" s="29" t="s">
        <v>1159</v>
      </c>
      <c r="G137" s="38" t="s">
        <v>1160</v>
      </c>
      <c r="H137" s="88" t="s">
        <v>161</v>
      </c>
      <c r="I137" s="40" t="s">
        <v>162</v>
      </c>
      <c r="J137" s="40" t="s">
        <v>575</v>
      </c>
      <c r="K137" s="40" t="s">
        <v>68</v>
      </c>
      <c r="L137" s="40" t="s">
        <v>255</v>
      </c>
      <c r="M137" s="96">
        <v>44075</v>
      </c>
      <c r="N137" s="96"/>
      <c r="O137" s="105">
        <v>44196</v>
      </c>
      <c r="P137" s="95"/>
      <c r="Q137" s="88" t="s">
        <v>69</v>
      </c>
      <c r="R137" s="88"/>
      <c r="S137" s="97" t="s">
        <v>148</v>
      </c>
      <c r="T137" s="77">
        <v>20</v>
      </c>
      <c r="U137" s="77" t="s">
        <v>88</v>
      </c>
      <c r="V137" s="47">
        <f t="shared" ca="1" si="46"/>
        <v>31</v>
      </c>
      <c r="W137" s="98" t="e">
        <v>#N/A</v>
      </c>
      <c r="X137" s="77">
        <v>190</v>
      </c>
      <c r="Y137" s="31">
        <f t="shared" si="47"/>
        <v>200.13333333333333</v>
      </c>
      <c r="Z137" s="31">
        <f t="shared" si="48"/>
        <v>3002</v>
      </c>
      <c r="AA137" s="32">
        <v>6004</v>
      </c>
      <c r="AB137" s="32">
        <v>284</v>
      </c>
      <c r="AC137" s="99"/>
      <c r="AD137" s="99"/>
      <c r="AE137" s="100"/>
      <c r="AF137" s="101"/>
      <c r="AG137" s="99"/>
      <c r="AH137" s="99"/>
      <c r="AI137" s="32">
        <v>7000</v>
      </c>
      <c r="AJ137" s="33">
        <f t="shared" si="50"/>
        <v>13288</v>
      </c>
      <c r="AK137" s="54">
        <v>0</v>
      </c>
      <c r="AL137" s="31">
        <f t="shared" si="55"/>
        <v>390.26</v>
      </c>
      <c r="AM137" s="31">
        <f t="shared" si="55"/>
        <v>780.52</v>
      </c>
      <c r="AN137" s="34">
        <f t="shared" si="51"/>
        <v>780.52</v>
      </c>
      <c r="AO137" s="35">
        <f t="shared" si="52"/>
        <v>12507.48</v>
      </c>
      <c r="AP137" s="34">
        <f t="shared" si="40"/>
        <v>9206.1333333333332</v>
      </c>
      <c r="AQ137" s="34">
        <f t="shared" si="41"/>
        <v>10733.333333333334</v>
      </c>
      <c r="AR137" s="34">
        <f t="shared" si="42"/>
        <v>1257.5999999999999</v>
      </c>
      <c r="AS137" s="34"/>
      <c r="AT137" s="34"/>
      <c r="AU137" s="34"/>
      <c r="AV137" s="99"/>
      <c r="AW137" s="99"/>
      <c r="AX137" s="99"/>
      <c r="AY137" s="34">
        <f t="shared" si="43"/>
        <v>2515.1999999999998</v>
      </c>
      <c r="AZ137" s="31">
        <v>0.26</v>
      </c>
      <c r="BA137" s="32">
        <f t="shared" si="44"/>
        <v>780.52</v>
      </c>
      <c r="BB137" s="32">
        <f t="shared" si="45"/>
        <v>1561.04</v>
      </c>
      <c r="BC137" s="37">
        <f t="shared" si="56"/>
        <v>60.04</v>
      </c>
      <c r="BD137" s="37">
        <f t="shared" si="56"/>
        <v>120.08</v>
      </c>
      <c r="BE137" s="34">
        <f t="shared" si="53"/>
        <v>398.64</v>
      </c>
      <c r="BF137" s="34">
        <f t="shared" si="54"/>
        <v>1072.28</v>
      </c>
      <c r="BG137" s="29"/>
      <c r="BH137" s="29" t="s">
        <v>1161</v>
      </c>
      <c r="BI137" s="38" t="s">
        <v>1162</v>
      </c>
      <c r="BJ137" s="39" t="s">
        <v>1163</v>
      </c>
      <c r="BK137" s="39"/>
      <c r="BL137" s="39" t="s">
        <v>1164</v>
      </c>
      <c r="BM137" s="102" t="s">
        <v>1165</v>
      </c>
      <c r="BN137" s="39"/>
    </row>
    <row r="138" spans="1:66" s="6" customFormat="1" ht="39.950000000000003" hidden="1" customHeight="1" x14ac:dyDescent="0.25">
      <c r="A138" s="91" t="s">
        <v>1166</v>
      </c>
      <c r="B138" s="92">
        <v>79</v>
      </c>
      <c r="C138" s="93" t="s">
        <v>1167</v>
      </c>
      <c r="D138" s="93" t="s">
        <v>1168</v>
      </c>
      <c r="E138" s="106" t="s">
        <v>1169</v>
      </c>
      <c r="F138" s="29" t="s">
        <v>1170</v>
      </c>
      <c r="G138" s="38" t="s">
        <v>1171</v>
      </c>
      <c r="H138" s="88" t="s">
        <v>161</v>
      </c>
      <c r="I138" s="40" t="s">
        <v>162</v>
      </c>
      <c r="J138" s="40" t="s">
        <v>68</v>
      </c>
      <c r="K138" s="40" t="s">
        <v>1049</v>
      </c>
      <c r="L138" s="40" t="s">
        <v>11</v>
      </c>
      <c r="M138" s="96">
        <v>44044</v>
      </c>
      <c r="N138" s="96"/>
      <c r="O138" s="105">
        <v>44408</v>
      </c>
      <c r="P138" s="95"/>
      <c r="Q138" s="88" t="s">
        <v>69</v>
      </c>
      <c r="R138" s="88"/>
      <c r="S138" s="97" t="s">
        <v>70</v>
      </c>
      <c r="T138" s="77">
        <v>7</v>
      </c>
      <c r="U138" s="77" t="s">
        <v>103</v>
      </c>
      <c r="V138" s="47">
        <f t="shared" ca="1" si="46"/>
        <v>68</v>
      </c>
      <c r="W138" s="98">
        <v>5437600</v>
      </c>
      <c r="X138" s="77">
        <v>190</v>
      </c>
      <c r="Y138" s="31">
        <f t="shared" si="47"/>
        <v>200.13333333333333</v>
      </c>
      <c r="Z138" s="31">
        <f t="shared" si="48"/>
        <v>3002</v>
      </c>
      <c r="AA138" s="32">
        <v>6004</v>
      </c>
      <c r="AB138" s="32">
        <v>284</v>
      </c>
      <c r="AC138" s="99"/>
      <c r="AD138" s="99"/>
      <c r="AE138" s="100"/>
      <c r="AF138" s="101"/>
      <c r="AG138" s="99"/>
      <c r="AH138" s="99"/>
      <c r="AI138" s="32">
        <v>10984</v>
      </c>
      <c r="AJ138" s="33">
        <f t="shared" si="50"/>
        <v>17272</v>
      </c>
      <c r="AK138" s="54">
        <v>0</v>
      </c>
      <c r="AL138" s="31">
        <f t="shared" si="55"/>
        <v>390.26</v>
      </c>
      <c r="AM138" s="31">
        <f t="shared" si="55"/>
        <v>780.52</v>
      </c>
      <c r="AN138" s="34">
        <f t="shared" si="51"/>
        <v>780.52</v>
      </c>
      <c r="AO138" s="35">
        <f t="shared" si="52"/>
        <v>16491.48</v>
      </c>
      <c r="AP138" s="34">
        <f t="shared" si="40"/>
        <v>9206.1333333333332</v>
      </c>
      <c r="AQ138" s="34">
        <f t="shared" si="41"/>
        <v>16842.133333333331</v>
      </c>
      <c r="AR138" s="34">
        <f t="shared" si="42"/>
        <v>1257.5999999999999</v>
      </c>
      <c r="AS138" s="34"/>
      <c r="AT138" s="34"/>
      <c r="AU138" s="34"/>
      <c r="AV138" s="99"/>
      <c r="AW138" s="99"/>
      <c r="AX138" s="99"/>
      <c r="AY138" s="34">
        <f t="shared" si="43"/>
        <v>2515.1999999999998</v>
      </c>
      <c r="AZ138" s="31">
        <v>0.19</v>
      </c>
      <c r="BA138" s="32">
        <f t="shared" si="44"/>
        <v>570.38</v>
      </c>
      <c r="BB138" s="32">
        <f t="shared" si="45"/>
        <v>1140.76</v>
      </c>
      <c r="BC138" s="37">
        <f t="shared" si="56"/>
        <v>60.04</v>
      </c>
      <c r="BD138" s="37">
        <f t="shared" si="56"/>
        <v>120.08</v>
      </c>
      <c r="BE138" s="34">
        <f t="shared" si="53"/>
        <v>518.16</v>
      </c>
      <c r="BF138" s="34">
        <f t="shared" si="54"/>
        <v>1375.0639999999999</v>
      </c>
      <c r="BG138" s="29"/>
      <c r="BH138" s="29" t="s">
        <v>1172</v>
      </c>
      <c r="BI138" s="38" t="s">
        <v>1173</v>
      </c>
      <c r="BJ138" s="39" t="s">
        <v>1174</v>
      </c>
      <c r="BK138" s="39"/>
      <c r="BL138" s="39" t="s">
        <v>1175</v>
      </c>
      <c r="BM138" s="102" t="s">
        <v>1176</v>
      </c>
      <c r="BN138" s="39"/>
    </row>
    <row r="139" spans="1:66" s="6" customFormat="1" ht="39.950000000000003" hidden="1" customHeight="1" x14ac:dyDescent="0.25">
      <c r="A139" s="91" t="s">
        <v>1177</v>
      </c>
      <c r="B139" s="92">
        <v>80</v>
      </c>
      <c r="C139" s="93" t="s">
        <v>1178</v>
      </c>
      <c r="D139" s="93" t="s">
        <v>1179</v>
      </c>
      <c r="E139" s="106" t="s">
        <v>1180</v>
      </c>
      <c r="F139" s="29" t="s">
        <v>1181</v>
      </c>
      <c r="G139" s="38" t="s">
        <v>1182</v>
      </c>
      <c r="H139" s="88" t="s">
        <v>161</v>
      </c>
      <c r="I139" s="40" t="s">
        <v>162</v>
      </c>
      <c r="J139" s="40" t="s">
        <v>68</v>
      </c>
      <c r="K139" s="40" t="s">
        <v>1183</v>
      </c>
      <c r="L139" s="40" t="s">
        <v>11</v>
      </c>
      <c r="M139" s="96">
        <v>44075</v>
      </c>
      <c r="N139" s="96"/>
      <c r="O139" s="77"/>
      <c r="P139" s="95"/>
      <c r="Q139" s="88" t="s">
        <v>69</v>
      </c>
      <c r="R139" s="88"/>
      <c r="S139" s="97" t="s">
        <v>70</v>
      </c>
      <c r="T139" s="77">
        <v>3</v>
      </c>
      <c r="U139" s="77" t="s">
        <v>243</v>
      </c>
      <c r="V139" s="47">
        <f t="shared" ca="1" si="46"/>
        <v>62</v>
      </c>
      <c r="W139" s="98">
        <v>10781600</v>
      </c>
      <c r="X139" s="77">
        <v>190</v>
      </c>
      <c r="Y139" s="31">
        <f t="shared" si="47"/>
        <v>200.13333333333333</v>
      </c>
      <c r="Z139" s="31">
        <f t="shared" si="48"/>
        <v>3002</v>
      </c>
      <c r="AA139" s="32">
        <v>6004</v>
      </c>
      <c r="AB139" s="32">
        <v>284</v>
      </c>
      <c r="AC139" s="99"/>
      <c r="AD139" s="99"/>
      <c r="AE139" s="100"/>
      <c r="AF139" s="101"/>
      <c r="AG139" s="99"/>
      <c r="AH139" s="99"/>
      <c r="AI139" s="32">
        <v>10984</v>
      </c>
      <c r="AJ139" s="33">
        <f t="shared" si="50"/>
        <v>17272</v>
      </c>
      <c r="AK139" s="54">
        <v>0</v>
      </c>
      <c r="AL139" s="31">
        <f t="shared" si="55"/>
        <v>390.26</v>
      </c>
      <c r="AM139" s="31">
        <f t="shared" si="55"/>
        <v>780.52</v>
      </c>
      <c r="AN139" s="34">
        <f t="shared" si="51"/>
        <v>780.52</v>
      </c>
      <c r="AO139" s="35">
        <f t="shared" si="52"/>
        <v>16491.48</v>
      </c>
      <c r="AP139" s="34">
        <f t="shared" si="40"/>
        <v>9206.1333333333332</v>
      </c>
      <c r="AQ139" s="34">
        <f t="shared" si="41"/>
        <v>16842.133333333331</v>
      </c>
      <c r="AR139" s="34">
        <f t="shared" si="42"/>
        <v>1257.5999999999999</v>
      </c>
      <c r="AS139" s="34"/>
      <c r="AT139" s="34"/>
      <c r="AU139" s="34"/>
      <c r="AV139" s="99"/>
      <c r="AW139" s="99"/>
      <c r="AX139" s="99"/>
      <c r="AY139" s="34">
        <f t="shared" si="43"/>
        <v>2515.1999999999998</v>
      </c>
      <c r="AZ139" s="31">
        <v>0.19</v>
      </c>
      <c r="BA139" s="32">
        <f t="shared" si="44"/>
        <v>570.38</v>
      </c>
      <c r="BB139" s="32">
        <f t="shared" si="45"/>
        <v>1140.76</v>
      </c>
      <c r="BC139" s="37">
        <f t="shared" si="56"/>
        <v>60.04</v>
      </c>
      <c r="BD139" s="37">
        <f t="shared" si="56"/>
        <v>120.08</v>
      </c>
      <c r="BE139" s="34">
        <f t="shared" si="53"/>
        <v>518.16</v>
      </c>
      <c r="BF139" s="34">
        <f t="shared" si="54"/>
        <v>1375.0639999999999</v>
      </c>
      <c r="BG139" s="59" t="s">
        <v>1184</v>
      </c>
      <c r="BH139" s="59" t="s">
        <v>1185</v>
      </c>
      <c r="BI139" s="38" t="s">
        <v>1186</v>
      </c>
      <c r="BJ139" s="39" t="s">
        <v>1187</v>
      </c>
      <c r="BK139" s="39"/>
      <c r="BL139" s="39" t="s">
        <v>1000</v>
      </c>
      <c r="BM139" s="102" t="s">
        <v>1188</v>
      </c>
      <c r="BN139" s="39"/>
    </row>
    <row r="140" spans="1:66" s="6" customFormat="1" ht="39.950000000000003" hidden="1" customHeight="1" x14ac:dyDescent="0.25">
      <c r="A140" s="91" t="s">
        <v>1189</v>
      </c>
      <c r="B140" s="92">
        <v>81</v>
      </c>
      <c r="C140" s="93" t="s">
        <v>1190</v>
      </c>
      <c r="D140" s="93" t="s">
        <v>1191</v>
      </c>
      <c r="E140" s="83" t="s">
        <v>1192</v>
      </c>
      <c r="F140" s="84" t="s">
        <v>1193</v>
      </c>
      <c r="G140" s="77" t="s">
        <v>1194</v>
      </c>
      <c r="H140" s="88" t="s">
        <v>161</v>
      </c>
      <c r="I140" s="40" t="s">
        <v>162</v>
      </c>
      <c r="J140" s="40" t="s">
        <v>129</v>
      </c>
      <c r="K140" s="40" t="s">
        <v>129</v>
      </c>
      <c r="L140" s="40" t="s">
        <v>255</v>
      </c>
      <c r="M140" s="103">
        <v>44090</v>
      </c>
      <c r="N140" s="103"/>
      <c r="O140" s="105">
        <v>44196</v>
      </c>
      <c r="P140" s="95"/>
      <c r="Q140" s="88" t="s">
        <v>69</v>
      </c>
      <c r="R140" s="88"/>
      <c r="S140" s="97" t="s">
        <v>148</v>
      </c>
      <c r="T140" s="77">
        <v>6</v>
      </c>
      <c r="U140" s="77" t="s">
        <v>400</v>
      </c>
      <c r="V140" s="47">
        <f t="shared" ca="1" si="46"/>
        <v>31</v>
      </c>
      <c r="W140" s="98" t="e">
        <v>#N/A</v>
      </c>
      <c r="X140" s="77">
        <v>185</v>
      </c>
      <c r="Y140" s="31">
        <f t="shared" si="47"/>
        <v>200.13333333333333</v>
      </c>
      <c r="Z140" s="31">
        <f t="shared" si="48"/>
        <v>3002</v>
      </c>
      <c r="AA140" s="32">
        <v>6004</v>
      </c>
      <c r="AB140" s="32">
        <v>284</v>
      </c>
      <c r="AC140" s="99"/>
      <c r="AD140" s="99"/>
      <c r="AE140" s="100"/>
      <c r="AF140" s="101"/>
      <c r="AG140" s="99"/>
      <c r="AH140" s="99"/>
      <c r="AI140" s="32">
        <v>7000</v>
      </c>
      <c r="AJ140" s="33">
        <f t="shared" si="50"/>
        <v>13288</v>
      </c>
      <c r="AK140" s="54">
        <v>0</v>
      </c>
      <c r="AL140" s="31">
        <f t="shared" si="55"/>
        <v>390.26</v>
      </c>
      <c r="AM140" s="31">
        <f t="shared" si="55"/>
        <v>780.52</v>
      </c>
      <c r="AN140" s="34">
        <f t="shared" si="51"/>
        <v>780.52</v>
      </c>
      <c r="AO140" s="35">
        <f t="shared" si="52"/>
        <v>12507.48</v>
      </c>
      <c r="AP140" s="34">
        <f t="shared" si="40"/>
        <v>9206.1333333333332</v>
      </c>
      <c r="AQ140" s="34">
        <f t="shared" si="41"/>
        <v>10733.333333333334</v>
      </c>
      <c r="AR140" s="34">
        <f t="shared" si="42"/>
        <v>1257.5999999999999</v>
      </c>
      <c r="AS140" s="34"/>
      <c r="AT140" s="34"/>
      <c r="AU140" s="34"/>
      <c r="AV140" s="99"/>
      <c r="AW140" s="99"/>
      <c r="AX140" s="99"/>
      <c r="AY140" s="34">
        <f t="shared" si="43"/>
        <v>2515.1999999999998</v>
      </c>
      <c r="AZ140" s="31">
        <v>0.26</v>
      </c>
      <c r="BA140" s="32">
        <f t="shared" si="44"/>
        <v>780.52</v>
      </c>
      <c r="BB140" s="32">
        <f t="shared" si="45"/>
        <v>1561.04</v>
      </c>
      <c r="BC140" s="37">
        <f t="shared" si="56"/>
        <v>60.04</v>
      </c>
      <c r="BD140" s="37">
        <f t="shared" si="56"/>
        <v>120.08</v>
      </c>
      <c r="BE140" s="34">
        <f t="shared" si="53"/>
        <v>398.64</v>
      </c>
      <c r="BF140" s="34">
        <f t="shared" si="54"/>
        <v>1072.28</v>
      </c>
      <c r="BG140" s="29"/>
      <c r="BH140" s="29" t="s">
        <v>1195</v>
      </c>
      <c r="BI140" s="38" t="s">
        <v>1196</v>
      </c>
      <c r="BJ140" s="39"/>
      <c r="BK140" s="39"/>
      <c r="BL140" s="39" t="s">
        <v>1197</v>
      </c>
      <c r="BM140" s="102">
        <v>1163826007</v>
      </c>
      <c r="BN140" s="39"/>
    </row>
    <row r="141" spans="1:66" s="6" customFormat="1" ht="39.950000000000003" hidden="1" customHeight="1" x14ac:dyDescent="0.25">
      <c r="A141" s="91" t="s">
        <v>1198</v>
      </c>
      <c r="B141" s="92">
        <v>47</v>
      </c>
      <c r="C141" s="93" t="s">
        <v>1199</v>
      </c>
      <c r="D141" s="93" t="s">
        <v>1200</v>
      </c>
      <c r="E141" s="94" t="s">
        <v>1201</v>
      </c>
      <c r="F141" s="95" t="s">
        <v>1202</v>
      </c>
      <c r="G141" s="77" t="s">
        <v>1203</v>
      </c>
      <c r="H141" s="88" t="s">
        <v>140</v>
      </c>
      <c r="I141" s="40" t="s">
        <v>906</v>
      </c>
      <c r="J141" s="40" t="s">
        <v>449</v>
      </c>
      <c r="K141" s="40" t="s">
        <v>322</v>
      </c>
      <c r="L141" s="40" t="s">
        <v>11</v>
      </c>
      <c r="M141" s="103">
        <v>44136</v>
      </c>
      <c r="N141" s="103"/>
      <c r="O141" s="105">
        <v>45639</v>
      </c>
      <c r="P141" s="95"/>
      <c r="Q141" s="88" t="s">
        <v>69</v>
      </c>
      <c r="R141" s="88"/>
      <c r="S141" s="97" t="s">
        <v>148</v>
      </c>
      <c r="T141" s="77">
        <v>15</v>
      </c>
      <c r="U141" s="77" t="s">
        <v>400</v>
      </c>
      <c r="V141" s="47">
        <f t="shared" ca="1" si="46"/>
        <v>49</v>
      </c>
      <c r="W141" s="98">
        <v>10789600</v>
      </c>
      <c r="X141" s="77">
        <v>186</v>
      </c>
      <c r="Y141" s="31">
        <f t="shared" si="47"/>
        <v>464.59333333333331</v>
      </c>
      <c r="Z141" s="31">
        <f t="shared" si="48"/>
        <v>6968.9</v>
      </c>
      <c r="AA141" s="32">
        <v>13937.8</v>
      </c>
      <c r="AB141" s="32">
        <v>284</v>
      </c>
      <c r="AC141" s="99"/>
      <c r="AD141" s="99"/>
      <c r="AE141" s="99"/>
      <c r="AF141" s="104"/>
      <c r="AG141" s="99"/>
      <c r="AH141" s="99"/>
      <c r="AI141" s="32">
        <v>26400</v>
      </c>
      <c r="AJ141" s="33">
        <f t="shared" si="50"/>
        <v>40621.800000000003</v>
      </c>
      <c r="AK141" s="54">
        <v>0</v>
      </c>
      <c r="AL141" s="31">
        <f t="shared" si="55"/>
        <v>905.95699999999999</v>
      </c>
      <c r="AM141" s="31">
        <f t="shared" si="55"/>
        <v>1811.914</v>
      </c>
      <c r="AN141" s="34">
        <f t="shared" si="51"/>
        <v>1811.914</v>
      </c>
      <c r="AO141" s="35">
        <f t="shared" si="52"/>
        <v>38809.886000000006</v>
      </c>
      <c r="AP141" s="34">
        <f t="shared" si="40"/>
        <v>21371.293333333331</v>
      </c>
      <c r="AQ141" s="34">
        <f t="shared" si="41"/>
        <v>40480</v>
      </c>
      <c r="AR141" s="34">
        <f t="shared" si="42"/>
        <v>2844.36</v>
      </c>
      <c r="AS141" s="34"/>
      <c r="AT141" s="34"/>
      <c r="AU141" s="34"/>
      <c r="AV141" s="99"/>
      <c r="AW141" s="99"/>
      <c r="AX141" s="99"/>
      <c r="AY141" s="34">
        <f t="shared" si="43"/>
        <v>5688.72</v>
      </c>
      <c r="AZ141" s="31">
        <v>0.26</v>
      </c>
      <c r="BA141" s="32">
        <f t="shared" si="44"/>
        <v>1811.914</v>
      </c>
      <c r="BB141" s="32">
        <f t="shared" si="45"/>
        <v>3623.828</v>
      </c>
      <c r="BC141" s="37">
        <f t="shared" si="56"/>
        <v>139.37799999999999</v>
      </c>
      <c r="BD141" s="37">
        <f t="shared" si="56"/>
        <v>278.75599999999997</v>
      </c>
      <c r="BE141" s="34">
        <f t="shared" si="53"/>
        <v>1218.654</v>
      </c>
      <c r="BF141" s="34">
        <f t="shared" si="54"/>
        <v>3244.8544000000002</v>
      </c>
      <c r="BG141" s="59" t="s">
        <v>1204</v>
      </c>
      <c r="BH141" s="59" t="s">
        <v>1205</v>
      </c>
      <c r="BI141" s="38" t="s">
        <v>1206</v>
      </c>
      <c r="BJ141" s="39" t="s">
        <v>1207</v>
      </c>
      <c r="BK141" s="39" t="s">
        <v>1208</v>
      </c>
      <c r="BL141" s="39" t="s">
        <v>1209</v>
      </c>
      <c r="BM141" s="102" t="s">
        <v>1210</v>
      </c>
      <c r="BN141" s="39"/>
    </row>
    <row r="142" spans="1:66" s="6" customFormat="1" ht="39.950000000000003" hidden="1" customHeight="1" x14ac:dyDescent="0.25">
      <c r="A142" s="91" t="s">
        <v>1211</v>
      </c>
      <c r="B142" s="109">
        <v>83</v>
      </c>
      <c r="C142" s="110" t="s">
        <v>1212</v>
      </c>
      <c r="D142" s="110" t="s">
        <v>1213</v>
      </c>
      <c r="E142" s="39" t="s">
        <v>1214</v>
      </c>
      <c r="F142" s="29" t="s">
        <v>1215</v>
      </c>
      <c r="G142" s="38" t="s">
        <v>1216</v>
      </c>
      <c r="H142" s="88" t="s">
        <v>161</v>
      </c>
      <c r="I142" s="40" t="s">
        <v>162</v>
      </c>
      <c r="J142" s="40" t="s">
        <v>68</v>
      </c>
      <c r="K142" s="40" t="s">
        <v>68</v>
      </c>
      <c r="L142" s="40" t="s">
        <v>255</v>
      </c>
      <c r="M142" s="96">
        <v>44136</v>
      </c>
      <c r="N142" s="96"/>
      <c r="O142" s="105">
        <v>44196</v>
      </c>
      <c r="P142" s="95"/>
      <c r="Q142" s="88" t="s">
        <v>69</v>
      </c>
      <c r="R142" s="88"/>
      <c r="S142" s="97" t="s">
        <v>148</v>
      </c>
      <c r="T142" s="77">
        <v>19</v>
      </c>
      <c r="U142" s="77" t="s">
        <v>88</v>
      </c>
      <c r="V142" s="47">
        <f t="shared" ca="1" si="46"/>
        <v>37</v>
      </c>
      <c r="W142" s="98" t="e">
        <v>#N/A</v>
      </c>
      <c r="X142" s="77">
        <v>190</v>
      </c>
      <c r="Y142" s="31">
        <f t="shared" si="47"/>
        <v>200.13333333333333</v>
      </c>
      <c r="Z142" s="31">
        <f t="shared" si="48"/>
        <v>3002</v>
      </c>
      <c r="AA142" s="32">
        <v>6004</v>
      </c>
      <c r="AB142" s="32">
        <v>284</v>
      </c>
      <c r="AC142" s="99"/>
      <c r="AD142" s="99"/>
      <c r="AE142" s="100"/>
      <c r="AF142" s="101"/>
      <c r="AG142" s="99"/>
      <c r="AH142" s="99"/>
      <c r="AI142" s="32">
        <v>7000</v>
      </c>
      <c r="AJ142" s="33">
        <f t="shared" si="50"/>
        <v>13288</v>
      </c>
      <c r="AK142" s="54">
        <v>0</v>
      </c>
      <c r="AL142" s="31">
        <f t="shared" ref="AL142:AM173" si="57">Z142*13%</f>
        <v>390.26</v>
      </c>
      <c r="AM142" s="31">
        <f t="shared" si="57"/>
        <v>780.52</v>
      </c>
      <c r="AN142" s="34">
        <f t="shared" si="51"/>
        <v>780.52</v>
      </c>
      <c r="AO142" s="35">
        <f t="shared" si="52"/>
        <v>12507.48</v>
      </c>
      <c r="AP142" s="34">
        <f t="shared" si="40"/>
        <v>9206.1333333333332</v>
      </c>
      <c r="AQ142" s="34">
        <f t="shared" si="41"/>
        <v>10733.333333333334</v>
      </c>
      <c r="AR142" s="34">
        <f t="shared" si="42"/>
        <v>1257.5999999999999</v>
      </c>
      <c r="AS142" s="34"/>
      <c r="AT142" s="34"/>
      <c r="AU142" s="34"/>
      <c r="AV142" s="99"/>
      <c r="AW142" s="99"/>
      <c r="AX142" s="99"/>
      <c r="AY142" s="34">
        <f t="shared" si="43"/>
        <v>2515.1999999999998</v>
      </c>
      <c r="AZ142" s="31">
        <v>0.26</v>
      </c>
      <c r="BA142" s="32">
        <f t="shared" si="44"/>
        <v>780.52</v>
      </c>
      <c r="BB142" s="32">
        <f t="shared" si="45"/>
        <v>1561.04</v>
      </c>
      <c r="BC142" s="37">
        <f t="shared" ref="BC142:BD173" si="58">Z142*2%</f>
        <v>60.04</v>
      </c>
      <c r="BD142" s="37">
        <f t="shared" si="58"/>
        <v>120.08</v>
      </c>
      <c r="BE142" s="34">
        <f t="shared" si="53"/>
        <v>398.64</v>
      </c>
      <c r="BF142" s="34">
        <f t="shared" si="54"/>
        <v>1072.28</v>
      </c>
      <c r="BG142" s="59" t="s">
        <v>1217</v>
      </c>
      <c r="BH142" s="29" t="s">
        <v>1218</v>
      </c>
      <c r="BI142" s="38" t="s">
        <v>1219</v>
      </c>
      <c r="BJ142" s="39"/>
      <c r="BK142" s="39"/>
      <c r="BL142" s="39" t="s">
        <v>1220</v>
      </c>
      <c r="BM142" s="102">
        <v>1523680078</v>
      </c>
      <c r="BN142" s="39"/>
    </row>
    <row r="143" spans="1:66" s="6" customFormat="1" ht="39.950000000000003" hidden="1" customHeight="1" x14ac:dyDescent="0.25">
      <c r="A143" s="91" t="s">
        <v>1221</v>
      </c>
      <c r="B143" s="109"/>
      <c r="C143" s="110"/>
      <c r="D143" s="110"/>
      <c r="E143" s="39" t="s">
        <v>1222</v>
      </c>
      <c r="F143" s="29"/>
      <c r="G143" s="38"/>
      <c r="H143" s="88"/>
      <c r="I143" s="40"/>
      <c r="J143" s="40"/>
      <c r="K143" s="40"/>
      <c r="L143" s="40"/>
      <c r="M143" s="96"/>
      <c r="N143" s="96"/>
      <c r="O143" s="105"/>
      <c r="P143" s="95"/>
      <c r="Q143" s="88"/>
      <c r="R143" s="88"/>
      <c r="S143" s="97"/>
      <c r="T143" s="77"/>
      <c r="U143" s="77"/>
      <c r="V143" s="47" t="e">
        <f t="shared" ca="1" si="46"/>
        <v>#VALUE!</v>
      </c>
      <c r="W143" s="98"/>
      <c r="X143" s="77"/>
      <c r="Y143" s="31">
        <f t="shared" si="47"/>
        <v>0</v>
      </c>
      <c r="Z143" s="31">
        <f t="shared" si="48"/>
        <v>0</v>
      </c>
      <c r="AA143" s="32">
        <v>0</v>
      </c>
      <c r="AB143" s="32">
        <v>0</v>
      </c>
      <c r="AC143" s="99"/>
      <c r="AD143" s="99"/>
      <c r="AE143" s="100"/>
      <c r="AF143" s="101"/>
      <c r="AG143" s="99"/>
      <c r="AH143" s="99"/>
      <c r="AI143" s="32">
        <v>0</v>
      </c>
      <c r="AJ143" s="33">
        <f t="shared" si="50"/>
        <v>0</v>
      </c>
      <c r="AK143" s="54">
        <v>0</v>
      </c>
      <c r="AL143" s="31">
        <f t="shared" si="57"/>
        <v>0</v>
      </c>
      <c r="AM143" s="31">
        <f t="shared" si="57"/>
        <v>0</v>
      </c>
      <c r="AN143" s="34">
        <f t="shared" si="51"/>
        <v>0</v>
      </c>
      <c r="AO143" s="35">
        <f t="shared" si="52"/>
        <v>0</v>
      </c>
      <c r="AP143" s="34">
        <f t="shared" si="40"/>
        <v>0</v>
      </c>
      <c r="AQ143" s="34">
        <f t="shared" si="41"/>
        <v>0</v>
      </c>
      <c r="AR143" s="34">
        <f t="shared" si="42"/>
        <v>0</v>
      </c>
      <c r="AS143" s="34"/>
      <c r="AT143" s="34"/>
      <c r="AU143" s="34"/>
      <c r="AV143" s="99"/>
      <c r="AW143" s="99"/>
      <c r="AX143" s="99"/>
      <c r="AY143" s="34">
        <f t="shared" si="43"/>
        <v>0</v>
      </c>
      <c r="AZ143" s="31"/>
      <c r="BA143" s="32">
        <f t="shared" si="44"/>
        <v>0</v>
      </c>
      <c r="BB143" s="32">
        <f t="shared" si="45"/>
        <v>0</v>
      </c>
      <c r="BC143" s="37">
        <f t="shared" si="58"/>
        <v>0</v>
      </c>
      <c r="BD143" s="37">
        <f t="shared" si="58"/>
        <v>0</v>
      </c>
      <c r="BE143" s="34">
        <f t="shared" si="53"/>
        <v>0</v>
      </c>
      <c r="BF143" s="34">
        <f t="shared" si="54"/>
        <v>0</v>
      </c>
      <c r="BG143" s="29"/>
      <c r="BH143" s="29"/>
      <c r="BI143" s="38"/>
      <c r="BJ143" s="39"/>
      <c r="BK143" s="39"/>
      <c r="BL143" s="39"/>
      <c r="BM143" s="102"/>
      <c r="BN143" s="39"/>
    </row>
    <row r="144" spans="1:66" s="6" customFormat="1" ht="39.950000000000003" hidden="1" customHeight="1" x14ac:dyDescent="0.25">
      <c r="A144" s="91" t="s">
        <v>1223</v>
      </c>
      <c r="B144" s="92">
        <v>16</v>
      </c>
      <c r="C144" s="93"/>
      <c r="D144" s="93"/>
      <c r="E144" s="94" t="s">
        <v>1224</v>
      </c>
      <c r="F144" s="77" t="s">
        <v>1225</v>
      </c>
      <c r="G144" s="77" t="s">
        <v>1226</v>
      </c>
      <c r="H144" s="88" t="s">
        <v>65</v>
      </c>
      <c r="I144" s="40" t="s">
        <v>66</v>
      </c>
      <c r="J144" s="40" t="s">
        <v>280</v>
      </c>
      <c r="K144" s="40" t="s">
        <v>147</v>
      </c>
      <c r="L144" s="40" t="s">
        <v>11</v>
      </c>
      <c r="M144" s="103">
        <v>44271</v>
      </c>
      <c r="N144" s="103"/>
      <c r="O144" s="105"/>
      <c r="P144" s="95"/>
      <c r="Q144" s="88" t="s">
        <v>69</v>
      </c>
      <c r="R144" s="88"/>
      <c r="S144" s="97" t="s">
        <v>148</v>
      </c>
      <c r="T144" s="77">
        <v>22</v>
      </c>
      <c r="U144" s="77" t="s">
        <v>88</v>
      </c>
      <c r="V144" s="47">
        <f t="shared" ca="1" si="46"/>
        <v>55</v>
      </c>
      <c r="W144" s="98">
        <v>10927100</v>
      </c>
      <c r="X144" s="77">
        <v>168</v>
      </c>
      <c r="Y144" s="31">
        <f t="shared" si="47"/>
        <v>264.86533333333335</v>
      </c>
      <c r="Z144" s="31">
        <f t="shared" si="48"/>
        <v>3972.98</v>
      </c>
      <c r="AA144" s="32">
        <v>7945.96</v>
      </c>
      <c r="AB144" s="32">
        <v>284</v>
      </c>
      <c r="AC144" s="99"/>
      <c r="AD144" s="99"/>
      <c r="AE144" s="100"/>
      <c r="AF144" s="32"/>
      <c r="AG144" s="99"/>
      <c r="AH144" s="99"/>
      <c r="AI144" s="32">
        <v>15000</v>
      </c>
      <c r="AJ144" s="33">
        <f t="shared" si="50"/>
        <v>23229.96</v>
      </c>
      <c r="AK144" s="54">
        <v>0</v>
      </c>
      <c r="AL144" s="31">
        <f t="shared" si="57"/>
        <v>516.48739999999998</v>
      </c>
      <c r="AM144" s="31">
        <f t="shared" si="57"/>
        <v>1032.9748</v>
      </c>
      <c r="AN144" s="34">
        <f t="shared" si="51"/>
        <v>1032.9748</v>
      </c>
      <c r="AO144" s="35">
        <f t="shared" si="52"/>
        <v>22196.985199999999</v>
      </c>
      <c r="AP144" s="34">
        <f t="shared" si="40"/>
        <v>12183.805333333334</v>
      </c>
      <c r="AQ144" s="34">
        <f t="shared" si="41"/>
        <v>23000</v>
      </c>
      <c r="AR144" s="34">
        <f t="shared" si="42"/>
        <v>1645.992</v>
      </c>
      <c r="AS144" s="34"/>
      <c r="AT144" s="34"/>
      <c r="AU144" s="34"/>
      <c r="AV144" s="99"/>
      <c r="AW144" s="99"/>
      <c r="AX144" s="99"/>
      <c r="AY144" s="34">
        <f t="shared" si="43"/>
        <v>3291.9839999999999</v>
      </c>
      <c r="AZ144" s="31">
        <v>0.19</v>
      </c>
      <c r="BA144" s="32">
        <f t="shared" si="44"/>
        <v>754.86620000000005</v>
      </c>
      <c r="BB144" s="32">
        <f t="shared" si="45"/>
        <v>1509.7324000000001</v>
      </c>
      <c r="BC144" s="37">
        <f t="shared" si="58"/>
        <v>79.459600000000009</v>
      </c>
      <c r="BD144" s="37">
        <f t="shared" si="58"/>
        <v>158.91920000000002</v>
      </c>
      <c r="BE144" s="34">
        <f t="shared" si="53"/>
        <v>696.89879999999994</v>
      </c>
      <c r="BF144" s="34">
        <f t="shared" si="54"/>
        <v>1851.1724799999997</v>
      </c>
      <c r="BG144" s="29"/>
      <c r="BH144" s="29"/>
      <c r="BI144" s="38"/>
      <c r="BJ144" s="39" t="s">
        <v>1227</v>
      </c>
      <c r="BK144" s="39"/>
      <c r="BL144" s="39"/>
      <c r="BM144" s="102"/>
      <c r="BN144" s="39"/>
    </row>
    <row r="145" spans="1:66" s="6" customFormat="1" ht="39.950000000000003" hidden="1" customHeight="1" x14ac:dyDescent="0.25">
      <c r="A145" s="91" t="s">
        <v>1228</v>
      </c>
      <c r="B145" s="92">
        <v>74</v>
      </c>
      <c r="C145" s="93" t="s">
        <v>1229</v>
      </c>
      <c r="D145" s="93" t="s">
        <v>1230</v>
      </c>
      <c r="E145" s="106" t="s">
        <v>1231</v>
      </c>
      <c r="F145" s="38" t="s">
        <v>1232</v>
      </c>
      <c r="G145" s="38" t="s">
        <v>1233</v>
      </c>
      <c r="H145" s="88" t="s">
        <v>161</v>
      </c>
      <c r="I145" s="40" t="s">
        <v>162</v>
      </c>
      <c r="J145" s="40" t="s">
        <v>449</v>
      </c>
      <c r="K145" s="40" t="s">
        <v>323</v>
      </c>
      <c r="L145" s="40" t="s">
        <v>131</v>
      </c>
      <c r="M145" s="103">
        <v>44287</v>
      </c>
      <c r="N145" s="103"/>
      <c r="O145" s="105"/>
      <c r="P145" s="95"/>
      <c r="Q145" s="88" t="s">
        <v>69</v>
      </c>
      <c r="R145" s="88"/>
      <c r="S145" s="97" t="s">
        <v>70</v>
      </c>
      <c r="T145" s="77">
        <v>5</v>
      </c>
      <c r="U145" s="77" t="s">
        <v>337</v>
      </c>
      <c r="V145" s="47">
        <f t="shared" ca="1" si="46"/>
        <v>40</v>
      </c>
      <c r="W145" s="98">
        <v>10952200</v>
      </c>
      <c r="X145" s="77">
        <v>188</v>
      </c>
      <c r="Y145" s="31">
        <f t="shared" si="47"/>
        <v>200.13333333333333</v>
      </c>
      <c r="Z145" s="31">
        <f t="shared" si="48"/>
        <v>3002</v>
      </c>
      <c r="AA145" s="32">
        <v>6004</v>
      </c>
      <c r="AB145" s="32">
        <v>284</v>
      </c>
      <c r="AC145" s="99"/>
      <c r="AD145" s="99"/>
      <c r="AE145" s="100"/>
      <c r="AF145" s="101"/>
      <c r="AG145" s="99"/>
      <c r="AH145" s="99"/>
      <c r="AI145" s="32">
        <v>10984</v>
      </c>
      <c r="AJ145" s="33">
        <f t="shared" si="50"/>
        <v>17272</v>
      </c>
      <c r="AK145" s="54">
        <v>0</v>
      </c>
      <c r="AL145" s="31">
        <f t="shared" si="57"/>
        <v>390.26</v>
      </c>
      <c r="AM145" s="31">
        <f t="shared" si="57"/>
        <v>780.52</v>
      </c>
      <c r="AN145" s="34">
        <f t="shared" si="51"/>
        <v>780.52</v>
      </c>
      <c r="AO145" s="35">
        <f t="shared" si="52"/>
        <v>16491.48</v>
      </c>
      <c r="AP145" s="34">
        <f t="shared" si="40"/>
        <v>9206.1333333333332</v>
      </c>
      <c r="AQ145" s="34">
        <f t="shared" si="41"/>
        <v>16842.133333333331</v>
      </c>
      <c r="AR145" s="34">
        <f t="shared" si="42"/>
        <v>1257.5999999999999</v>
      </c>
      <c r="AS145" s="34"/>
      <c r="AT145" s="34"/>
      <c r="AU145" s="34"/>
      <c r="AV145" s="99"/>
      <c r="AW145" s="99"/>
      <c r="AX145" s="99"/>
      <c r="AY145" s="34">
        <f t="shared" si="43"/>
        <v>2515.1999999999998</v>
      </c>
      <c r="AZ145" s="31">
        <v>0.26</v>
      </c>
      <c r="BA145" s="32">
        <f t="shared" si="44"/>
        <v>780.52</v>
      </c>
      <c r="BB145" s="32">
        <f t="shared" si="45"/>
        <v>1561.04</v>
      </c>
      <c r="BC145" s="37">
        <f t="shared" si="58"/>
        <v>60.04</v>
      </c>
      <c r="BD145" s="37">
        <f t="shared" si="58"/>
        <v>120.08</v>
      </c>
      <c r="BE145" s="34">
        <f t="shared" si="53"/>
        <v>518.16</v>
      </c>
      <c r="BF145" s="34">
        <f t="shared" si="54"/>
        <v>1375.0639999999999</v>
      </c>
      <c r="BG145" s="59" t="s">
        <v>1234</v>
      </c>
      <c r="BH145" s="59" t="s">
        <v>1235</v>
      </c>
      <c r="BI145" s="38" t="s">
        <v>1236</v>
      </c>
      <c r="BJ145" s="39" t="s">
        <v>1237</v>
      </c>
      <c r="BK145" s="39"/>
      <c r="BL145" s="39" t="s">
        <v>1238</v>
      </c>
      <c r="BM145" s="102">
        <v>1545348338</v>
      </c>
      <c r="BN145" s="39"/>
    </row>
    <row r="146" spans="1:66" s="6" customFormat="1" ht="39.950000000000003" hidden="1" customHeight="1" x14ac:dyDescent="0.25">
      <c r="A146" s="91" t="s">
        <v>1228</v>
      </c>
      <c r="B146" s="92">
        <v>48</v>
      </c>
      <c r="C146" s="93" t="s">
        <v>1230</v>
      </c>
      <c r="D146" s="44" t="s">
        <v>1239</v>
      </c>
      <c r="E146" s="106" t="s">
        <v>1231</v>
      </c>
      <c r="F146" s="38" t="s">
        <v>1232</v>
      </c>
      <c r="G146" s="38" t="s">
        <v>1233</v>
      </c>
      <c r="H146" s="88" t="s">
        <v>84</v>
      </c>
      <c r="I146" s="40" t="s">
        <v>462</v>
      </c>
      <c r="J146" s="40" t="s">
        <v>449</v>
      </c>
      <c r="K146" s="40" t="s">
        <v>323</v>
      </c>
      <c r="L146" s="40" t="s">
        <v>11</v>
      </c>
      <c r="M146" s="103">
        <v>44287</v>
      </c>
      <c r="N146" s="103">
        <v>44593</v>
      </c>
      <c r="O146" s="105">
        <v>45657</v>
      </c>
      <c r="P146" s="95"/>
      <c r="Q146" s="88" t="s">
        <v>69</v>
      </c>
      <c r="R146" s="88"/>
      <c r="S146" s="97" t="s">
        <v>70</v>
      </c>
      <c r="T146" s="77">
        <v>5</v>
      </c>
      <c r="U146" s="77" t="s">
        <v>337</v>
      </c>
      <c r="V146" s="47">
        <f t="shared" ca="1" si="46"/>
        <v>40</v>
      </c>
      <c r="W146" s="98">
        <v>10952200</v>
      </c>
      <c r="X146" s="77">
        <v>188</v>
      </c>
      <c r="Y146" s="31">
        <f t="shared" si="47"/>
        <v>232.92466666666667</v>
      </c>
      <c r="Z146" s="31">
        <f t="shared" si="48"/>
        <v>3493.87</v>
      </c>
      <c r="AA146" s="32">
        <v>6987.74</v>
      </c>
      <c r="AB146" s="32">
        <v>284</v>
      </c>
      <c r="AC146" s="99"/>
      <c r="AD146" s="99"/>
      <c r="AE146" s="100"/>
      <c r="AF146" s="101"/>
      <c r="AG146" s="99"/>
      <c r="AH146" s="99"/>
      <c r="AI146" s="32">
        <v>11283.15</v>
      </c>
      <c r="AJ146" s="33">
        <f t="shared" si="50"/>
        <v>18554.89</v>
      </c>
      <c r="AK146" s="54">
        <v>0</v>
      </c>
      <c r="AL146" s="31">
        <f t="shared" si="57"/>
        <v>454.20310000000001</v>
      </c>
      <c r="AM146" s="31">
        <f t="shared" si="57"/>
        <v>908.40620000000001</v>
      </c>
      <c r="AN146" s="34">
        <f t="shared" si="51"/>
        <v>908.40620000000001</v>
      </c>
      <c r="AO146" s="35">
        <f t="shared" si="52"/>
        <v>17646.483799999998</v>
      </c>
      <c r="AP146" s="34">
        <f t="shared" si="40"/>
        <v>10714.534666666666</v>
      </c>
      <c r="AQ146" s="34">
        <f t="shared" si="41"/>
        <v>17300.829999999998</v>
      </c>
      <c r="AR146" s="34">
        <f t="shared" si="42"/>
        <v>1454.348</v>
      </c>
      <c r="AS146" s="34"/>
      <c r="AT146" s="34"/>
      <c r="AU146" s="34"/>
      <c r="AV146" s="99"/>
      <c r="AW146" s="99"/>
      <c r="AX146" s="99"/>
      <c r="AY146" s="34">
        <f t="shared" si="43"/>
        <v>2908.6959999999999</v>
      </c>
      <c r="AZ146" s="31">
        <v>0.26</v>
      </c>
      <c r="BA146" s="32">
        <f t="shared" si="44"/>
        <v>908.40620000000001</v>
      </c>
      <c r="BB146" s="32">
        <f t="shared" si="45"/>
        <v>1816.8124</v>
      </c>
      <c r="BC146" s="37">
        <f t="shared" si="58"/>
        <v>69.877399999999994</v>
      </c>
      <c r="BD146" s="37">
        <f t="shared" si="58"/>
        <v>139.75479999999999</v>
      </c>
      <c r="BE146" s="34">
        <f t="shared" si="53"/>
        <v>556.64670000000001</v>
      </c>
      <c r="BF146" s="34">
        <f t="shared" si="54"/>
        <v>1484.3685199999995</v>
      </c>
      <c r="BG146" s="29" t="s">
        <v>1234</v>
      </c>
      <c r="BH146" s="29" t="s">
        <v>1235</v>
      </c>
      <c r="BI146" s="38" t="s">
        <v>1240</v>
      </c>
      <c r="BJ146" s="39" t="s">
        <v>1241</v>
      </c>
      <c r="BK146" s="39" t="s">
        <v>1242</v>
      </c>
      <c r="BL146" s="39" t="s">
        <v>1238</v>
      </c>
      <c r="BM146" s="102" t="s">
        <v>1243</v>
      </c>
      <c r="BN146" s="39"/>
    </row>
    <row r="147" spans="1:66" s="6" customFormat="1" ht="39.950000000000003" hidden="1" customHeight="1" x14ac:dyDescent="0.25">
      <c r="A147" s="91" t="s">
        <v>1244</v>
      </c>
      <c r="B147" s="92">
        <v>35</v>
      </c>
      <c r="C147" s="93" t="s">
        <v>1245</v>
      </c>
      <c r="D147" s="93" t="s">
        <v>1246</v>
      </c>
      <c r="E147" s="94" t="s">
        <v>1247</v>
      </c>
      <c r="F147" s="77" t="s">
        <v>1248</v>
      </c>
      <c r="G147" s="77" t="s">
        <v>1249</v>
      </c>
      <c r="H147" s="88" t="s">
        <v>84</v>
      </c>
      <c r="I147" s="40" t="s">
        <v>783</v>
      </c>
      <c r="J147" s="40" t="s">
        <v>67</v>
      </c>
      <c r="K147" s="40" t="s">
        <v>688</v>
      </c>
      <c r="L147" s="40" t="s">
        <v>11</v>
      </c>
      <c r="M147" s="103">
        <v>44317</v>
      </c>
      <c r="N147" s="103"/>
      <c r="O147" s="105">
        <v>44377</v>
      </c>
      <c r="P147" s="95"/>
      <c r="Q147" s="88" t="s">
        <v>69</v>
      </c>
      <c r="R147" s="88"/>
      <c r="S147" s="97" t="s">
        <v>70</v>
      </c>
      <c r="T147" s="77">
        <v>26</v>
      </c>
      <c r="U147" s="77" t="s">
        <v>71</v>
      </c>
      <c r="V147" s="47">
        <f t="shared" ca="1" si="46"/>
        <v>33</v>
      </c>
      <c r="W147" s="98"/>
      <c r="X147" s="77">
        <v>180</v>
      </c>
      <c r="Y147" s="31">
        <f t="shared" si="47"/>
        <v>232.92466666666667</v>
      </c>
      <c r="Z147" s="31">
        <f t="shared" si="48"/>
        <v>3493.87</v>
      </c>
      <c r="AA147" s="32">
        <v>6987.74</v>
      </c>
      <c r="AB147" s="32">
        <v>284</v>
      </c>
      <c r="AC147" s="99"/>
      <c r="AD147" s="99"/>
      <c r="AE147" s="100"/>
      <c r="AF147" s="101"/>
      <c r="AG147" s="99"/>
      <c r="AH147" s="99"/>
      <c r="AI147" s="32">
        <v>11283.15</v>
      </c>
      <c r="AJ147" s="33">
        <f t="shared" si="50"/>
        <v>18554.89</v>
      </c>
      <c r="AK147" s="54">
        <v>0</v>
      </c>
      <c r="AL147" s="31">
        <f t="shared" si="57"/>
        <v>454.20310000000001</v>
      </c>
      <c r="AM147" s="31">
        <f t="shared" si="57"/>
        <v>908.40620000000001</v>
      </c>
      <c r="AN147" s="34">
        <f t="shared" si="51"/>
        <v>908.40620000000001</v>
      </c>
      <c r="AO147" s="35">
        <f t="shared" si="52"/>
        <v>17646.483799999998</v>
      </c>
      <c r="AP147" s="34">
        <f t="shared" si="40"/>
        <v>10714.534666666666</v>
      </c>
      <c r="AQ147" s="34">
        <f t="shared" si="41"/>
        <v>17300.829999999998</v>
      </c>
      <c r="AR147" s="34">
        <f t="shared" si="42"/>
        <v>1454.348</v>
      </c>
      <c r="AS147" s="34"/>
      <c r="AT147" s="34"/>
      <c r="AU147" s="34"/>
      <c r="AV147" s="99"/>
      <c r="AW147" s="99"/>
      <c r="AX147" s="99"/>
      <c r="AY147" s="34">
        <f t="shared" si="43"/>
        <v>2908.6959999999999</v>
      </c>
      <c r="AZ147" s="31">
        <v>0.26</v>
      </c>
      <c r="BA147" s="32">
        <f t="shared" si="44"/>
        <v>908.40620000000001</v>
      </c>
      <c r="BB147" s="32">
        <f t="shared" si="45"/>
        <v>1816.8124</v>
      </c>
      <c r="BC147" s="37">
        <f t="shared" si="58"/>
        <v>69.877399999999994</v>
      </c>
      <c r="BD147" s="37">
        <f t="shared" si="58"/>
        <v>139.75479999999999</v>
      </c>
      <c r="BE147" s="34">
        <f t="shared" si="53"/>
        <v>556.64670000000001</v>
      </c>
      <c r="BF147" s="34">
        <f t="shared" si="54"/>
        <v>1484.3685199999995</v>
      </c>
      <c r="BG147" s="29"/>
      <c r="BH147" s="29" t="s">
        <v>1250</v>
      </c>
      <c r="BI147" s="38" t="s">
        <v>1251</v>
      </c>
      <c r="BJ147" s="39" t="s">
        <v>1252</v>
      </c>
      <c r="BK147" s="39"/>
      <c r="BL147" s="39" t="s">
        <v>1253</v>
      </c>
      <c r="BM147" s="102">
        <v>1548113587</v>
      </c>
      <c r="BN147" s="39"/>
    </row>
    <row r="148" spans="1:66" s="6" customFormat="1" ht="39.950000000000003" hidden="1" customHeight="1" x14ac:dyDescent="0.25">
      <c r="A148" s="91" t="s">
        <v>1254</v>
      </c>
      <c r="B148" s="92">
        <v>44</v>
      </c>
      <c r="C148" s="93" t="s">
        <v>1255</v>
      </c>
      <c r="D148" s="93" t="s">
        <v>1256</v>
      </c>
      <c r="E148" s="94" t="s">
        <v>1257</v>
      </c>
      <c r="F148" s="77" t="s">
        <v>1258</v>
      </c>
      <c r="G148" s="77" t="s">
        <v>1259</v>
      </c>
      <c r="H148" s="88" t="s">
        <v>161</v>
      </c>
      <c r="I148" s="40" t="s">
        <v>162</v>
      </c>
      <c r="J148" s="40" t="s">
        <v>129</v>
      </c>
      <c r="K148" s="40" t="s">
        <v>501</v>
      </c>
      <c r="L148" s="40" t="s">
        <v>131</v>
      </c>
      <c r="M148" s="103">
        <v>44317</v>
      </c>
      <c r="N148" s="103">
        <v>44515</v>
      </c>
      <c r="O148" s="105"/>
      <c r="P148" s="95"/>
      <c r="Q148" s="88" t="s">
        <v>69</v>
      </c>
      <c r="R148" s="112"/>
      <c r="S148" s="97" t="s">
        <v>148</v>
      </c>
      <c r="T148" s="77">
        <v>30</v>
      </c>
      <c r="U148" s="77" t="s">
        <v>103</v>
      </c>
      <c r="V148" s="47">
        <f t="shared" ca="1" si="46"/>
        <v>46</v>
      </c>
      <c r="W148" s="98">
        <v>6147400</v>
      </c>
      <c r="X148" s="77">
        <v>185</v>
      </c>
      <c r="Y148" s="31">
        <f t="shared" si="47"/>
        <v>200.13333333333333</v>
      </c>
      <c r="Z148" s="31">
        <f t="shared" si="48"/>
        <v>3002</v>
      </c>
      <c r="AA148" s="32">
        <v>6004</v>
      </c>
      <c r="AB148" s="32">
        <v>284</v>
      </c>
      <c r="AC148" s="99"/>
      <c r="AD148" s="99"/>
      <c r="AE148" s="99"/>
      <c r="AF148" s="104"/>
      <c r="AG148" s="99"/>
      <c r="AH148" s="99"/>
      <c r="AI148" s="32">
        <v>10984</v>
      </c>
      <c r="AJ148" s="33">
        <f t="shared" si="50"/>
        <v>17272</v>
      </c>
      <c r="AK148" s="54">
        <v>0</v>
      </c>
      <c r="AL148" s="31">
        <f t="shared" si="57"/>
        <v>390.26</v>
      </c>
      <c r="AM148" s="31">
        <f t="shared" si="57"/>
        <v>780.52</v>
      </c>
      <c r="AN148" s="34">
        <f t="shared" si="51"/>
        <v>780.52</v>
      </c>
      <c r="AO148" s="35">
        <f t="shared" si="52"/>
        <v>16491.48</v>
      </c>
      <c r="AP148" s="34">
        <f t="shared" si="40"/>
        <v>9206.1333333333332</v>
      </c>
      <c r="AQ148" s="34">
        <f t="shared" si="41"/>
        <v>16842.133333333331</v>
      </c>
      <c r="AR148" s="34">
        <f t="shared" si="42"/>
        <v>1257.5999999999999</v>
      </c>
      <c r="AS148" s="34"/>
      <c r="AT148" s="34"/>
      <c r="AU148" s="34"/>
      <c r="AV148" s="99"/>
      <c r="AW148" s="99"/>
      <c r="AX148" s="99"/>
      <c r="AY148" s="34">
        <f t="shared" si="43"/>
        <v>2515.1999999999998</v>
      </c>
      <c r="AZ148" s="31">
        <v>0.19</v>
      </c>
      <c r="BA148" s="32">
        <f t="shared" si="44"/>
        <v>570.38</v>
      </c>
      <c r="BB148" s="32">
        <f t="shared" si="45"/>
        <v>1140.76</v>
      </c>
      <c r="BC148" s="37">
        <f t="shared" si="58"/>
        <v>60.04</v>
      </c>
      <c r="BD148" s="37">
        <f t="shared" si="58"/>
        <v>120.08</v>
      </c>
      <c r="BE148" s="34">
        <f t="shared" si="53"/>
        <v>518.16</v>
      </c>
      <c r="BF148" s="34">
        <f t="shared" si="54"/>
        <v>1375.0639999999999</v>
      </c>
      <c r="BG148" s="59" t="s">
        <v>1260</v>
      </c>
      <c r="BH148" s="59" t="s">
        <v>1261</v>
      </c>
      <c r="BI148" s="38" t="s">
        <v>1262</v>
      </c>
      <c r="BJ148" s="39" t="s">
        <v>1263</v>
      </c>
      <c r="BK148" s="39"/>
      <c r="BL148" s="39" t="s">
        <v>1264</v>
      </c>
      <c r="BM148" s="102">
        <v>2668459916</v>
      </c>
      <c r="BN148" s="39"/>
    </row>
    <row r="149" spans="1:66" s="6" customFormat="1" ht="39.950000000000003" hidden="1" customHeight="1" x14ac:dyDescent="0.25">
      <c r="A149" s="91" t="s">
        <v>1254</v>
      </c>
      <c r="B149" s="92">
        <v>4</v>
      </c>
      <c r="C149" s="93" t="s">
        <v>1256</v>
      </c>
      <c r="D149" s="93" t="s">
        <v>1265</v>
      </c>
      <c r="E149" s="94" t="s">
        <v>1257</v>
      </c>
      <c r="F149" s="77" t="s">
        <v>1258</v>
      </c>
      <c r="G149" s="77" t="s">
        <v>1259</v>
      </c>
      <c r="H149" s="88" t="s">
        <v>84</v>
      </c>
      <c r="I149" s="40" t="s">
        <v>1266</v>
      </c>
      <c r="J149" s="40" t="s">
        <v>129</v>
      </c>
      <c r="K149" s="40" t="s">
        <v>1266</v>
      </c>
      <c r="L149" s="40" t="s">
        <v>131</v>
      </c>
      <c r="M149" s="103"/>
      <c r="N149" s="103">
        <v>44516</v>
      </c>
      <c r="O149" s="105"/>
      <c r="P149" s="95"/>
      <c r="Q149" s="88" t="s">
        <v>69</v>
      </c>
      <c r="R149" s="112"/>
      <c r="S149" s="97" t="s">
        <v>148</v>
      </c>
      <c r="T149" s="77">
        <v>30</v>
      </c>
      <c r="U149" s="77" t="s">
        <v>103</v>
      </c>
      <c r="V149" s="47">
        <f t="shared" ca="1" si="46"/>
        <v>46</v>
      </c>
      <c r="W149" s="98">
        <v>6147400</v>
      </c>
      <c r="X149" s="77">
        <v>185</v>
      </c>
      <c r="Y149" s="31">
        <f t="shared" si="47"/>
        <v>232.92466666666667</v>
      </c>
      <c r="Z149" s="31">
        <f t="shared" si="48"/>
        <v>3493.87</v>
      </c>
      <c r="AA149" s="32">
        <v>6987.74</v>
      </c>
      <c r="AB149" s="32">
        <v>284</v>
      </c>
      <c r="AC149" s="99"/>
      <c r="AD149" s="99"/>
      <c r="AE149" s="100"/>
      <c r="AF149" s="101"/>
      <c r="AG149" s="99"/>
      <c r="AH149" s="99"/>
      <c r="AI149" s="32">
        <v>11283.15</v>
      </c>
      <c r="AJ149" s="33">
        <f t="shared" si="50"/>
        <v>18554.89</v>
      </c>
      <c r="AK149" s="54">
        <v>0</v>
      </c>
      <c r="AL149" s="31">
        <f t="shared" si="57"/>
        <v>454.20310000000001</v>
      </c>
      <c r="AM149" s="31">
        <f t="shared" si="57"/>
        <v>908.40620000000001</v>
      </c>
      <c r="AN149" s="34">
        <f t="shared" si="51"/>
        <v>908.40620000000001</v>
      </c>
      <c r="AO149" s="35">
        <f t="shared" si="52"/>
        <v>17646.483799999998</v>
      </c>
      <c r="AP149" s="34">
        <f t="shared" si="40"/>
        <v>10714.534666666666</v>
      </c>
      <c r="AQ149" s="34">
        <f t="shared" si="41"/>
        <v>17300.829999999998</v>
      </c>
      <c r="AR149" s="34">
        <f t="shared" si="42"/>
        <v>1454.348</v>
      </c>
      <c r="AS149" s="34"/>
      <c r="AT149" s="34"/>
      <c r="AU149" s="34"/>
      <c r="AV149" s="99"/>
      <c r="AW149" s="99"/>
      <c r="AX149" s="99"/>
      <c r="AY149" s="34">
        <f t="shared" si="43"/>
        <v>2908.6959999999999</v>
      </c>
      <c r="AZ149" s="31">
        <v>0.26</v>
      </c>
      <c r="BA149" s="32">
        <f t="shared" si="44"/>
        <v>908.40620000000001</v>
      </c>
      <c r="BB149" s="32">
        <f t="shared" si="45"/>
        <v>1816.8124</v>
      </c>
      <c r="BC149" s="37">
        <f t="shared" si="58"/>
        <v>69.877399999999994</v>
      </c>
      <c r="BD149" s="37">
        <f t="shared" si="58"/>
        <v>139.75479999999999</v>
      </c>
      <c r="BE149" s="34">
        <f t="shared" si="53"/>
        <v>556.64670000000001</v>
      </c>
      <c r="BF149" s="34">
        <f t="shared" si="54"/>
        <v>1484.3685199999995</v>
      </c>
      <c r="BG149" s="29" t="s">
        <v>1260</v>
      </c>
      <c r="BH149" s="29" t="s">
        <v>1261</v>
      </c>
      <c r="BI149" s="38" t="s">
        <v>1267</v>
      </c>
      <c r="BJ149" s="39" t="s">
        <v>1268</v>
      </c>
      <c r="BK149" s="39"/>
      <c r="BL149" s="39" t="s">
        <v>1264</v>
      </c>
      <c r="BM149" s="102" t="s">
        <v>1269</v>
      </c>
      <c r="BN149" s="39"/>
    </row>
    <row r="150" spans="1:66" s="6" customFormat="1" ht="39.950000000000003" hidden="1" customHeight="1" x14ac:dyDescent="0.25">
      <c r="A150" s="91" t="s">
        <v>1254</v>
      </c>
      <c r="B150" s="92">
        <v>41</v>
      </c>
      <c r="C150" s="93" t="s">
        <v>1265</v>
      </c>
      <c r="D150" s="93" t="s">
        <v>1270</v>
      </c>
      <c r="E150" s="94" t="s">
        <v>1257</v>
      </c>
      <c r="F150" s="77" t="s">
        <v>1258</v>
      </c>
      <c r="G150" s="77" t="s">
        <v>1259</v>
      </c>
      <c r="H150" s="88" t="s">
        <v>140</v>
      </c>
      <c r="I150" s="40" t="s">
        <v>437</v>
      </c>
      <c r="J150" s="40" t="s">
        <v>129</v>
      </c>
      <c r="K150" s="40" t="s">
        <v>129</v>
      </c>
      <c r="L150" s="40" t="s">
        <v>11</v>
      </c>
      <c r="M150" s="103"/>
      <c r="N150" s="103">
        <v>44682</v>
      </c>
      <c r="O150" s="105">
        <v>45291</v>
      </c>
      <c r="P150" s="95"/>
      <c r="Q150" s="88" t="s">
        <v>69</v>
      </c>
      <c r="R150" s="112"/>
      <c r="S150" s="97" t="s">
        <v>148</v>
      </c>
      <c r="T150" s="77">
        <v>30</v>
      </c>
      <c r="U150" s="77" t="s">
        <v>103</v>
      </c>
      <c r="V150" s="47">
        <f t="shared" ca="1" si="46"/>
        <v>46</v>
      </c>
      <c r="W150" s="98">
        <v>6147400</v>
      </c>
      <c r="X150" s="77">
        <v>182</v>
      </c>
      <c r="Y150" s="31">
        <f t="shared" si="47"/>
        <v>464.59333333333331</v>
      </c>
      <c r="Z150" s="31">
        <f t="shared" si="48"/>
        <v>6968.9</v>
      </c>
      <c r="AA150" s="32">
        <v>13937.8</v>
      </c>
      <c r="AB150" s="32">
        <v>284</v>
      </c>
      <c r="AC150" s="99"/>
      <c r="AD150" s="99"/>
      <c r="AE150" s="100"/>
      <c r="AF150" s="101"/>
      <c r="AG150" s="99"/>
      <c r="AH150" s="99"/>
      <c r="AI150" s="32">
        <v>26400</v>
      </c>
      <c r="AJ150" s="33">
        <f t="shared" si="50"/>
        <v>40621.800000000003</v>
      </c>
      <c r="AK150" s="54">
        <v>0</v>
      </c>
      <c r="AL150" s="31">
        <f t="shared" si="57"/>
        <v>905.95699999999999</v>
      </c>
      <c r="AM150" s="31">
        <f t="shared" si="57"/>
        <v>1811.914</v>
      </c>
      <c r="AN150" s="34">
        <f t="shared" si="51"/>
        <v>1811.914</v>
      </c>
      <c r="AO150" s="35">
        <f t="shared" si="52"/>
        <v>38809.886000000006</v>
      </c>
      <c r="AP150" s="34">
        <f t="shared" si="40"/>
        <v>21371.293333333331</v>
      </c>
      <c r="AQ150" s="34">
        <f t="shared" si="41"/>
        <v>40480</v>
      </c>
      <c r="AR150" s="34">
        <f t="shared" si="42"/>
        <v>2844.36</v>
      </c>
      <c r="AS150" s="34"/>
      <c r="AT150" s="34"/>
      <c r="AU150" s="34"/>
      <c r="AV150" s="99"/>
      <c r="AW150" s="99"/>
      <c r="AX150" s="99"/>
      <c r="AY150" s="34">
        <f t="shared" si="43"/>
        <v>5688.72</v>
      </c>
      <c r="AZ150" s="31">
        <v>0.26</v>
      </c>
      <c r="BA150" s="32">
        <f t="shared" si="44"/>
        <v>1811.914</v>
      </c>
      <c r="BB150" s="32">
        <f t="shared" si="45"/>
        <v>3623.828</v>
      </c>
      <c r="BC150" s="37">
        <f t="shared" si="58"/>
        <v>139.37799999999999</v>
      </c>
      <c r="BD150" s="37">
        <f t="shared" si="58"/>
        <v>278.75599999999997</v>
      </c>
      <c r="BE150" s="34">
        <f t="shared" si="53"/>
        <v>1218.654</v>
      </c>
      <c r="BF150" s="34">
        <f t="shared" si="54"/>
        <v>3244.8544000000002</v>
      </c>
      <c r="BG150" s="29" t="s">
        <v>1260</v>
      </c>
      <c r="BH150" s="29" t="s">
        <v>1261</v>
      </c>
      <c r="BI150" s="38" t="s">
        <v>1267</v>
      </c>
      <c r="BJ150" s="39" t="s">
        <v>1268</v>
      </c>
      <c r="BK150" s="39"/>
      <c r="BL150" s="39" t="s">
        <v>1264</v>
      </c>
      <c r="BM150" s="102">
        <v>2668459916</v>
      </c>
      <c r="BN150" s="39"/>
    </row>
    <row r="151" spans="1:66" s="6" customFormat="1" ht="39.950000000000003" hidden="1" customHeight="1" x14ac:dyDescent="0.25">
      <c r="A151" s="91" t="s">
        <v>1271</v>
      </c>
      <c r="B151" s="92">
        <v>35</v>
      </c>
      <c r="C151" s="93" t="s">
        <v>1272</v>
      </c>
      <c r="D151" s="93" t="s">
        <v>1273</v>
      </c>
      <c r="E151" s="94" t="s">
        <v>1274</v>
      </c>
      <c r="F151" s="77" t="s">
        <v>1275</v>
      </c>
      <c r="G151" s="77" t="s">
        <v>1276</v>
      </c>
      <c r="H151" s="88" t="s">
        <v>84</v>
      </c>
      <c r="I151" s="40" t="s">
        <v>783</v>
      </c>
      <c r="J151" s="40" t="s">
        <v>67</v>
      </c>
      <c r="K151" s="40" t="s">
        <v>688</v>
      </c>
      <c r="L151" s="40" t="s">
        <v>11</v>
      </c>
      <c r="M151" s="103">
        <v>44393</v>
      </c>
      <c r="N151" s="103"/>
      <c r="O151" s="105">
        <v>45077</v>
      </c>
      <c r="P151" s="95"/>
      <c r="Q151" s="88" t="s">
        <v>69</v>
      </c>
      <c r="R151" s="88"/>
      <c r="S151" s="97" t="s">
        <v>148</v>
      </c>
      <c r="T151" s="77">
        <v>11</v>
      </c>
      <c r="U151" s="77" t="s">
        <v>215</v>
      </c>
      <c r="V151" s="47">
        <f t="shared" ca="1" si="46"/>
        <v>32</v>
      </c>
      <c r="W151" s="98">
        <v>11167500</v>
      </c>
      <c r="X151" s="77">
        <v>180</v>
      </c>
      <c r="Y151" s="31">
        <f t="shared" si="47"/>
        <v>232.92466666666667</v>
      </c>
      <c r="Z151" s="31">
        <f t="shared" si="48"/>
        <v>3493.87</v>
      </c>
      <c r="AA151" s="32">
        <v>6987.74</v>
      </c>
      <c r="AB151" s="32">
        <v>284</v>
      </c>
      <c r="AC151" s="99"/>
      <c r="AD151" s="99"/>
      <c r="AE151" s="100"/>
      <c r="AF151" s="101"/>
      <c r="AG151" s="99"/>
      <c r="AH151" s="99"/>
      <c r="AI151" s="32">
        <v>11283.15</v>
      </c>
      <c r="AJ151" s="33">
        <f t="shared" si="50"/>
        <v>18554.89</v>
      </c>
      <c r="AK151" s="54">
        <v>0</v>
      </c>
      <c r="AL151" s="31">
        <f t="shared" si="57"/>
        <v>454.20310000000001</v>
      </c>
      <c r="AM151" s="31">
        <f t="shared" si="57"/>
        <v>908.40620000000001</v>
      </c>
      <c r="AN151" s="34">
        <f t="shared" si="51"/>
        <v>908.40620000000001</v>
      </c>
      <c r="AO151" s="35">
        <f t="shared" si="52"/>
        <v>17646.483799999998</v>
      </c>
      <c r="AP151" s="34">
        <f t="shared" si="40"/>
        <v>10714.534666666666</v>
      </c>
      <c r="AQ151" s="34">
        <f t="shared" si="41"/>
        <v>17300.829999999998</v>
      </c>
      <c r="AR151" s="34">
        <f t="shared" si="42"/>
        <v>1454.348</v>
      </c>
      <c r="AS151" s="34"/>
      <c r="AT151" s="34"/>
      <c r="AU151" s="34"/>
      <c r="AV151" s="99"/>
      <c r="AW151" s="99"/>
      <c r="AX151" s="99"/>
      <c r="AY151" s="34">
        <f t="shared" si="43"/>
        <v>2908.6959999999999</v>
      </c>
      <c r="AZ151" s="31">
        <v>0.26</v>
      </c>
      <c r="BA151" s="32">
        <f t="shared" si="44"/>
        <v>908.40620000000001</v>
      </c>
      <c r="BB151" s="32">
        <f t="shared" si="45"/>
        <v>1816.8124</v>
      </c>
      <c r="BC151" s="37">
        <f t="shared" si="58"/>
        <v>69.877399999999994</v>
      </c>
      <c r="BD151" s="37">
        <f t="shared" si="58"/>
        <v>139.75479999999999</v>
      </c>
      <c r="BE151" s="34">
        <f t="shared" si="53"/>
        <v>556.64670000000001</v>
      </c>
      <c r="BF151" s="34">
        <f t="shared" si="54"/>
        <v>1484.3685199999995</v>
      </c>
      <c r="BG151" s="59" t="s">
        <v>1277</v>
      </c>
      <c r="BH151" s="59" t="s">
        <v>1278</v>
      </c>
      <c r="BI151" s="38" t="s">
        <v>1279</v>
      </c>
      <c r="BJ151" s="39" t="s">
        <v>1280</v>
      </c>
      <c r="BK151" s="39" t="s">
        <v>1281</v>
      </c>
      <c r="BL151" s="39" t="s">
        <v>1282</v>
      </c>
      <c r="BM151" s="102" t="s">
        <v>1283</v>
      </c>
      <c r="BN151" s="39"/>
    </row>
    <row r="152" spans="1:66" s="6" customFormat="1" ht="39.950000000000003" hidden="1" customHeight="1" x14ac:dyDescent="0.25">
      <c r="A152" s="91" t="s">
        <v>1284</v>
      </c>
      <c r="B152" s="92">
        <v>21</v>
      </c>
      <c r="C152" s="93" t="s">
        <v>1285</v>
      </c>
      <c r="D152" s="93" t="s">
        <v>1286</v>
      </c>
      <c r="E152" s="113" t="s">
        <v>1287</v>
      </c>
      <c r="F152" s="84" t="s">
        <v>1288</v>
      </c>
      <c r="G152" s="84" t="s">
        <v>1289</v>
      </c>
      <c r="H152" s="88" t="s">
        <v>161</v>
      </c>
      <c r="I152" s="40" t="s">
        <v>162</v>
      </c>
      <c r="J152" s="40" t="s">
        <v>101</v>
      </c>
      <c r="K152" s="40" t="s">
        <v>328</v>
      </c>
      <c r="L152" s="40" t="s">
        <v>131</v>
      </c>
      <c r="M152" s="103">
        <v>44409</v>
      </c>
      <c r="N152" s="103"/>
      <c r="O152" s="105"/>
      <c r="P152" s="95"/>
      <c r="Q152" s="88" t="s">
        <v>69</v>
      </c>
      <c r="R152" s="88"/>
      <c r="S152" s="97" t="s">
        <v>148</v>
      </c>
      <c r="T152" s="77">
        <v>8</v>
      </c>
      <c r="U152" s="77" t="s">
        <v>243</v>
      </c>
      <c r="V152" s="47">
        <f t="shared" ca="1" si="46"/>
        <v>41</v>
      </c>
      <c r="W152" s="98">
        <v>11310500</v>
      </c>
      <c r="X152" s="77">
        <v>173</v>
      </c>
      <c r="Y152" s="31">
        <f t="shared" si="47"/>
        <v>200.13333333333333</v>
      </c>
      <c r="Z152" s="31">
        <f t="shared" si="48"/>
        <v>3002</v>
      </c>
      <c r="AA152" s="32">
        <v>6004</v>
      </c>
      <c r="AB152" s="32">
        <v>284</v>
      </c>
      <c r="AC152" s="99"/>
      <c r="AD152" s="99"/>
      <c r="AE152" s="100"/>
      <c r="AF152" s="101"/>
      <c r="AG152" s="99"/>
      <c r="AH152" s="99"/>
      <c r="AI152" s="32">
        <v>10984</v>
      </c>
      <c r="AJ152" s="33">
        <f t="shared" si="50"/>
        <v>17272</v>
      </c>
      <c r="AK152" s="54">
        <v>0</v>
      </c>
      <c r="AL152" s="31">
        <f t="shared" si="57"/>
        <v>390.26</v>
      </c>
      <c r="AM152" s="31">
        <f t="shared" si="57"/>
        <v>780.52</v>
      </c>
      <c r="AN152" s="34">
        <f t="shared" si="51"/>
        <v>780.52</v>
      </c>
      <c r="AO152" s="35">
        <f t="shared" si="52"/>
        <v>16491.48</v>
      </c>
      <c r="AP152" s="34">
        <f t="shared" si="40"/>
        <v>9206.1333333333332</v>
      </c>
      <c r="AQ152" s="34">
        <f t="shared" si="41"/>
        <v>16842.133333333331</v>
      </c>
      <c r="AR152" s="34">
        <f t="shared" si="42"/>
        <v>1257.5999999999999</v>
      </c>
      <c r="AS152" s="34"/>
      <c r="AT152" s="34"/>
      <c r="AU152" s="34"/>
      <c r="AV152" s="99"/>
      <c r="AW152" s="99"/>
      <c r="AX152" s="99"/>
      <c r="AY152" s="34">
        <f t="shared" si="43"/>
        <v>2515.1999999999998</v>
      </c>
      <c r="AZ152" s="31">
        <v>0.26</v>
      </c>
      <c r="BA152" s="32">
        <f t="shared" si="44"/>
        <v>780.52</v>
      </c>
      <c r="BB152" s="32">
        <f t="shared" si="45"/>
        <v>1561.04</v>
      </c>
      <c r="BC152" s="37">
        <f t="shared" si="58"/>
        <v>60.04</v>
      </c>
      <c r="BD152" s="37">
        <f t="shared" si="58"/>
        <v>120.08</v>
      </c>
      <c r="BE152" s="34">
        <f t="shared" si="53"/>
        <v>518.16</v>
      </c>
      <c r="BF152" s="34">
        <f t="shared" si="54"/>
        <v>1375.0639999999999</v>
      </c>
      <c r="BG152" s="59" t="s">
        <v>1290</v>
      </c>
      <c r="BH152" s="59" t="s">
        <v>1291</v>
      </c>
      <c r="BI152" s="38" t="s">
        <v>1292</v>
      </c>
      <c r="BJ152" s="39" t="s">
        <v>1293</v>
      </c>
      <c r="BK152" s="39"/>
      <c r="BL152" s="39" t="s">
        <v>166</v>
      </c>
      <c r="BM152" s="102">
        <v>1536257666</v>
      </c>
      <c r="BN152" s="39"/>
    </row>
    <row r="153" spans="1:66" s="6" customFormat="1" ht="39.950000000000003" hidden="1" customHeight="1" x14ac:dyDescent="0.25">
      <c r="A153" s="91" t="s">
        <v>1284</v>
      </c>
      <c r="B153" s="92">
        <v>21</v>
      </c>
      <c r="C153" s="93" t="s">
        <v>1286</v>
      </c>
      <c r="D153" s="93" t="s">
        <v>1294</v>
      </c>
      <c r="E153" s="113" t="s">
        <v>1287</v>
      </c>
      <c r="F153" s="84" t="s">
        <v>1288</v>
      </c>
      <c r="G153" s="84" t="s">
        <v>1289</v>
      </c>
      <c r="H153" s="88" t="s">
        <v>315</v>
      </c>
      <c r="I153" s="40" t="s">
        <v>316</v>
      </c>
      <c r="J153" s="40" t="s">
        <v>101</v>
      </c>
      <c r="K153" s="40" t="s">
        <v>328</v>
      </c>
      <c r="L153" s="40" t="s">
        <v>11</v>
      </c>
      <c r="M153" s="103"/>
      <c r="N153" s="103">
        <v>44927</v>
      </c>
      <c r="O153" s="105">
        <v>45443</v>
      </c>
      <c r="P153" s="95"/>
      <c r="Q153" s="88" t="s">
        <v>69</v>
      </c>
      <c r="R153" s="88"/>
      <c r="S153" s="97" t="s">
        <v>148</v>
      </c>
      <c r="T153" s="77">
        <v>8</v>
      </c>
      <c r="U153" s="77" t="s">
        <v>243</v>
      </c>
      <c r="V153" s="47">
        <f t="shared" ca="1" si="46"/>
        <v>41</v>
      </c>
      <c r="W153" s="98">
        <v>11310500</v>
      </c>
      <c r="X153" s="77"/>
      <c r="Y153" s="31">
        <f t="shared" si="47"/>
        <v>232.92466666666667</v>
      </c>
      <c r="Z153" s="31">
        <f t="shared" si="48"/>
        <v>3493.87</v>
      </c>
      <c r="AA153" s="32">
        <v>6987.74</v>
      </c>
      <c r="AB153" s="32">
        <v>284</v>
      </c>
      <c r="AC153" s="99"/>
      <c r="AD153" s="99"/>
      <c r="AE153" s="100"/>
      <c r="AF153" s="101"/>
      <c r="AG153" s="99"/>
      <c r="AH153" s="99"/>
      <c r="AI153" s="32">
        <v>10000</v>
      </c>
      <c r="AJ153" s="33">
        <f t="shared" si="50"/>
        <v>17271.739999999998</v>
      </c>
      <c r="AK153" s="54">
        <v>0</v>
      </c>
      <c r="AL153" s="31">
        <f t="shared" si="57"/>
        <v>454.20310000000001</v>
      </c>
      <c r="AM153" s="31">
        <f t="shared" si="57"/>
        <v>908.40620000000001</v>
      </c>
      <c r="AN153" s="34">
        <f t="shared" si="51"/>
        <v>908.40620000000001</v>
      </c>
      <c r="AO153" s="35">
        <f t="shared" si="52"/>
        <v>16363.333799999999</v>
      </c>
      <c r="AP153" s="34">
        <f t="shared" si="40"/>
        <v>10714.534666666666</v>
      </c>
      <c r="AQ153" s="34">
        <f t="shared" si="41"/>
        <v>15333.333333333332</v>
      </c>
      <c r="AR153" s="34">
        <f t="shared" si="42"/>
        <v>1454.348</v>
      </c>
      <c r="AS153" s="34"/>
      <c r="AT153" s="34"/>
      <c r="AU153" s="34"/>
      <c r="AV153" s="99"/>
      <c r="AW153" s="99"/>
      <c r="AX153" s="99"/>
      <c r="AY153" s="34">
        <f t="shared" si="43"/>
        <v>2908.6959999999999</v>
      </c>
      <c r="AZ153" s="31">
        <v>0.26</v>
      </c>
      <c r="BA153" s="32">
        <f t="shared" si="44"/>
        <v>908.40620000000001</v>
      </c>
      <c r="BB153" s="32">
        <f t="shared" si="45"/>
        <v>1816.8124</v>
      </c>
      <c r="BC153" s="37">
        <f t="shared" si="58"/>
        <v>69.877399999999994</v>
      </c>
      <c r="BD153" s="37">
        <f t="shared" si="58"/>
        <v>139.75479999999999</v>
      </c>
      <c r="BE153" s="34">
        <f t="shared" si="53"/>
        <v>518.15219999999988</v>
      </c>
      <c r="BF153" s="34">
        <f t="shared" si="54"/>
        <v>1386.8491199999996</v>
      </c>
      <c r="BG153" s="59" t="s">
        <v>1290</v>
      </c>
      <c r="BH153" s="59" t="s">
        <v>1291</v>
      </c>
      <c r="BI153" s="38" t="s">
        <v>1292</v>
      </c>
      <c r="BJ153" s="39" t="s">
        <v>1293</v>
      </c>
      <c r="BK153" s="39" t="s">
        <v>1293</v>
      </c>
      <c r="BL153" s="39" t="s">
        <v>166</v>
      </c>
      <c r="BM153" s="102" t="s">
        <v>1295</v>
      </c>
      <c r="BN153" s="39"/>
    </row>
    <row r="154" spans="1:66" s="6" customFormat="1" ht="39.950000000000003" hidden="1" customHeight="1" x14ac:dyDescent="0.25">
      <c r="A154" s="91" t="s">
        <v>1296</v>
      </c>
      <c r="B154" s="92"/>
      <c r="C154" s="93"/>
      <c r="D154" s="93"/>
      <c r="E154" s="94" t="s">
        <v>1222</v>
      </c>
      <c r="F154" s="95"/>
      <c r="G154" s="77"/>
      <c r="H154" s="88"/>
      <c r="I154" s="40"/>
      <c r="J154" s="40"/>
      <c r="K154" s="40"/>
      <c r="L154" s="40"/>
      <c r="M154" s="103"/>
      <c r="N154" s="103"/>
      <c r="O154" s="105"/>
      <c r="P154" s="95"/>
      <c r="Q154" s="88"/>
      <c r="R154" s="88"/>
      <c r="S154" s="97"/>
      <c r="T154" s="77"/>
      <c r="U154" s="77"/>
      <c r="V154" s="47" t="e">
        <f t="shared" ca="1" si="46"/>
        <v>#VALUE!</v>
      </c>
      <c r="W154" s="98"/>
      <c r="X154" s="77"/>
      <c r="Y154" s="31">
        <f t="shared" si="47"/>
        <v>0</v>
      </c>
      <c r="Z154" s="31">
        <f t="shared" si="48"/>
        <v>0</v>
      </c>
      <c r="AA154" s="32"/>
      <c r="AB154" s="32"/>
      <c r="AC154" s="99"/>
      <c r="AD154" s="99"/>
      <c r="AE154" s="100"/>
      <c r="AF154" s="101"/>
      <c r="AG154" s="99"/>
      <c r="AH154" s="99"/>
      <c r="AI154" s="32"/>
      <c r="AJ154" s="33">
        <f t="shared" si="50"/>
        <v>0</v>
      </c>
      <c r="AK154" s="54">
        <v>0</v>
      </c>
      <c r="AL154" s="31">
        <f t="shared" si="57"/>
        <v>0</v>
      </c>
      <c r="AM154" s="31">
        <f t="shared" si="57"/>
        <v>0</v>
      </c>
      <c r="AN154" s="34">
        <f t="shared" si="51"/>
        <v>0</v>
      </c>
      <c r="AO154" s="35">
        <f t="shared" si="52"/>
        <v>0</v>
      </c>
      <c r="AP154" s="34">
        <f t="shared" si="40"/>
        <v>0</v>
      </c>
      <c r="AQ154" s="34">
        <f t="shared" si="41"/>
        <v>0</v>
      </c>
      <c r="AR154" s="34">
        <f t="shared" si="42"/>
        <v>0</v>
      </c>
      <c r="AS154" s="34"/>
      <c r="AT154" s="34"/>
      <c r="AU154" s="34"/>
      <c r="AV154" s="99"/>
      <c r="AW154" s="99"/>
      <c r="AX154" s="99"/>
      <c r="AY154" s="34">
        <f t="shared" si="43"/>
        <v>0</v>
      </c>
      <c r="AZ154" s="31"/>
      <c r="BA154" s="32">
        <f t="shared" si="44"/>
        <v>0</v>
      </c>
      <c r="BB154" s="32">
        <f t="shared" si="45"/>
        <v>0</v>
      </c>
      <c r="BC154" s="37">
        <f t="shared" si="58"/>
        <v>0</v>
      </c>
      <c r="BD154" s="37">
        <f t="shared" si="58"/>
        <v>0</v>
      </c>
      <c r="BE154" s="34">
        <f t="shared" si="53"/>
        <v>0</v>
      </c>
      <c r="BF154" s="34">
        <f t="shared" si="54"/>
        <v>0</v>
      </c>
      <c r="BG154" s="29"/>
      <c r="BH154" s="29"/>
      <c r="BI154" s="38"/>
      <c r="BJ154" s="39"/>
      <c r="BK154" s="39"/>
      <c r="BL154" s="39"/>
      <c r="BM154" s="102"/>
      <c r="BN154" s="39"/>
    </row>
    <row r="155" spans="1:66" s="6" customFormat="1" ht="39.950000000000003" hidden="1" customHeight="1" x14ac:dyDescent="0.25">
      <c r="A155" s="91" t="s">
        <v>1297</v>
      </c>
      <c r="B155" s="92">
        <v>61</v>
      </c>
      <c r="C155" s="93" t="s">
        <v>1298</v>
      </c>
      <c r="D155" s="93" t="s">
        <v>1299</v>
      </c>
      <c r="E155" s="106" t="s">
        <v>1300</v>
      </c>
      <c r="F155" s="38" t="s">
        <v>1301</v>
      </c>
      <c r="G155" s="38" t="s">
        <v>1302</v>
      </c>
      <c r="H155" s="88" t="s">
        <v>161</v>
      </c>
      <c r="I155" s="40" t="s">
        <v>162</v>
      </c>
      <c r="J155" s="40" t="s">
        <v>68</v>
      </c>
      <c r="K155" s="40" t="s">
        <v>1303</v>
      </c>
      <c r="L155" s="40" t="s">
        <v>11</v>
      </c>
      <c r="M155" s="96">
        <v>44440</v>
      </c>
      <c r="N155" s="96"/>
      <c r="O155" s="105">
        <v>44681</v>
      </c>
      <c r="P155" s="95"/>
      <c r="Q155" s="88" t="s">
        <v>69</v>
      </c>
      <c r="R155" s="88"/>
      <c r="S155" s="97" t="s">
        <v>148</v>
      </c>
      <c r="T155" s="77">
        <v>10</v>
      </c>
      <c r="U155" s="77" t="s">
        <v>463</v>
      </c>
      <c r="V155" s="47">
        <f t="shared" ca="1" si="46"/>
        <v>43</v>
      </c>
      <c r="W155" s="98">
        <v>10750500</v>
      </c>
      <c r="X155" s="77">
        <v>190</v>
      </c>
      <c r="Y155" s="31">
        <f t="shared" si="47"/>
        <v>200.13333333333333</v>
      </c>
      <c r="Z155" s="31">
        <f t="shared" si="48"/>
        <v>3002</v>
      </c>
      <c r="AA155" s="32">
        <v>6004</v>
      </c>
      <c r="AB155" s="32">
        <v>284</v>
      </c>
      <c r="AC155" s="99"/>
      <c r="AD155" s="99"/>
      <c r="AE155" s="100"/>
      <c r="AF155" s="101"/>
      <c r="AG155" s="99"/>
      <c r="AH155" s="99"/>
      <c r="AI155" s="32">
        <v>10984</v>
      </c>
      <c r="AJ155" s="33">
        <f t="shared" si="50"/>
        <v>17272</v>
      </c>
      <c r="AK155" s="54">
        <v>0</v>
      </c>
      <c r="AL155" s="31">
        <f t="shared" si="57"/>
        <v>390.26</v>
      </c>
      <c r="AM155" s="31">
        <f t="shared" si="57"/>
        <v>780.52</v>
      </c>
      <c r="AN155" s="34">
        <f t="shared" si="51"/>
        <v>780.52</v>
      </c>
      <c r="AO155" s="35">
        <f t="shared" si="52"/>
        <v>16491.48</v>
      </c>
      <c r="AP155" s="34">
        <f t="shared" si="40"/>
        <v>9206.1333333333332</v>
      </c>
      <c r="AQ155" s="34">
        <f t="shared" si="41"/>
        <v>16842.133333333331</v>
      </c>
      <c r="AR155" s="34">
        <f t="shared" si="42"/>
        <v>1257.5999999999999</v>
      </c>
      <c r="AS155" s="34"/>
      <c r="AT155" s="34"/>
      <c r="AU155" s="34"/>
      <c r="AV155" s="99"/>
      <c r="AW155" s="99"/>
      <c r="AX155" s="99"/>
      <c r="AY155" s="34">
        <f t="shared" si="43"/>
        <v>2515.1999999999998</v>
      </c>
      <c r="AZ155" s="31">
        <v>0.19</v>
      </c>
      <c r="BA155" s="32">
        <f t="shared" si="44"/>
        <v>570.38</v>
      </c>
      <c r="BB155" s="32">
        <f t="shared" si="45"/>
        <v>1140.76</v>
      </c>
      <c r="BC155" s="37">
        <f t="shared" si="58"/>
        <v>60.04</v>
      </c>
      <c r="BD155" s="37">
        <f t="shared" si="58"/>
        <v>120.08</v>
      </c>
      <c r="BE155" s="34">
        <f t="shared" si="53"/>
        <v>518.16</v>
      </c>
      <c r="BF155" s="34">
        <f t="shared" si="54"/>
        <v>1375.0639999999999</v>
      </c>
      <c r="BG155" s="29" t="s">
        <v>1304</v>
      </c>
      <c r="BH155" s="59" t="s">
        <v>1305</v>
      </c>
      <c r="BI155" s="38" t="s">
        <v>1306</v>
      </c>
      <c r="BJ155" s="39" t="s">
        <v>1307</v>
      </c>
      <c r="BK155" s="39"/>
      <c r="BL155" s="39" t="s">
        <v>1308</v>
      </c>
      <c r="BM155" s="102">
        <v>1522337522</v>
      </c>
      <c r="BN155" s="39"/>
    </row>
    <row r="156" spans="1:66" s="6" customFormat="1" ht="39.950000000000003" hidden="1" customHeight="1" x14ac:dyDescent="0.25">
      <c r="A156" s="91" t="s">
        <v>1309</v>
      </c>
      <c r="B156" s="107">
        <v>60</v>
      </c>
      <c r="C156" s="108" t="s">
        <v>1310</v>
      </c>
      <c r="D156" s="108" t="s">
        <v>1311</v>
      </c>
      <c r="E156" s="39" t="s">
        <v>1312</v>
      </c>
      <c r="F156" s="29" t="s">
        <v>1313</v>
      </c>
      <c r="G156" s="38" t="s">
        <v>1314</v>
      </c>
      <c r="H156" s="88" t="s">
        <v>161</v>
      </c>
      <c r="I156" s="40" t="s">
        <v>162</v>
      </c>
      <c r="J156" s="40" t="s">
        <v>68</v>
      </c>
      <c r="K156" s="40" t="s">
        <v>996</v>
      </c>
      <c r="L156" s="40" t="s">
        <v>131</v>
      </c>
      <c r="M156" s="96">
        <v>44440</v>
      </c>
      <c r="N156" s="96"/>
      <c r="O156" s="105"/>
      <c r="P156" s="111"/>
      <c r="Q156" s="88" t="s">
        <v>69</v>
      </c>
      <c r="R156" s="88"/>
      <c r="S156" s="97" t="s">
        <v>70</v>
      </c>
      <c r="T156" s="77">
        <v>22</v>
      </c>
      <c r="U156" s="77" t="s">
        <v>463</v>
      </c>
      <c r="V156" s="47">
        <f t="shared" ca="1" si="46"/>
        <v>39</v>
      </c>
      <c r="W156" s="98">
        <v>11164500</v>
      </c>
      <c r="X156" s="77">
        <v>190</v>
      </c>
      <c r="Y156" s="31">
        <f t="shared" si="47"/>
        <v>200.13333333333333</v>
      </c>
      <c r="Z156" s="31">
        <f t="shared" si="48"/>
        <v>3002</v>
      </c>
      <c r="AA156" s="32">
        <v>6004</v>
      </c>
      <c r="AB156" s="32">
        <v>284</v>
      </c>
      <c r="AC156" s="99"/>
      <c r="AD156" s="99"/>
      <c r="AE156" s="100"/>
      <c r="AF156" s="101"/>
      <c r="AG156" s="99"/>
      <c r="AH156" s="99"/>
      <c r="AI156" s="32">
        <v>10984</v>
      </c>
      <c r="AJ156" s="33">
        <f t="shared" si="50"/>
        <v>17272</v>
      </c>
      <c r="AK156" s="54">
        <v>0</v>
      </c>
      <c r="AL156" s="31">
        <f t="shared" si="57"/>
        <v>390.26</v>
      </c>
      <c r="AM156" s="31">
        <f t="shared" si="57"/>
        <v>780.52</v>
      </c>
      <c r="AN156" s="34">
        <f t="shared" si="51"/>
        <v>780.52</v>
      </c>
      <c r="AO156" s="35">
        <f t="shared" si="52"/>
        <v>16491.48</v>
      </c>
      <c r="AP156" s="34">
        <f t="shared" si="40"/>
        <v>9206.1333333333332</v>
      </c>
      <c r="AQ156" s="34">
        <f t="shared" si="41"/>
        <v>16842.133333333331</v>
      </c>
      <c r="AR156" s="34">
        <f t="shared" si="42"/>
        <v>1257.5999999999999</v>
      </c>
      <c r="AS156" s="34"/>
      <c r="AT156" s="34"/>
      <c r="AU156" s="34"/>
      <c r="AV156" s="99"/>
      <c r="AW156" s="99"/>
      <c r="AX156" s="99"/>
      <c r="AY156" s="34">
        <f t="shared" si="43"/>
        <v>2515.1999999999998</v>
      </c>
      <c r="AZ156" s="31">
        <v>0.26</v>
      </c>
      <c r="BA156" s="32">
        <f t="shared" si="44"/>
        <v>780.52</v>
      </c>
      <c r="BB156" s="32">
        <f t="shared" si="45"/>
        <v>1561.04</v>
      </c>
      <c r="BC156" s="37">
        <f t="shared" si="58"/>
        <v>60.04</v>
      </c>
      <c r="BD156" s="37">
        <f t="shared" si="58"/>
        <v>120.08</v>
      </c>
      <c r="BE156" s="34">
        <f t="shared" si="53"/>
        <v>518.16</v>
      </c>
      <c r="BF156" s="34">
        <f t="shared" si="54"/>
        <v>1375.0639999999999</v>
      </c>
      <c r="BG156" s="59" t="s">
        <v>1315</v>
      </c>
      <c r="BH156" s="59" t="s">
        <v>1316</v>
      </c>
      <c r="BI156" s="38" t="s">
        <v>1317</v>
      </c>
      <c r="BJ156" s="39" t="s">
        <v>1318</v>
      </c>
      <c r="BK156" s="39"/>
      <c r="BL156" s="39" t="s">
        <v>1319</v>
      </c>
      <c r="BM156" s="102">
        <v>1571931811</v>
      </c>
      <c r="BN156" s="39"/>
    </row>
    <row r="157" spans="1:66" s="6" customFormat="1" ht="39.950000000000003" hidden="1" customHeight="1" x14ac:dyDescent="0.25">
      <c r="A157" s="91" t="s">
        <v>1309</v>
      </c>
      <c r="B157" s="107">
        <v>60</v>
      </c>
      <c r="C157" s="108" t="s">
        <v>1311</v>
      </c>
      <c r="D157" s="108" t="s">
        <v>1320</v>
      </c>
      <c r="E157" s="39" t="s">
        <v>1312</v>
      </c>
      <c r="F157" s="29" t="s">
        <v>1313</v>
      </c>
      <c r="G157" s="38" t="s">
        <v>1314</v>
      </c>
      <c r="H157" s="88" t="s">
        <v>315</v>
      </c>
      <c r="I157" s="40" t="s">
        <v>316</v>
      </c>
      <c r="J157" s="40" t="s">
        <v>68</v>
      </c>
      <c r="K157" s="40" t="s">
        <v>996</v>
      </c>
      <c r="L157" s="40" t="s">
        <v>11</v>
      </c>
      <c r="M157" s="96"/>
      <c r="N157" s="96">
        <v>44927</v>
      </c>
      <c r="O157" s="105">
        <v>45504</v>
      </c>
      <c r="P157" s="111"/>
      <c r="Q157" s="88" t="s">
        <v>69</v>
      </c>
      <c r="R157" s="88"/>
      <c r="S157" s="97" t="s">
        <v>70</v>
      </c>
      <c r="T157" s="77">
        <v>22</v>
      </c>
      <c r="U157" s="77" t="s">
        <v>463</v>
      </c>
      <c r="V157" s="47">
        <f t="shared" ca="1" si="46"/>
        <v>39</v>
      </c>
      <c r="W157" s="98"/>
      <c r="X157" s="77"/>
      <c r="Y157" s="31">
        <f t="shared" si="47"/>
        <v>232.92466666666667</v>
      </c>
      <c r="Z157" s="31">
        <f t="shared" si="48"/>
        <v>3493.87</v>
      </c>
      <c r="AA157" s="32">
        <v>6987.74</v>
      </c>
      <c r="AB157" s="32">
        <v>284</v>
      </c>
      <c r="AC157" s="99"/>
      <c r="AD157" s="99"/>
      <c r="AE157" s="100"/>
      <c r="AF157" s="101"/>
      <c r="AG157" s="99"/>
      <c r="AH157" s="99"/>
      <c r="AI157" s="32">
        <v>10000</v>
      </c>
      <c r="AJ157" s="33">
        <f t="shared" si="50"/>
        <v>17271.739999999998</v>
      </c>
      <c r="AK157" s="54">
        <v>0</v>
      </c>
      <c r="AL157" s="31">
        <f t="shared" si="57"/>
        <v>454.20310000000001</v>
      </c>
      <c r="AM157" s="31">
        <f t="shared" si="57"/>
        <v>908.40620000000001</v>
      </c>
      <c r="AN157" s="34">
        <f t="shared" si="51"/>
        <v>908.40620000000001</v>
      </c>
      <c r="AO157" s="35">
        <f t="shared" si="52"/>
        <v>16363.333799999999</v>
      </c>
      <c r="AP157" s="34">
        <f t="shared" si="40"/>
        <v>10714.534666666666</v>
      </c>
      <c r="AQ157" s="34">
        <f t="shared" si="41"/>
        <v>15333.333333333332</v>
      </c>
      <c r="AR157" s="34">
        <f t="shared" si="42"/>
        <v>1454.348</v>
      </c>
      <c r="AS157" s="34"/>
      <c r="AT157" s="34"/>
      <c r="AU157" s="34"/>
      <c r="AV157" s="99"/>
      <c r="AW157" s="99"/>
      <c r="AX157" s="99"/>
      <c r="AY157" s="34">
        <f t="shared" si="43"/>
        <v>2908.6959999999999</v>
      </c>
      <c r="AZ157" s="31">
        <v>0.26</v>
      </c>
      <c r="BA157" s="32">
        <f t="shared" si="44"/>
        <v>908.40620000000001</v>
      </c>
      <c r="BB157" s="32">
        <f t="shared" si="45"/>
        <v>1816.8124</v>
      </c>
      <c r="BC157" s="37">
        <f t="shared" si="58"/>
        <v>69.877399999999994</v>
      </c>
      <c r="BD157" s="37">
        <f t="shared" si="58"/>
        <v>139.75479999999999</v>
      </c>
      <c r="BE157" s="34">
        <f t="shared" si="53"/>
        <v>518.15219999999988</v>
      </c>
      <c r="BF157" s="34">
        <f t="shared" si="54"/>
        <v>1386.8491199999996</v>
      </c>
      <c r="BG157" s="59" t="s">
        <v>1315</v>
      </c>
      <c r="BH157" s="59" t="s">
        <v>1316</v>
      </c>
      <c r="BI157" s="38" t="s">
        <v>1317</v>
      </c>
      <c r="BJ157" s="39" t="s">
        <v>1318</v>
      </c>
      <c r="BK157" s="39" t="s">
        <v>1321</v>
      </c>
      <c r="BL157" s="39" t="s">
        <v>1319</v>
      </c>
      <c r="BM157" s="102" t="s">
        <v>1322</v>
      </c>
      <c r="BN157" s="39"/>
    </row>
    <row r="158" spans="1:66" s="6" customFormat="1" ht="39.950000000000003" hidden="1" customHeight="1" x14ac:dyDescent="0.25">
      <c r="A158" s="91" t="s">
        <v>1323</v>
      </c>
      <c r="B158" s="107">
        <v>4</v>
      </c>
      <c r="C158" s="108" t="s">
        <v>1324</v>
      </c>
      <c r="D158" s="108" t="s">
        <v>1325</v>
      </c>
      <c r="E158" s="39" t="s">
        <v>1326</v>
      </c>
      <c r="F158" s="29" t="s">
        <v>1327</v>
      </c>
      <c r="G158" s="38" t="s">
        <v>1328</v>
      </c>
      <c r="H158" s="88" t="s">
        <v>84</v>
      </c>
      <c r="I158" s="40" t="s">
        <v>1266</v>
      </c>
      <c r="J158" s="40" t="s">
        <v>129</v>
      </c>
      <c r="K158" s="40" t="s">
        <v>688</v>
      </c>
      <c r="L158" s="40" t="s">
        <v>131</v>
      </c>
      <c r="M158" s="96">
        <v>44440</v>
      </c>
      <c r="N158" s="96"/>
      <c r="O158" s="105"/>
      <c r="P158" s="111"/>
      <c r="Q158" s="88" t="s">
        <v>69</v>
      </c>
      <c r="R158" s="88"/>
      <c r="S158" s="97" t="s">
        <v>148</v>
      </c>
      <c r="T158" s="77">
        <v>28</v>
      </c>
      <c r="U158" s="77" t="s">
        <v>88</v>
      </c>
      <c r="V158" s="47">
        <f t="shared" ca="1" si="46"/>
        <v>30</v>
      </c>
      <c r="W158" s="98">
        <v>11164300</v>
      </c>
      <c r="X158" s="77">
        <v>185</v>
      </c>
      <c r="Y158" s="31">
        <f t="shared" si="47"/>
        <v>232.92466666666667</v>
      </c>
      <c r="Z158" s="31">
        <f t="shared" si="48"/>
        <v>3493.87</v>
      </c>
      <c r="AA158" s="32">
        <v>6987.74</v>
      </c>
      <c r="AB158" s="32">
        <v>284</v>
      </c>
      <c r="AC158" s="99"/>
      <c r="AD158" s="99"/>
      <c r="AE158" s="100"/>
      <c r="AF158" s="101"/>
      <c r="AG158" s="99"/>
      <c r="AH158" s="99"/>
      <c r="AI158" s="32">
        <v>11283.15</v>
      </c>
      <c r="AJ158" s="33">
        <f t="shared" si="50"/>
        <v>18554.89</v>
      </c>
      <c r="AK158" s="54">
        <v>0</v>
      </c>
      <c r="AL158" s="31">
        <f t="shared" si="57"/>
        <v>454.20310000000001</v>
      </c>
      <c r="AM158" s="31">
        <f t="shared" si="57"/>
        <v>908.40620000000001</v>
      </c>
      <c r="AN158" s="34">
        <f t="shared" si="51"/>
        <v>908.40620000000001</v>
      </c>
      <c r="AO158" s="35">
        <f t="shared" si="52"/>
        <v>17646.483799999998</v>
      </c>
      <c r="AP158" s="34">
        <f t="shared" si="40"/>
        <v>10714.534666666666</v>
      </c>
      <c r="AQ158" s="34">
        <f t="shared" si="41"/>
        <v>17300.829999999998</v>
      </c>
      <c r="AR158" s="34">
        <f t="shared" si="42"/>
        <v>1454.348</v>
      </c>
      <c r="AS158" s="34"/>
      <c r="AT158" s="34"/>
      <c r="AU158" s="34"/>
      <c r="AV158" s="99"/>
      <c r="AW158" s="99"/>
      <c r="AX158" s="99"/>
      <c r="AY158" s="34">
        <f t="shared" si="43"/>
        <v>2908.6959999999999</v>
      </c>
      <c r="AZ158" s="31">
        <v>0.26</v>
      </c>
      <c r="BA158" s="32">
        <f t="shared" si="44"/>
        <v>908.40620000000001</v>
      </c>
      <c r="BB158" s="32">
        <f t="shared" si="45"/>
        <v>1816.8124</v>
      </c>
      <c r="BC158" s="37">
        <f t="shared" si="58"/>
        <v>69.877399999999994</v>
      </c>
      <c r="BD158" s="37">
        <f t="shared" si="58"/>
        <v>139.75479999999999</v>
      </c>
      <c r="BE158" s="34">
        <f t="shared" si="53"/>
        <v>556.64670000000001</v>
      </c>
      <c r="BF158" s="34">
        <f t="shared" si="54"/>
        <v>1484.3685199999995</v>
      </c>
      <c r="BG158" s="59" t="s">
        <v>1329</v>
      </c>
      <c r="BH158" s="59" t="s">
        <v>1330</v>
      </c>
      <c r="BI158" s="38" t="s">
        <v>1331</v>
      </c>
      <c r="BJ158" s="39" t="s">
        <v>1332</v>
      </c>
      <c r="BK158" s="39"/>
      <c r="BL158" s="39" t="s">
        <v>455</v>
      </c>
      <c r="BM158" s="102">
        <v>1543625187</v>
      </c>
      <c r="BN158" s="39"/>
    </row>
    <row r="159" spans="1:66" s="6" customFormat="1" ht="39.950000000000003" hidden="1" customHeight="1" x14ac:dyDescent="0.25">
      <c r="A159" s="91" t="s">
        <v>1323</v>
      </c>
      <c r="B159" s="107">
        <v>44</v>
      </c>
      <c r="C159" s="108" t="s">
        <v>1325</v>
      </c>
      <c r="D159" s="108"/>
      <c r="E159" s="39" t="s">
        <v>1326</v>
      </c>
      <c r="F159" s="29" t="s">
        <v>1327</v>
      </c>
      <c r="G159" s="38" t="s">
        <v>1328</v>
      </c>
      <c r="H159" s="88" t="s">
        <v>161</v>
      </c>
      <c r="I159" s="40" t="s">
        <v>162</v>
      </c>
      <c r="J159" s="40" t="s">
        <v>67</v>
      </c>
      <c r="K159" s="40" t="s">
        <v>688</v>
      </c>
      <c r="L159" s="40" t="s">
        <v>11</v>
      </c>
      <c r="M159" s="96">
        <v>44440</v>
      </c>
      <c r="N159" s="96"/>
      <c r="O159" s="105">
        <v>44681</v>
      </c>
      <c r="P159" s="111"/>
      <c r="Q159" s="88" t="s">
        <v>69</v>
      </c>
      <c r="R159" s="88"/>
      <c r="S159" s="97" t="s">
        <v>148</v>
      </c>
      <c r="T159" s="77">
        <v>28</v>
      </c>
      <c r="U159" s="77" t="s">
        <v>88</v>
      </c>
      <c r="V159" s="47">
        <f t="shared" ca="1" si="46"/>
        <v>30</v>
      </c>
      <c r="W159" s="98">
        <v>11164300</v>
      </c>
      <c r="X159" s="77"/>
      <c r="Y159" s="31">
        <f t="shared" si="47"/>
        <v>200.13333333333333</v>
      </c>
      <c r="Z159" s="31">
        <f t="shared" si="48"/>
        <v>3002</v>
      </c>
      <c r="AA159" s="32">
        <v>6004</v>
      </c>
      <c r="AB159" s="32">
        <v>284</v>
      </c>
      <c r="AC159" s="99"/>
      <c r="AD159" s="99"/>
      <c r="AE159" s="100"/>
      <c r="AF159" s="101"/>
      <c r="AG159" s="99"/>
      <c r="AH159" s="99"/>
      <c r="AI159" s="32">
        <v>10984</v>
      </c>
      <c r="AJ159" s="33">
        <f t="shared" si="50"/>
        <v>17272</v>
      </c>
      <c r="AK159" s="54">
        <v>0</v>
      </c>
      <c r="AL159" s="31">
        <f t="shared" si="57"/>
        <v>390.26</v>
      </c>
      <c r="AM159" s="31">
        <f t="shared" si="57"/>
        <v>780.52</v>
      </c>
      <c r="AN159" s="34">
        <f t="shared" si="51"/>
        <v>780.52</v>
      </c>
      <c r="AO159" s="35">
        <f t="shared" si="52"/>
        <v>16491.48</v>
      </c>
      <c r="AP159" s="34">
        <f t="shared" si="40"/>
        <v>9206.1333333333332</v>
      </c>
      <c r="AQ159" s="34">
        <f t="shared" si="41"/>
        <v>16842.133333333331</v>
      </c>
      <c r="AR159" s="34">
        <f t="shared" si="42"/>
        <v>1257.5999999999999</v>
      </c>
      <c r="AS159" s="34"/>
      <c r="AT159" s="34"/>
      <c r="AU159" s="34"/>
      <c r="AV159" s="99"/>
      <c r="AW159" s="99"/>
      <c r="AX159" s="99"/>
      <c r="AY159" s="34">
        <f t="shared" si="43"/>
        <v>2515.1999999999998</v>
      </c>
      <c r="AZ159" s="31">
        <v>0.26</v>
      </c>
      <c r="BA159" s="32">
        <f t="shared" si="44"/>
        <v>780.52</v>
      </c>
      <c r="BB159" s="32">
        <f t="shared" si="45"/>
        <v>1561.04</v>
      </c>
      <c r="BC159" s="37">
        <f t="shared" si="58"/>
        <v>60.04</v>
      </c>
      <c r="BD159" s="37">
        <f t="shared" si="58"/>
        <v>120.08</v>
      </c>
      <c r="BE159" s="34">
        <f t="shared" si="53"/>
        <v>518.16</v>
      </c>
      <c r="BF159" s="34">
        <f t="shared" si="54"/>
        <v>1375.0639999999999</v>
      </c>
      <c r="BG159" s="59" t="s">
        <v>1329</v>
      </c>
      <c r="BH159" s="59" t="s">
        <v>1330</v>
      </c>
      <c r="BI159" s="38" t="s">
        <v>1331</v>
      </c>
      <c r="BJ159" s="39" t="s">
        <v>1332</v>
      </c>
      <c r="BK159" s="39"/>
      <c r="BL159" s="39" t="s">
        <v>455</v>
      </c>
      <c r="BM159" s="102">
        <v>1543625187</v>
      </c>
      <c r="BN159" s="39"/>
    </row>
    <row r="160" spans="1:66" s="6" customFormat="1" ht="39.950000000000003" hidden="1" customHeight="1" x14ac:dyDescent="0.25">
      <c r="A160" s="91" t="s">
        <v>1333</v>
      </c>
      <c r="B160" s="107">
        <v>54</v>
      </c>
      <c r="C160" s="108" t="s">
        <v>1334</v>
      </c>
      <c r="D160" s="108" t="s">
        <v>1335</v>
      </c>
      <c r="E160" s="39" t="s">
        <v>1336</v>
      </c>
      <c r="F160" s="29" t="s">
        <v>1337</v>
      </c>
      <c r="G160" s="38" t="s">
        <v>1338</v>
      </c>
      <c r="H160" s="88" t="s">
        <v>161</v>
      </c>
      <c r="I160" s="40" t="s">
        <v>162</v>
      </c>
      <c r="J160" s="40" t="s">
        <v>86</v>
      </c>
      <c r="K160" s="40" t="s">
        <v>174</v>
      </c>
      <c r="L160" s="40" t="s">
        <v>131</v>
      </c>
      <c r="M160" s="96">
        <v>44485</v>
      </c>
      <c r="N160" s="96"/>
      <c r="O160" s="105"/>
      <c r="P160" s="111"/>
      <c r="Q160" s="88" t="s">
        <v>69</v>
      </c>
      <c r="R160" s="88"/>
      <c r="S160" s="97" t="s">
        <v>148</v>
      </c>
      <c r="T160" s="77">
        <v>27</v>
      </c>
      <c r="U160" s="77" t="s">
        <v>215</v>
      </c>
      <c r="V160" s="47">
        <f t="shared" ca="1" si="46"/>
        <v>29</v>
      </c>
      <c r="W160" s="98">
        <v>11310900</v>
      </c>
      <c r="X160" s="77">
        <v>193</v>
      </c>
      <c r="Y160" s="31">
        <f t="shared" si="47"/>
        <v>200.13333333333333</v>
      </c>
      <c r="Z160" s="31">
        <f t="shared" si="48"/>
        <v>3002</v>
      </c>
      <c r="AA160" s="32">
        <v>6004</v>
      </c>
      <c r="AB160" s="32">
        <v>284</v>
      </c>
      <c r="AC160" s="99"/>
      <c r="AD160" s="99"/>
      <c r="AE160" s="100"/>
      <c r="AF160" s="101"/>
      <c r="AG160" s="99"/>
      <c r="AH160" s="99"/>
      <c r="AI160" s="32">
        <v>7000</v>
      </c>
      <c r="AJ160" s="33">
        <f t="shared" si="50"/>
        <v>13288</v>
      </c>
      <c r="AK160" s="54">
        <v>0</v>
      </c>
      <c r="AL160" s="31">
        <f t="shared" si="57"/>
        <v>390.26</v>
      </c>
      <c r="AM160" s="31">
        <f t="shared" si="57"/>
        <v>780.52</v>
      </c>
      <c r="AN160" s="34">
        <f t="shared" si="51"/>
        <v>780.52</v>
      </c>
      <c r="AO160" s="35">
        <f t="shared" si="52"/>
        <v>12507.48</v>
      </c>
      <c r="AP160" s="34">
        <f t="shared" si="40"/>
        <v>9206.1333333333332</v>
      </c>
      <c r="AQ160" s="34">
        <f t="shared" si="41"/>
        <v>10733.333333333334</v>
      </c>
      <c r="AR160" s="34">
        <f t="shared" si="42"/>
        <v>1257.5999999999999</v>
      </c>
      <c r="AS160" s="34"/>
      <c r="AT160" s="34"/>
      <c r="AU160" s="34"/>
      <c r="AV160" s="99"/>
      <c r="AW160" s="99"/>
      <c r="AX160" s="99"/>
      <c r="AY160" s="34">
        <f t="shared" si="43"/>
        <v>2515.1999999999998</v>
      </c>
      <c r="AZ160" s="31">
        <v>0.26</v>
      </c>
      <c r="BA160" s="32">
        <f t="shared" si="44"/>
        <v>780.52</v>
      </c>
      <c r="BB160" s="32">
        <f t="shared" si="45"/>
        <v>1561.04</v>
      </c>
      <c r="BC160" s="37">
        <f t="shared" si="58"/>
        <v>60.04</v>
      </c>
      <c r="BD160" s="37">
        <f t="shared" si="58"/>
        <v>120.08</v>
      </c>
      <c r="BE160" s="34">
        <f t="shared" si="53"/>
        <v>398.64</v>
      </c>
      <c r="BF160" s="34">
        <f t="shared" si="54"/>
        <v>1072.28</v>
      </c>
      <c r="BG160" s="59" t="s">
        <v>1339</v>
      </c>
      <c r="BH160" s="59" t="s">
        <v>1340</v>
      </c>
      <c r="BI160" s="38" t="s">
        <v>1341</v>
      </c>
      <c r="BJ160" s="39" t="s">
        <v>1342</v>
      </c>
      <c r="BK160" s="39"/>
      <c r="BL160" s="39" t="s">
        <v>180</v>
      </c>
      <c r="BM160" s="102">
        <v>1574807011</v>
      </c>
      <c r="BN160" s="39"/>
    </row>
    <row r="161" spans="1:66" s="6" customFormat="1" ht="39.950000000000003" hidden="1" customHeight="1" x14ac:dyDescent="0.25">
      <c r="A161" s="91" t="s">
        <v>1333</v>
      </c>
      <c r="B161" s="107">
        <v>53</v>
      </c>
      <c r="C161" s="108" t="s">
        <v>1335</v>
      </c>
      <c r="D161" s="44" t="s">
        <v>1343</v>
      </c>
      <c r="E161" s="39" t="s">
        <v>1336</v>
      </c>
      <c r="F161" s="29" t="s">
        <v>1337</v>
      </c>
      <c r="G161" s="38" t="s">
        <v>1338</v>
      </c>
      <c r="H161" s="88" t="s">
        <v>315</v>
      </c>
      <c r="I161" s="40" t="s">
        <v>316</v>
      </c>
      <c r="J161" s="40" t="s">
        <v>86</v>
      </c>
      <c r="K161" s="40" t="s">
        <v>174</v>
      </c>
      <c r="L161" s="40" t="s">
        <v>320</v>
      </c>
      <c r="M161" s="96"/>
      <c r="N161" s="96">
        <v>44927</v>
      </c>
      <c r="O161" s="105"/>
      <c r="P161" s="111"/>
      <c r="Q161" s="88" t="s">
        <v>69</v>
      </c>
      <c r="R161" s="88"/>
      <c r="S161" s="97" t="s">
        <v>148</v>
      </c>
      <c r="T161" s="77">
        <v>27</v>
      </c>
      <c r="U161" s="77" t="s">
        <v>215</v>
      </c>
      <c r="V161" s="47">
        <f t="shared" ca="1" si="46"/>
        <v>29</v>
      </c>
      <c r="W161" s="98">
        <v>11310900</v>
      </c>
      <c r="X161" s="77"/>
      <c r="Y161" s="31">
        <f t="shared" si="47"/>
        <v>232.92466666666667</v>
      </c>
      <c r="Z161" s="31">
        <f t="shared" si="48"/>
        <v>3493.87</v>
      </c>
      <c r="AA161" s="32">
        <v>6987.74</v>
      </c>
      <c r="AB161" s="32">
        <v>284</v>
      </c>
      <c r="AC161" s="99"/>
      <c r="AD161" s="99"/>
      <c r="AE161" s="100"/>
      <c r="AF161" s="101"/>
      <c r="AG161" s="99"/>
      <c r="AH161" s="99"/>
      <c r="AI161" s="32">
        <v>6016</v>
      </c>
      <c r="AJ161" s="33">
        <f t="shared" si="50"/>
        <v>13287.74</v>
      </c>
      <c r="AK161" s="54">
        <v>0</v>
      </c>
      <c r="AL161" s="31">
        <f t="shared" si="57"/>
        <v>454.20310000000001</v>
      </c>
      <c r="AM161" s="31">
        <f t="shared" si="57"/>
        <v>908.40620000000001</v>
      </c>
      <c r="AN161" s="34">
        <f t="shared" si="51"/>
        <v>908.40620000000001</v>
      </c>
      <c r="AO161" s="35">
        <f t="shared" si="52"/>
        <v>12379.3338</v>
      </c>
      <c r="AP161" s="34">
        <f t="shared" si="40"/>
        <v>10714.534666666666</v>
      </c>
      <c r="AQ161" s="34">
        <f t="shared" si="41"/>
        <v>9224.5333333333328</v>
      </c>
      <c r="AR161" s="34">
        <f t="shared" si="42"/>
        <v>1454.348</v>
      </c>
      <c r="AS161" s="34"/>
      <c r="AT161" s="34"/>
      <c r="AU161" s="34"/>
      <c r="AV161" s="99"/>
      <c r="AW161" s="99"/>
      <c r="AX161" s="99"/>
      <c r="AY161" s="34">
        <f t="shared" si="43"/>
        <v>2908.6959999999999</v>
      </c>
      <c r="AZ161" s="31">
        <v>0.26</v>
      </c>
      <c r="BA161" s="32">
        <f t="shared" si="44"/>
        <v>908.40620000000001</v>
      </c>
      <c r="BB161" s="32">
        <f t="shared" si="45"/>
        <v>1816.8124</v>
      </c>
      <c r="BC161" s="37">
        <f t="shared" si="58"/>
        <v>69.877399999999994</v>
      </c>
      <c r="BD161" s="37">
        <f t="shared" si="58"/>
        <v>139.75479999999999</v>
      </c>
      <c r="BE161" s="34">
        <f t="shared" si="53"/>
        <v>398.63219999999995</v>
      </c>
      <c r="BF161" s="34">
        <f t="shared" si="54"/>
        <v>1084.06512</v>
      </c>
      <c r="BG161" s="59" t="s">
        <v>1339</v>
      </c>
      <c r="BH161" s="59" t="s">
        <v>1340</v>
      </c>
      <c r="BI161" s="38" t="s">
        <v>1341</v>
      </c>
      <c r="BJ161" s="39" t="s">
        <v>1342</v>
      </c>
      <c r="BK161" s="39" t="s">
        <v>1344</v>
      </c>
      <c r="BL161" s="39" t="s">
        <v>180</v>
      </c>
      <c r="BM161" s="102" t="s">
        <v>1345</v>
      </c>
      <c r="BN161" s="39"/>
    </row>
    <row r="162" spans="1:66" s="6" customFormat="1" ht="39.950000000000003" hidden="1" customHeight="1" x14ac:dyDescent="0.25">
      <c r="A162" s="91" t="s">
        <v>1333</v>
      </c>
      <c r="B162" s="107">
        <v>54</v>
      </c>
      <c r="C162" s="44" t="s">
        <v>1343</v>
      </c>
      <c r="D162" s="44" t="s">
        <v>1346</v>
      </c>
      <c r="E162" s="39" t="s">
        <v>1336</v>
      </c>
      <c r="F162" s="29" t="s">
        <v>1337</v>
      </c>
      <c r="G162" s="38" t="s">
        <v>1338</v>
      </c>
      <c r="H162" s="88" t="s">
        <v>315</v>
      </c>
      <c r="I162" s="40" t="s">
        <v>316</v>
      </c>
      <c r="J162" s="40" t="s">
        <v>87</v>
      </c>
      <c r="K162" s="40" t="s">
        <v>174</v>
      </c>
      <c r="L162" s="40" t="s">
        <v>10</v>
      </c>
      <c r="M162" s="96"/>
      <c r="N162" s="96">
        <v>45658</v>
      </c>
      <c r="O162" s="105"/>
      <c r="P162" s="111"/>
      <c r="Q162" s="88" t="s">
        <v>69</v>
      </c>
      <c r="R162" s="88"/>
      <c r="S162" s="97" t="s">
        <v>148</v>
      </c>
      <c r="T162" s="77">
        <v>27</v>
      </c>
      <c r="U162" s="77" t="s">
        <v>215</v>
      </c>
      <c r="V162" s="47">
        <f t="shared" ca="1" si="46"/>
        <v>29</v>
      </c>
      <c r="W162" s="98">
        <v>11310900</v>
      </c>
      <c r="X162" s="77"/>
      <c r="Y162" s="31">
        <f t="shared" si="47"/>
        <v>232.92466666666667</v>
      </c>
      <c r="Z162" s="31">
        <f t="shared" si="48"/>
        <v>3493.87</v>
      </c>
      <c r="AA162" s="32">
        <v>6987.74</v>
      </c>
      <c r="AB162" s="32">
        <v>284</v>
      </c>
      <c r="AC162" s="99"/>
      <c r="AD162" s="99"/>
      <c r="AE162" s="100"/>
      <c r="AF162" s="101"/>
      <c r="AG162" s="99"/>
      <c r="AH162" s="99"/>
      <c r="AI162" s="32">
        <v>6016</v>
      </c>
      <c r="AJ162" s="33">
        <f t="shared" si="50"/>
        <v>13287.74</v>
      </c>
      <c r="AK162" s="54">
        <v>0</v>
      </c>
      <c r="AL162" s="31">
        <f t="shared" si="57"/>
        <v>454.20310000000001</v>
      </c>
      <c r="AM162" s="31">
        <f t="shared" si="57"/>
        <v>908.40620000000001</v>
      </c>
      <c r="AN162" s="34">
        <f t="shared" si="51"/>
        <v>908.40620000000001</v>
      </c>
      <c r="AO162" s="35">
        <f t="shared" si="52"/>
        <v>12379.3338</v>
      </c>
      <c r="AP162" s="34">
        <f t="shared" si="40"/>
        <v>10714.534666666666</v>
      </c>
      <c r="AQ162" s="34">
        <f t="shared" si="41"/>
        <v>9224.5333333333328</v>
      </c>
      <c r="AR162" s="34">
        <f t="shared" si="42"/>
        <v>1454.348</v>
      </c>
      <c r="AS162" s="34"/>
      <c r="AT162" s="34"/>
      <c r="AU162" s="34"/>
      <c r="AV162" s="99"/>
      <c r="AW162" s="99"/>
      <c r="AX162" s="99"/>
      <c r="AY162" s="34">
        <f t="shared" si="43"/>
        <v>2908.6959999999999</v>
      </c>
      <c r="AZ162" s="31">
        <v>0.26</v>
      </c>
      <c r="BA162" s="32">
        <f t="shared" si="44"/>
        <v>908.40620000000001</v>
      </c>
      <c r="BB162" s="32">
        <f t="shared" si="45"/>
        <v>1816.8124</v>
      </c>
      <c r="BC162" s="37">
        <f t="shared" si="58"/>
        <v>69.877399999999994</v>
      </c>
      <c r="BD162" s="37">
        <f t="shared" si="58"/>
        <v>139.75479999999999</v>
      </c>
      <c r="BE162" s="34">
        <f t="shared" si="53"/>
        <v>398.63219999999995</v>
      </c>
      <c r="BF162" s="34">
        <f t="shared" si="54"/>
        <v>1084.06512</v>
      </c>
      <c r="BG162" s="59" t="s">
        <v>1339</v>
      </c>
      <c r="BH162" s="59" t="s">
        <v>1340</v>
      </c>
      <c r="BI162" s="38" t="s">
        <v>1341</v>
      </c>
      <c r="BJ162" s="39" t="s">
        <v>1342</v>
      </c>
      <c r="BK162" s="39" t="s">
        <v>1344</v>
      </c>
      <c r="BL162" s="39" t="s">
        <v>180</v>
      </c>
      <c r="BM162" s="102" t="s">
        <v>1345</v>
      </c>
      <c r="BN162" s="39"/>
    </row>
    <row r="163" spans="1:66" s="6" customFormat="1" ht="39.950000000000003" hidden="1" customHeight="1" x14ac:dyDescent="0.25">
      <c r="A163" s="91" t="s">
        <v>1333</v>
      </c>
      <c r="B163" s="107">
        <v>5</v>
      </c>
      <c r="C163" s="44" t="s">
        <v>1346</v>
      </c>
      <c r="D163" s="44" t="s">
        <v>1347</v>
      </c>
      <c r="E163" s="39" t="s">
        <v>1336</v>
      </c>
      <c r="F163" s="29" t="s">
        <v>1337</v>
      </c>
      <c r="G163" s="38" t="s">
        <v>1338</v>
      </c>
      <c r="H163" s="88" t="s">
        <v>84</v>
      </c>
      <c r="I163" s="40" t="s">
        <v>1348</v>
      </c>
      <c r="J163" s="40" t="s">
        <v>86</v>
      </c>
      <c r="K163" s="40" t="s">
        <v>174</v>
      </c>
      <c r="L163" s="40" t="s">
        <v>11</v>
      </c>
      <c r="M163" s="96"/>
      <c r="N163" s="96">
        <v>45689</v>
      </c>
      <c r="O163" s="96">
        <v>45777</v>
      </c>
      <c r="P163" s="111"/>
      <c r="Q163" s="88" t="s">
        <v>69</v>
      </c>
      <c r="R163" s="88"/>
      <c r="S163" s="97" t="s">
        <v>148</v>
      </c>
      <c r="T163" s="77">
        <v>27</v>
      </c>
      <c r="U163" s="77" t="s">
        <v>215</v>
      </c>
      <c r="V163" s="47">
        <f t="shared" ca="1" si="46"/>
        <v>29</v>
      </c>
      <c r="W163" s="98">
        <v>11310900</v>
      </c>
      <c r="X163" s="77"/>
      <c r="Y163" s="31">
        <f t="shared" si="47"/>
        <v>232.92466666666667</v>
      </c>
      <c r="Z163" s="31">
        <f t="shared" si="48"/>
        <v>3493.87</v>
      </c>
      <c r="AA163" s="32">
        <v>6987.74</v>
      </c>
      <c r="AB163" s="32">
        <v>284</v>
      </c>
      <c r="AC163" s="99"/>
      <c r="AD163" s="99"/>
      <c r="AE163" s="100"/>
      <c r="AF163" s="101"/>
      <c r="AG163" s="99"/>
      <c r="AH163" s="99"/>
      <c r="AI163" s="32">
        <v>6016</v>
      </c>
      <c r="AJ163" s="33">
        <f t="shared" ref="AJ163" si="59">SUM(AA163:AI163)</f>
        <v>13287.74</v>
      </c>
      <c r="AK163" s="54">
        <v>0</v>
      </c>
      <c r="AL163" s="31">
        <f t="shared" si="57"/>
        <v>454.20310000000001</v>
      </c>
      <c r="AM163" s="31">
        <f t="shared" si="57"/>
        <v>908.40620000000001</v>
      </c>
      <c r="AN163" s="34">
        <f t="shared" si="51"/>
        <v>908.40620000000001</v>
      </c>
      <c r="AO163" s="35">
        <f t="shared" si="52"/>
        <v>12379.3338</v>
      </c>
      <c r="AP163" s="34">
        <f t="shared" ref="AP163:AP173" si="60">+(AA163+AF163)/30*46</f>
        <v>10714.534666666666</v>
      </c>
      <c r="AQ163" s="34">
        <f t="shared" ref="AQ163:AQ173" si="61">+AI163/30*46</f>
        <v>9224.5333333333328</v>
      </c>
      <c r="AR163" s="34">
        <f t="shared" ref="AR163:AR173" si="62">+(AA163+AB163+AC163+AD163+AF163)/30*12/2</f>
        <v>1454.348</v>
      </c>
      <c r="AS163" s="34"/>
      <c r="AT163" s="34"/>
      <c r="AU163" s="34"/>
      <c r="AV163" s="99"/>
      <c r="AW163" s="99"/>
      <c r="AX163" s="99"/>
      <c r="AY163" s="34">
        <f t="shared" ref="AY163:AY173" si="63">+(AA163+AB163+AC163+AD163+AF163)/30*12</f>
        <v>2908.6959999999999</v>
      </c>
      <c r="AZ163" s="31">
        <v>0.26</v>
      </c>
      <c r="BA163" s="32">
        <f t="shared" ref="BA163:BA173" si="64">Z163*AZ163</f>
        <v>908.40620000000001</v>
      </c>
      <c r="BB163" s="32">
        <f t="shared" ref="BB163:BB173" si="65">AA163*AZ163</f>
        <v>1816.8124</v>
      </c>
      <c r="BC163" s="37">
        <f t="shared" si="58"/>
        <v>69.877399999999994</v>
      </c>
      <c r="BD163" s="37">
        <f t="shared" si="58"/>
        <v>139.75479999999999</v>
      </c>
      <c r="BE163" s="34">
        <f t="shared" si="53"/>
        <v>398.63219999999995</v>
      </c>
      <c r="BF163" s="34">
        <f t="shared" si="54"/>
        <v>1084.06512</v>
      </c>
      <c r="BG163" s="59" t="s">
        <v>1339</v>
      </c>
      <c r="BH163" s="59" t="s">
        <v>1340</v>
      </c>
      <c r="BI163" s="38" t="s">
        <v>1341</v>
      </c>
      <c r="BJ163" s="39" t="s">
        <v>1342</v>
      </c>
      <c r="BK163" s="39" t="s">
        <v>1344</v>
      </c>
      <c r="BL163" s="39" t="s">
        <v>180</v>
      </c>
      <c r="BM163" s="102" t="s">
        <v>1345</v>
      </c>
      <c r="BN163" s="39"/>
    </row>
    <row r="164" spans="1:66" s="6" customFormat="1" ht="39.950000000000003" hidden="1" customHeight="1" x14ac:dyDescent="0.25">
      <c r="A164" s="91" t="s">
        <v>1349</v>
      </c>
      <c r="B164" s="107">
        <v>69</v>
      </c>
      <c r="C164" s="108" t="s">
        <v>1350</v>
      </c>
      <c r="D164" s="108" t="s">
        <v>1351</v>
      </c>
      <c r="E164" s="39" t="s">
        <v>1352</v>
      </c>
      <c r="F164" s="29" t="s">
        <v>1353</v>
      </c>
      <c r="G164" s="38" t="s">
        <v>1354</v>
      </c>
      <c r="H164" s="88" t="s">
        <v>84</v>
      </c>
      <c r="I164" s="40" t="s">
        <v>1355</v>
      </c>
      <c r="J164" s="40" t="s">
        <v>101</v>
      </c>
      <c r="K164" s="40" t="s">
        <v>328</v>
      </c>
      <c r="L164" s="40" t="s">
        <v>11</v>
      </c>
      <c r="M164" s="96">
        <v>44501</v>
      </c>
      <c r="N164" s="96"/>
      <c r="O164" s="105">
        <v>45626</v>
      </c>
      <c r="P164" s="111"/>
      <c r="Q164" s="88" t="s">
        <v>69</v>
      </c>
      <c r="R164" s="88"/>
      <c r="S164" s="97" t="s">
        <v>148</v>
      </c>
      <c r="T164" s="77">
        <v>26</v>
      </c>
      <c r="U164" s="77" t="s">
        <v>149</v>
      </c>
      <c r="V164" s="47">
        <f t="shared" ca="1" si="46"/>
        <v>55</v>
      </c>
      <c r="W164" s="98">
        <v>10559500</v>
      </c>
      <c r="X164" s="77">
        <v>173</v>
      </c>
      <c r="Y164" s="31">
        <f t="shared" si="47"/>
        <v>232.92466666666667</v>
      </c>
      <c r="Z164" s="31">
        <f t="shared" si="48"/>
        <v>3493.87</v>
      </c>
      <c r="AA164" s="32">
        <v>6987.74</v>
      </c>
      <c r="AB164" s="32">
        <v>284</v>
      </c>
      <c r="AC164" s="99"/>
      <c r="AD164" s="99"/>
      <c r="AE164" s="100"/>
      <c r="AF164" s="101"/>
      <c r="AG164" s="99"/>
      <c r="AH164" s="99"/>
      <c r="AI164" s="32">
        <v>11283.15</v>
      </c>
      <c r="AJ164" s="33">
        <f t="shared" ref="AJ164:AJ183" si="66">SUM(AA164:AI164)</f>
        <v>18554.89</v>
      </c>
      <c r="AK164" s="54">
        <v>0</v>
      </c>
      <c r="AL164" s="31">
        <f t="shared" si="57"/>
        <v>454.20310000000001</v>
      </c>
      <c r="AM164" s="31">
        <f t="shared" si="57"/>
        <v>908.40620000000001</v>
      </c>
      <c r="AN164" s="34">
        <f t="shared" si="51"/>
        <v>908.40620000000001</v>
      </c>
      <c r="AO164" s="35">
        <f t="shared" si="52"/>
        <v>17646.483799999998</v>
      </c>
      <c r="AP164" s="34">
        <f t="shared" si="60"/>
        <v>10714.534666666666</v>
      </c>
      <c r="AQ164" s="34">
        <f t="shared" si="61"/>
        <v>17300.829999999998</v>
      </c>
      <c r="AR164" s="34">
        <f t="shared" si="62"/>
        <v>1454.348</v>
      </c>
      <c r="AS164" s="34"/>
      <c r="AT164" s="34"/>
      <c r="AU164" s="34"/>
      <c r="AV164" s="99"/>
      <c r="AW164" s="99"/>
      <c r="AX164" s="99"/>
      <c r="AY164" s="34">
        <f t="shared" si="63"/>
        <v>2908.6959999999999</v>
      </c>
      <c r="AZ164" s="31">
        <v>0.19</v>
      </c>
      <c r="BA164" s="32">
        <f t="shared" si="64"/>
        <v>663.83529999999996</v>
      </c>
      <c r="BB164" s="32">
        <f t="shared" si="65"/>
        <v>1327.6705999999999</v>
      </c>
      <c r="BC164" s="37">
        <f t="shared" si="58"/>
        <v>69.877399999999994</v>
      </c>
      <c r="BD164" s="37">
        <f t="shared" si="58"/>
        <v>139.75479999999999</v>
      </c>
      <c r="BE164" s="34">
        <f t="shared" si="53"/>
        <v>556.64670000000001</v>
      </c>
      <c r="BF164" s="34">
        <f t="shared" si="54"/>
        <v>1484.3685199999995</v>
      </c>
      <c r="BG164" s="59" t="s">
        <v>1356</v>
      </c>
      <c r="BH164" s="59" t="s">
        <v>1357</v>
      </c>
      <c r="BI164" s="38" t="s">
        <v>1358</v>
      </c>
      <c r="BJ164" s="39" t="s">
        <v>1359</v>
      </c>
      <c r="BK164" s="39" t="s">
        <v>1360</v>
      </c>
      <c r="BL164" s="39" t="s">
        <v>1361</v>
      </c>
      <c r="BM164" s="102" t="s">
        <v>1362</v>
      </c>
      <c r="BN164" s="39"/>
    </row>
    <row r="165" spans="1:66" s="6" customFormat="1" ht="39.950000000000003" hidden="1" customHeight="1" x14ac:dyDescent="0.25">
      <c r="A165" s="91" t="s">
        <v>1363</v>
      </c>
      <c r="B165" s="107">
        <v>62</v>
      </c>
      <c r="C165" s="108" t="s">
        <v>1364</v>
      </c>
      <c r="D165" s="108" t="s">
        <v>1365</v>
      </c>
      <c r="E165" s="39" t="s">
        <v>1366</v>
      </c>
      <c r="F165" s="29" t="s">
        <v>1367</v>
      </c>
      <c r="G165" s="38" t="s">
        <v>1368</v>
      </c>
      <c r="H165" s="88" t="s">
        <v>161</v>
      </c>
      <c r="I165" s="40" t="s">
        <v>162</v>
      </c>
      <c r="J165" s="40" t="s">
        <v>68</v>
      </c>
      <c r="K165" s="40" t="s">
        <v>667</v>
      </c>
      <c r="L165" s="40" t="s">
        <v>131</v>
      </c>
      <c r="M165" s="96">
        <v>44516</v>
      </c>
      <c r="N165" s="96"/>
      <c r="O165" s="105"/>
      <c r="P165" s="111"/>
      <c r="Q165" s="88" t="s">
        <v>69</v>
      </c>
      <c r="R165" s="88"/>
      <c r="S165" s="97" t="s">
        <v>148</v>
      </c>
      <c r="T165" s="77">
        <v>2</v>
      </c>
      <c r="U165" s="77" t="s">
        <v>149</v>
      </c>
      <c r="V165" s="47">
        <f t="shared" ca="1" si="46"/>
        <v>33</v>
      </c>
      <c r="W165" s="98">
        <v>11310800</v>
      </c>
      <c r="X165" s="77">
        <v>190</v>
      </c>
      <c r="Y165" s="31">
        <f t="shared" si="47"/>
        <v>200.13333333333333</v>
      </c>
      <c r="Z165" s="31">
        <f t="shared" si="48"/>
        <v>3002</v>
      </c>
      <c r="AA165" s="32">
        <v>6004</v>
      </c>
      <c r="AB165" s="32">
        <v>284</v>
      </c>
      <c r="AC165" s="99"/>
      <c r="AD165" s="99"/>
      <c r="AE165" s="100"/>
      <c r="AF165" s="101"/>
      <c r="AG165" s="99"/>
      <c r="AH165" s="99"/>
      <c r="AI165" s="32">
        <v>10984</v>
      </c>
      <c r="AJ165" s="33">
        <f t="shared" si="66"/>
        <v>17272</v>
      </c>
      <c r="AK165" s="54">
        <v>0</v>
      </c>
      <c r="AL165" s="31">
        <f t="shared" si="57"/>
        <v>390.26</v>
      </c>
      <c r="AM165" s="31">
        <f t="shared" si="57"/>
        <v>780.52</v>
      </c>
      <c r="AN165" s="34">
        <f t="shared" si="51"/>
        <v>780.52</v>
      </c>
      <c r="AO165" s="35">
        <f t="shared" si="52"/>
        <v>16491.48</v>
      </c>
      <c r="AP165" s="34">
        <f t="shared" si="60"/>
        <v>9206.1333333333332</v>
      </c>
      <c r="AQ165" s="34">
        <f t="shared" si="61"/>
        <v>16842.133333333331</v>
      </c>
      <c r="AR165" s="34">
        <f t="shared" si="62"/>
        <v>1257.5999999999999</v>
      </c>
      <c r="AS165" s="34"/>
      <c r="AT165" s="34"/>
      <c r="AU165" s="34"/>
      <c r="AV165" s="99"/>
      <c r="AW165" s="99"/>
      <c r="AX165" s="99"/>
      <c r="AY165" s="34">
        <f t="shared" si="63"/>
        <v>2515.1999999999998</v>
      </c>
      <c r="AZ165" s="31">
        <v>0.26</v>
      </c>
      <c r="BA165" s="32">
        <f t="shared" si="64"/>
        <v>780.52</v>
      </c>
      <c r="BB165" s="32">
        <f t="shared" si="65"/>
        <v>1561.04</v>
      </c>
      <c r="BC165" s="37">
        <f t="shared" si="58"/>
        <v>60.04</v>
      </c>
      <c r="BD165" s="37">
        <f t="shared" si="58"/>
        <v>120.08</v>
      </c>
      <c r="BE165" s="34">
        <f t="shared" si="53"/>
        <v>518.16</v>
      </c>
      <c r="BF165" s="34">
        <f t="shared" si="54"/>
        <v>1375.0639999999999</v>
      </c>
      <c r="BG165" s="59" t="s">
        <v>1369</v>
      </c>
      <c r="BH165" s="59" t="s">
        <v>1370</v>
      </c>
      <c r="BI165" s="38" t="s">
        <v>1371</v>
      </c>
      <c r="BJ165" s="39" t="s">
        <v>1372</v>
      </c>
      <c r="BK165" s="39"/>
      <c r="BL165" s="39" t="s">
        <v>1373</v>
      </c>
      <c r="BM165" s="102">
        <v>1546010695</v>
      </c>
      <c r="BN165" s="39"/>
    </row>
    <row r="166" spans="1:66" s="6" customFormat="1" ht="39.950000000000003" hidden="1" customHeight="1" x14ac:dyDescent="0.25">
      <c r="A166" s="91" t="s">
        <v>1363</v>
      </c>
      <c r="B166" s="107">
        <v>62</v>
      </c>
      <c r="C166" s="108" t="s">
        <v>1365</v>
      </c>
      <c r="D166" s="44" t="s">
        <v>1374</v>
      </c>
      <c r="E166" s="39" t="s">
        <v>1366</v>
      </c>
      <c r="F166" s="29" t="s">
        <v>1367</v>
      </c>
      <c r="G166" s="38" t="s">
        <v>1368</v>
      </c>
      <c r="H166" s="88" t="s">
        <v>315</v>
      </c>
      <c r="I166" s="40" t="s">
        <v>316</v>
      </c>
      <c r="J166" s="40" t="s">
        <v>68</v>
      </c>
      <c r="K166" s="40" t="s">
        <v>667</v>
      </c>
      <c r="L166" s="40" t="s">
        <v>11</v>
      </c>
      <c r="M166" s="96"/>
      <c r="N166" s="96">
        <v>44927</v>
      </c>
      <c r="O166" s="105">
        <v>45657</v>
      </c>
      <c r="P166" s="111"/>
      <c r="Q166" s="88" t="s">
        <v>69</v>
      </c>
      <c r="R166" s="88"/>
      <c r="S166" s="97" t="s">
        <v>148</v>
      </c>
      <c r="T166" s="77">
        <v>2</v>
      </c>
      <c r="U166" s="77" t="s">
        <v>149</v>
      </c>
      <c r="V166" s="47">
        <f t="shared" ca="1" si="46"/>
        <v>33</v>
      </c>
      <c r="W166" s="98">
        <v>11310800</v>
      </c>
      <c r="X166" s="77">
        <v>190</v>
      </c>
      <c r="Y166" s="31">
        <f t="shared" si="47"/>
        <v>232.92466666666667</v>
      </c>
      <c r="Z166" s="31">
        <f t="shared" si="48"/>
        <v>3493.87</v>
      </c>
      <c r="AA166" s="32">
        <v>6987.74</v>
      </c>
      <c r="AB166" s="32">
        <v>284</v>
      </c>
      <c r="AC166" s="99"/>
      <c r="AD166" s="99"/>
      <c r="AE166" s="100"/>
      <c r="AF166" s="101"/>
      <c r="AG166" s="99"/>
      <c r="AH166" s="99"/>
      <c r="AI166" s="32">
        <v>10000</v>
      </c>
      <c r="AJ166" s="33">
        <f t="shared" si="66"/>
        <v>17271.739999999998</v>
      </c>
      <c r="AK166" s="54">
        <v>0</v>
      </c>
      <c r="AL166" s="31">
        <f t="shared" si="57"/>
        <v>454.20310000000001</v>
      </c>
      <c r="AM166" s="31">
        <f t="shared" si="57"/>
        <v>908.40620000000001</v>
      </c>
      <c r="AN166" s="34">
        <f t="shared" si="51"/>
        <v>908.40620000000001</v>
      </c>
      <c r="AO166" s="35">
        <f t="shared" si="52"/>
        <v>16363.333799999999</v>
      </c>
      <c r="AP166" s="34">
        <f t="shared" si="60"/>
        <v>10714.534666666666</v>
      </c>
      <c r="AQ166" s="34">
        <f t="shared" si="61"/>
        <v>15333.333333333332</v>
      </c>
      <c r="AR166" s="34">
        <f t="shared" si="62"/>
        <v>1454.348</v>
      </c>
      <c r="AS166" s="34"/>
      <c r="AT166" s="34"/>
      <c r="AU166" s="34"/>
      <c r="AV166" s="99"/>
      <c r="AW166" s="99"/>
      <c r="AX166" s="99"/>
      <c r="AY166" s="34">
        <f t="shared" si="63"/>
        <v>2908.6959999999999</v>
      </c>
      <c r="AZ166" s="31">
        <v>0.26</v>
      </c>
      <c r="BA166" s="32">
        <f t="shared" si="64"/>
        <v>908.40620000000001</v>
      </c>
      <c r="BB166" s="32">
        <f t="shared" si="65"/>
        <v>1816.8124</v>
      </c>
      <c r="BC166" s="37">
        <f t="shared" si="58"/>
        <v>69.877399999999994</v>
      </c>
      <c r="BD166" s="37">
        <f t="shared" si="58"/>
        <v>139.75479999999999</v>
      </c>
      <c r="BE166" s="34">
        <f t="shared" si="53"/>
        <v>518.15219999999988</v>
      </c>
      <c r="BF166" s="34">
        <f t="shared" si="54"/>
        <v>1386.8491199999996</v>
      </c>
      <c r="BG166" s="59" t="s">
        <v>1369</v>
      </c>
      <c r="BH166" s="59" t="s">
        <v>1370</v>
      </c>
      <c r="BI166" s="38" t="s">
        <v>1371</v>
      </c>
      <c r="BJ166" s="39" t="s">
        <v>1372</v>
      </c>
      <c r="BK166" s="39" t="s">
        <v>1372</v>
      </c>
      <c r="BL166" s="39" t="s">
        <v>1373</v>
      </c>
      <c r="BM166" s="102" t="s">
        <v>1375</v>
      </c>
      <c r="BN166" s="39"/>
    </row>
    <row r="167" spans="1:66" s="6" customFormat="1" ht="39.950000000000003" hidden="1" customHeight="1" x14ac:dyDescent="0.25">
      <c r="A167" s="91" t="s">
        <v>1376</v>
      </c>
      <c r="B167" s="107">
        <v>27</v>
      </c>
      <c r="C167" s="108" t="s">
        <v>1377</v>
      </c>
      <c r="D167" s="44" t="s">
        <v>1378</v>
      </c>
      <c r="E167" s="39" t="s">
        <v>1379</v>
      </c>
      <c r="F167" s="29" t="s">
        <v>1380</v>
      </c>
      <c r="G167" s="38" t="s">
        <v>1381</v>
      </c>
      <c r="H167" s="88" t="s">
        <v>84</v>
      </c>
      <c r="I167" s="40" t="s">
        <v>1382</v>
      </c>
      <c r="J167" s="40" t="s">
        <v>1383</v>
      </c>
      <c r="K167" s="40" t="s">
        <v>680</v>
      </c>
      <c r="L167" s="40" t="s">
        <v>11</v>
      </c>
      <c r="M167" s="96">
        <v>44562</v>
      </c>
      <c r="N167" s="96"/>
      <c r="O167" s="105">
        <v>45657</v>
      </c>
      <c r="P167" s="111"/>
      <c r="Q167" s="88" t="s">
        <v>69</v>
      </c>
      <c r="R167" s="88"/>
      <c r="S167" s="97" t="s">
        <v>148</v>
      </c>
      <c r="T167" s="77">
        <v>20</v>
      </c>
      <c r="U167" s="77" t="s">
        <v>400</v>
      </c>
      <c r="V167" s="47">
        <f t="shared" ca="1" si="46"/>
        <v>49</v>
      </c>
      <c r="W167" s="98">
        <v>6163300</v>
      </c>
      <c r="X167" s="77">
        <v>177</v>
      </c>
      <c r="Y167" s="31">
        <f t="shared" si="47"/>
        <v>232.92466666666667</v>
      </c>
      <c r="Z167" s="31">
        <f t="shared" si="48"/>
        <v>3493.87</v>
      </c>
      <c r="AA167" s="32">
        <v>6987.74</v>
      </c>
      <c r="AB167" s="32">
        <v>284</v>
      </c>
      <c r="AC167" s="99"/>
      <c r="AD167" s="99"/>
      <c r="AE167" s="100"/>
      <c r="AF167" s="101"/>
      <c r="AG167" s="99"/>
      <c r="AH167" s="99"/>
      <c r="AI167" s="32">
        <v>11283.15</v>
      </c>
      <c r="AJ167" s="33">
        <f t="shared" si="66"/>
        <v>18554.89</v>
      </c>
      <c r="AK167" s="54">
        <v>0</v>
      </c>
      <c r="AL167" s="31">
        <f t="shared" si="57"/>
        <v>454.20310000000001</v>
      </c>
      <c r="AM167" s="31">
        <f t="shared" si="57"/>
        <v>908.40620000000001</v>
      </c>
      <c r="AN167" s="34">
        <f t="shared" si="51"/>
        <v>908.40620000000001</v>
      </c>
      <c r="AO167" s="35">
        <f t="shared" si="52"/>
        <v>17646.483799999998</v>
      </c>
      <c r="AP167" s="34">
        <f t="shared" si="60"/>
        <v>10714.534666666666</v>
      </c>
      <c r="AQ167" s="34">
        <f t="shared" si="61"/>
        <v>17300.829999999998</v>
      </c>
      <c r="AR167" s="34">
        <f t="shared" si="62"/>
        <v>1454.348</v>
      </c>
      <c r="AS167" s="34"/>
      <c r="AT167" s="34"/>
      <c r="AU167" s="34"/>
      <c r="AV167" s="99"/>
      <c r="AW167" s="99"/>
      <c r="AX167" s="99"/>
      <c r="AY167" s="34">
        <f t="shared" si="63"/>
        <v>2908.6959999999999</v>
      </c>
      <c r="AZ167" s="31">
        <v>0.26</v>
      </c>
      <c r="BA167" s="32">
        <f t="shared" si="64"/>
        <v>908.40620000000001</v>
      </c>
      <c r="BB167" s="32">
        <f t="shared" si="65"/>
        <v>1816.8124</v>
      </c>
      <c r="BC167" s="37">
        <f t="shared" si="58"/>
        <v>69.877399999999994</v>
      </c>
      <c r="BD167" s="37">
        <f t="shared" si="58"/>
        <v>139.75479999999999</v>
      </c>
      <c r="BE167" s="34">
        <f t="shared" si="53"/>
        <v>556.64670000000001</v>
      </c>
      <c r="BF167" s="34">
        <f t="shared" si="54"/>
        <v>1484.3685199999995</v>
      </c>
      <c r="BG167" s="59" t="s">
        <v>1384</v>
      </c>
      <c r="BH167" s="59" t="s">
        <v>1385</v>
      </c>
      <c r="BI167" s="38" t="s">
        <v>1386</v>
      </c>
      <c r="BJ167" s="39" t="s">
        <v>1387</v>
      </c>
      <c r="BK167" s="39" t="s">
        <v>1388</v>
      </c>
      <c r="BL167" s="39" t="s">
        <v>1389</v>
      </c>
      <c r="BM167" s="102" t="s">
        <v>1390</v>
      </c>
      <c r="BN167" s="39"/>
    </row>
    <row r="168" spans="1:66" s="6" customFormat="1" ht="39.950000000000003" hidden="1" customHeight="1" x14ac:dyDescent="0.25">
      <c r="A168" s="91" t="s">
        <v>1391</v>
      </c>
      <c r="B168" s="107">
        <v>74</v>
      </c>
      <c r="C168" s="108" t="s">
        <v>1392</v>
      </c>
      <c r="D168" s="108" t="s">
        <v>1393</v>
      </c>
      <c r="E168" s="39" t="s">
        <v>1394</v>
      </c>
      <c r="F168" s="29" t="s">
        <v>1395</v>
      </c>
      <c r="G168" s="38" t="s">
        <v>1396</v>
      </c>
      <c r="H168" s="88" t="s">
        <v>161</v>
      </c>
      <c r="I168" s="40" t="s">
        <v>162</v>
      </c>
      <c r="J168" s="40" t="s">
        <v>1397</v>
      </c>
      <c r="K168" s="40" t="s">
        <v>501</v>
      </c>
      <c r="L168" s="40" t="s">
        <v>131</v>
      </c>
      <c r="M168" s="96">
        <v>44593</v>
      </c>
      <c r="N168" s="96">
        <v>44712</v>
      </c>
      <c r="O168" s="105"/>
      <c r="P168" s="111"/>
      <c r="Q168" s="88" t="s">
        <v>69</v>
      </c>
      <c r="R168" s="88"/>
      <c r="S168" s="97" t="s">
        <v>70</v>
      </c>
      <c r="T168" s="77">
        <v>13</v>
      </c>
      <c r="U168" s="77" t="s">
        <v>305</v>
      </c>
      <c r="V168" s="47">
        <f t="shared" ca="1" si="46"/>
        <v>47</v>
      </c>
      <c r="W168" s="98">
        <v>11517200</v>
      </c>
      <c r="X168" s="77">
        <v>185</v>
      </c>
      <c r="Y168" s="31">
        <f t="shared" ref="Y168:Y173" si="67">AA168/30</f>
        <v>200.13333333333333</v>
      </c>
      <c r="Z168" s="31">
        <f t="shared" ref="Z168:Z173" si="68">AA168/2</f>
        <v>3002</v>
      </c>
      <c r="AA168" s="32">
        <v>6004</v>
      </c>
      <c r="AB168" s="32">
        <v>284</v>
      </c>
      <c r="AC168" s="99"/>
      <c r="AD168" s="99"/>
      <c r="AE168" s="100"/>
      <c r="AF168" s="101"/>
      <c r="AG168" s="99"/>
      <c r="AH168" s="99"/>
      <c r="AI168" s="32">
        <v>10984</v>
      </c>
      <c r="AJ168" s="33">
        <f t="shared" si="66"/>
        <v>17272</v>
      </c>
      <c r="AK168" s="54">
        <v>0</v>
      </c>
      <c r="AL168" s="31">
        <f t="shared" si="57"/>
        <v>390.26</v>
      </c>
      <c r="AM168" s="31">
        <f t="shared" si="57"/>
        <v>780.52</v>
      </c>
      <c r="AN168" s="34">
        <f t="shared" si="51"/>
        <v>780.52</v>
      </c>
      <c r="AO168" s="35">
        <f t="shared" si="52"/>
        <v>16491.48</v>
      </c>
      <c r="AP168" s="34">
        <f t="shared" si="60"/>
        <v>9206.1333333333332</v>
      </c>
      <c r="AQ168" s="34">
        <f t="shared" si="61"/>
        <v>16842.133333333331</v>
      </c>
      <c r="AR168" s="34">
        <f t="shared" si="62"/>
        <v>1257.5999999999999</v>
      </c>
      <c r="AS168" s="34"/>
      <c r="AT168" s="34"/>
      <c r="AU168" s="34"/>
      <c r="AV168" s="99"/>
      <c r="AW168" s="99"/>
      <c r="AX168" s="99"/>
      <c r="AY168" s="34">
        <f t="shared" si="63"/>
        <v>2515.1999999999998</v>
      </c>
      <c r="AZ168" s="31">
        <v>0.26</v>
      </c>
      <c r="BA168" s="32">
        <f t="shared" si="64"/>
        <v>780.52</v>
      </c>
      <c r="BB168" s="32">
        <f t="shared" si="65"/>
        <v>1561.04</v>
      </c>
      <c r="BC168" s="37">
        <f t="shared" si="58"/>
        <v>60.04</v>
      </c>
      <c r="BD168" s="37">
        <f t="shared" si="58"/>
        <v>120.08</v>
      </c>
      <c r="BE168" s="34">
        <f t="shared" si="53"/>
        <v>518.16</v>
      </c>
      <c r="BF168" s="34">
        <f t="shared" si="54"/>
        <v>1375.0639999999999</v>
      </c>
      <c r="BG168" s="59" t="s">
        <v>1398</v>
      </c>
      <c r="BH168" s="59" t="s">
        <v>1399</v>
      </c>
      <c r="BI168" s="38" t="s">
        <v>1400</v>
      </c>
      <c r="BJ168" s="39" t="s">
        <v>1401</v>
      </c>
      <c r="BK168" s="39"/>
      <c r="BL168" s="39" t="s">
        <v>166</v>
      </c>
      <c r="BM168" s="102">
        <v>1555479980</v>
      </c>
      <c r="BN168" s="39"/>
    </row>
    <row r="169" spans="1:66" s="6" customFormat="1" ht="39.950000000000003" hidden="1" customHeight="1" x14ac:dyDescent="0.25">
      <c r="A169" s="91" t="s">
        <v>1391</v>
      </c>
      <c r="B169" s="107">
        <v>4</v>
      </c>
      <c r="C169" s="108" t="s">
        <v>1393</v>
      </c>
      <c r="D169" s="108" t="s">
        <v>1402</v>
      </c>
      <c r="E169" s="39" t="s">
        <v>1394</v>
      </c>
      <c r="F169" s="29" t="s">
        <v>1395</v>
      </c>
      <c r="G169" s="38" t="s">
        <v>1396</v>
      </c>
      <c r="H169" s="88" t="s">
        <v>84</v>
      </c>
      <c r="I169" s="40" t="s">
        <v>1403</v>
      </c>
      <c r="J169" s="40" t="s">
        <v>1397</v>
      </c>
      <c r="K169" s="40" t="s">
        <v>501</v>
      </c>
      <c r="L169" s="40" t="s">
        <v>11</v>
      </c>
      <c r="M169" s="96"/>
      <c r="N169" s="96">
        <v>44713</v>
      </c>
      <c r="O169" s="105"/>
      <c r="P169" s="111"/>
      <c r="Q169" s="88" t="s">
        <v>69</v>
      </c>
      <c r="R169" s="88"/>
      <c r="S169" s="97" t="s">
        <v>70</v>
      </c>
      <c r="T169" s="77">
        <v>13</v>
      </c>
      <c r="U169" s="77" t="s">
        <v>305</v>
      </c>
      <c r="V169" s="47">
        <f t="shared" ca="1" si="46"/>
        <v>47</v>
      </c>
      <c r="W169" s="98">
        <v>11517200</v>
      </c>
      <c r="X169" s="77">
        <v>185</v>
      </c>
      <c r="Y169" s="31">
        <f t="shared" si="67"/>
        <v>232.92466666666667</v>
      </c>
      <c r="Z169" s="31">
        <f t="shared" si="68"/>
        <v>3493.87</v>
      </c>
      <c r="AA169" s="32">
        <v>6987.74</v>
      </c>
      <c r="AB169" s="32">
        <v>284</v>
      </c>
      <c r="AC169" s="99"/>
      <c r="AD169" s="99"/>
      <c r="AE169" s="100"/>
      <c r="AF169" s="101"/>
      <c r="AG169" s="99"/>
      <c r="AH169" s="99"/>
      <c r="AI169" s="32">
        <v>11283.15</v>
      </c>
      <c r="AJ169" s="33">
        <f t="shared" si="66"/>
        <v>18554.89</v>
      </c>
      <c r="AK169" s="54">
        <v>0</v>
      </c>
      <c r="AL169" s="31">
        <f t="shared" si="57"/>
        <v>454.20310000000001</v>
      </c>
      <c r="AM169" s="31">
        <f t="shared" si="57"/>
        <v>908.40620000000001</v>
      </c>
      <c r="AN169" s="34">
        <f t="shared" si="51"/>
        <v>908.40620000000001</v>
      </c>
      <c r="AO169" s="35">
        <f t="shared" si="52"/>
        <v>17646.483799999998</v>
      </c>
      <c r="AP169" s="34">
        <f t="shared" si="60"/>
        <v>10714.534666666666</v>
      </c>
      <c r="AQ169" s="34">
        <f t="shared" si="61"/>
        <v>17300.829999999998</v>
      </c>
      <c r="AR169" s="34">
        <f t="shared" si="62"/>
        <v>1454.348</v>
      </c>
      <c r="AS169" s="34"/>
      <c r="AT169" s="34"/>
      <c r="AU169" s="34"/>
      <c r="AV169" s="99"/>
      <c r="AW169" s="99"/>
      <c r="AX169" s="99"/>
      <c r="AY169" s="34">
        <f t="shared" si="63"/>
        <v>2908.6959999999999</v>
      </c>
      <c r="AZ169" s="31">
        <v>0.26</v>
      </c>
      <c r="BA169" s="32">
        <f t="shared" si="64"/>
        <v>908.40620000000001</v>
      </c>
      <c r="BB169" s="32">
        <f t="shared" si="65"/>
        <v>1816.8124</v>
      </c>
      <c r="BC169" s="37">
        <f t="shared" si="58"/>
        <v>69.877399999999994</v>
      </c>
      <c r="BD169" s="37">
        <f t="shared" si="58"/>
        <v>139.75479999999999</v>
      </c>
      <c r="BE169" s="34">
        <f t="shared" si="53"/>
        <v>556.64670000000001</v>
      </c>
      <c r="BF169" s="34">
        <f t="shared" si="54"/>
        <v>1484.3685199999995</v>
      </c>
      <c r="BG169" s="59" t="s">
        <v>1398</v>
      </c>
      <c r="BH169" s="59" t="s">
        <v>1399</v>
      </c>
      <c r="BI169" s="38" t="s">
        <v>1400</v>
      </c>
      <c r="BJ169" s="39" t="s">
        <v>1401</v>
      </c>
      <c r="BK169" s="39"/>
      <c r="BL169" s="39" t="s">
        <v>166</v>
      </c>
      <c r="BM169" s="102">
        <v>1555479980</v>
      </c>
      <c r="BN169" s="39"/>
    </row>
    <row r="170" spans="1:66" s="6" customFormat="1" ht="39.950000000000003" hidden="1" customHeight="1" x14ac:dyDescent="0.25">
      <c r="A170" s="91" t="s">
        <v>1404</v>
      </c>
      <c r="B170" s="107">
        <v>79</v>
      </c>
      <c r="C170" s="108" t="s">
        <v>1405</v>
      </c>
      <c r="D170" s="108" t="s">
        <v>1406</v>
      </c>
      <c r="E170" s="39" t="s">
        <v>1407</v>
      </c>
      <c r="F170" s="29" t="s">
        <v>1408</v>
      </c>
      <c r="G170" s="38" t="s">
        <v>1409</v>
      </c>
      <c r="H170" s="88" t="s">
        <v>161</v>
      </c>
      <c r="I170" s="40" t="s">
        <v>162</v>
      </c>
      <c r="J170" s="40" t="s">
        <v>325</v>
      </c>
      <c r="K170" s="40" t="s">
        <v>1410</v>
      </c>
      <c r="L170" s="40" t="s">
        <v>131</v>
      </c>
      <c r="M170" s="96">
        <v>44593</v>
      </c>
      <c r="N170" s="96"/>
      <c r="O170" s="105"/>
      <c r="P170" s="111"/>
      <c r="Q170" s="88" t="s">
        <v>69</v>
      </c>
      <c r="R170" s="88"/>
      <c r="S170" s="97" t="s">
        <v>70</v>
      </c>
      <c r="T170" s="77">
        <v>17</v>
      </c>
      <c r="U170" s="77" t="s">
        <v>215</v>
      </c>
      <c r="V170" s="47">
        <f t="shared" ca="1" si="46"/>
        <v>28</v>
      </c>
      <c r="W170" s="98">
        <v>10746300</v>
      </c>
      <c r="X170" s="77">
        <v>190</v>
      </c>
      <c r="Y170" s="31">
        <f t="shared" si="67"/>
        <v>200.13333333333333</v>
      </c>
      <c r="Z170" s="31">
        <f t="shared" si="68"/>
        <v>3002</v>
      </c>
      <c r="AA170" s="32">
        <v>6004</v>
      </c>
      <c r="AB170" s="32">
        <v>284</v>
      </c>
      <c r="AC170" s="99"/>
      <c r="AD170" s="99"/>
      <c r="AE170" s="100"/>
      <c r="AF170" s="101"/>
      <c r="AG170" s="99"/>
      <c r="AH170" s="99"/>
      <c r="AI170" s="32">
        <v>10984</v>
      </c>
      <c r="AJ170" s="33">
        <f t="shared" si="66"/>
        <v>17272</v>
      </c>
      <c r="AK170" s="54">
        <v>0</v>
      </c>
      <c r="AL170" s="31">
        <f t="shared" si="57"/>
        <v>390.26</v>
      </c>
      <c r="AM170" s="31">
        <f t="shared" si="57"/>
        <v>780.52</v>
      </c>
      <c r="AN170" s="34">
        <f t="shared" si="51"/>
        <v>780.52</v>
      </c>
      <c r="AO170" s="35">
        <f t="shared" si="52"/>
        <v>16491.48</v>
      </c>
      <c r="AP170" s="34">
        <f t="shared" si="60"/>
        <v>9206.1333333333332</v>
      </c>
      <c r="AQ170" s="34">
        <f t="shared" si="61"/>
        <v>16842.133333333331</v>
      </c>
      <c r="AR170" s="34">
        <f t="shared" si="62"/>
        <v>1257.5999999999999</v>
      </c>
      <c r="AS170" s="34"/>
      <c r="AT170" s="34"/>
      <c r="AU170" s="34"/>
      <c r="AV170" s="99"/>
      <c r="AW170" s="99"/>
      <c r="AX170" s="99"/>
      <c r="AY170" s="34">
        <f t="shared" si="63"/>
        <v>2515.1999999999998</v>
      </c>
      <c r="AZ170" s="31">
        <v>0.26</v>
      </c>
      <c r="BA170" s="32">
        <f t="shared" si="64"/>
        <v>780.52</v>
      </c>
      <c r="BB170" s="32">
        <f t="shared" si="65"/>
        <v>1561.04</v>
      </c>
      <c r="BC170" s="37">
        <f t="shared" si="58"/>
        <v>60.04</v>
      </c>
      <c r="BD170" s="37">
        <f t="shared" si="58"/>
        <v>120.08</v>
      </c>
      <c r="BE170" s="34">
        <f t="shared" si="53"/>
        <v>518.16</v>
      </c>
      <c r="BF170" s="34">
        <f t="shared" si="54"/>
        <v>1375.0639999999999</v>
      </c>
      <c r="BG170" s="59" t="s">
        <v>1411</v>
      </c>
      <c r="BH170" s="59" t="s">
        <v>1412</v>
      </c>
      <c r="BI170" s="38" t="s">
        <v>1413</v>
      </c>
      <c r="BJ170" s="39" t="s">
        <v>1414</v>
      </c>
      <c r="BK170" s="39"/>
      <c r="BL170" s="39" t="s">
        <v>1415</v>
      </c>
      <c r="BM170" s="102">
        <v>1596078369</v>
      </c>
      <c r="BN170" s="39"/>
    </row>
    <row r="171" spans="1:66" s="6" customFormat="1" ht="39.950000000000003" hidden="1" customHeight="1" x14ac:dyDescent="0.25">
      <c r="A171" s="91" t="s">
        <v>1404</v>
      </c>
      <c r="B171" s="107">
        <v>79</v>
      </c>
      <c r="C171" s="108" t="s">
        <v>1406</v>
      </c>
      <c r="D171" s="44" t="s">
        <v>1416</v>
      </c>
      <c r="E171" s="39" t="s">
        <v>1407</v>
      </c>
      <c r="F171" s="29" t="s">
        <v>1408</v>
      </c>
      <c r="G171" s="38" t="s">
        <v>1409</v>
      </c>
      <c r="H171" s="88" t="s">
        <v>315</v>
      </c>
      <c r="I171" s="40" t="s">
        <v>316</v>
      </c>
      <c r="J171" s="40" t="s">
        <v>325</v>
      </c>
      <c r="K171" s="40" t="s">
        <v>1410</v>
      </c>
      <c r="L171" s="40" t="s">
        <v>11</v>
      </c>
      <c r="M171" s="96"/>
      <c r="N171" s="96">
        <v>44927</v>
      </c>
      <c r="O171" s="105">
        <v>45657</v>
      </c>
      <c r="P171" s="111"/>
      <c r="Q171" s="88" t="s">
        <v>69</v>
      </c>
      <c r="R171" s="88"/>
      <c r="S171" s="97" t="s">
        <v>70</v>
      </c>
      <c r="T171" s="77">
        <v>17</v>
      </c>
      <c r="U171" s="77" t="s">
        <v>400</v>
      </c>
      <c r="V171" s="47">
        <f t="shared" ca="1" si="46"/>
        <v>28</v>
      </c>
      <c r="W171" s="98">
        <v>10746300</v>
      </c>
      <c r="X171" s="77">
        <v>190</v>
      </c>
      <c r="Y171" s="31">
        <f t="shared" si="67"/>
        <v>232.92466666666667</v>
      </c>
      <c r="Z171" s="31">
        <f t="shared" si="68"/>
        <v>3493.87</v>
      </c>
      <c r="AA171" s="32">
        <v>6987.74</v>
      </c>
      <c r="AB171" s="32">
        <v>284</v>
      </c>
      <c r="AC171" s="99"/>
      <c r="AD171" s="99"/>
      <c r="AE171" s="100"/>
      <c r="AF171" s="101"/>
      <c r="AG171" s="99"/>
      <c r="AH171" s="99"/>
      <c r="AI171" s="32">
        <v>10000</v>
      </c>
      <c r="AJ171" s="33">
        <f t="shared" si="66"/>
        <v>17271.739999999998</v>
      </c>
      <c r="AK171" s="54">
        <v>0</v>
      </c>
      <c r="AL171" s="31">
        <f t="shared" si="57"/>
        <v>454.20310000000001</v>
      </c>
      <c r="AM171" s="31">
        <f t="shared" si="57"/>
        <v>908.40620000000001</v>
      </c>
      <c r="AN171" s="34">
        <f t="shared" si="51"/>
        <v>908.40620000000001</v>
      </c>
      <c r="AO171" s="35">
        <f t="shared" si="52"/>
        <v>16363.333799999999</v>
      </c>
      <c r="AP171" s="34">
        <f t="shared" si="60"/>
        <v>10714.534666666666</v>
      </c>
      <c r="AQ171" s="34">
        <f t="shared" si="61"/>
        <v>15333.333333333332</v>
      </c>
      <c r="AR171" s="34">
        <f t="shared" si="62"/>
        <v>1454.348</v>
      </c>
      <c r="AS171" s="34"/>
      <c r="AT171" s="34"/>
      <c r="AU171" s="34"/>
      <c r="AV171" s="99"/>
      <c r="AW171" s="99"/>
      <c r="AX171" s="99"/>
      <c r="AY171" s="34">
        <f t="shared" si="63"/>
        <v>2908.6959999999999</v>
      </c>
      <c r="AZ171" s="31">
        <v>0.26</v>
      </c>
      <c r="BA171" s="32">
        <f t="shared" si="64"/>
        <v>908.40620000000001</v>
      </c>
      <c r="BB171" s="32">
        <f t="shared" si="65"/>
        <v>1816.8124</v>
      </c>
      <c r="BC171" s="37">
        <f t="shared" si="58"/>
        <v>69.877399999999994</v>
      </c>
      <c r="BD171" s="37">
        <f t="shared" si="58"/>
        <v>139.75479999999999</v>
      </c>
      <c r="BE171" s="34">
        <f t="shared" si="53"/>
        <v>518.15219999999988</v>
      </c>
      <c r="BF171" s="34">
        <f t="shared" si="54"/>
        <v>1386.8491199999996</v>
      </c>
      <c r="BG171" s="59" t="s">
        <v>1411</v>
      </c>
      <c r="BH171" s="59" t="s">
        <v>1412</v>
      </c>
      <c r="BI171" s="38" t="s">
        <v>1413</v>
      </c>
      <c r="BJ171" s="39" t="s">
        <v>1414</v>
      </c>
      <c r="BK171" s="39" t="s">
        <v>1417</v>
      </c>
      <c r="BL171" s="39" t="s">
        <v>1415</v>
      </c>
      <c r="BM171" s="102" t="s">
        <v>1418</v>
      </c>
      <c r="BN171" s="39"/>
    </row>
    <row r="172" spans="1:66" s="6" customFormat="1" ht="39.950000000000003" hidden="1" customHeight="1" x14ac:dyDescent="0.25">
      <c r="A172" s="91" t="s">
        <v>1419</v>
      </c>
      <c r="B172" s="107">
        <v>72</v>
      </c>
      <c r="C172" s="108" t="s">
        <v>1420</v>
      </c>
      <c r="D172" s="108" t="s">
        <v>1421</v>
      </c>
      <c r="E172" s="39" t="s">
        <v>1422</v>
      </c>
      <c r="F172" s="29" t="s">
        <v>1423</v>
      </c>
      <c r="G172" s="38" t="s">
        <v>1424</v>
      </c>
      <c r="H172" s="88" t="s">
        <v>161</v>
      </c>
      <c r="I172" s="40" t="s">
        <v>162</v>
      </c>
      <c r="J172" s="40" t="s">
        <v>449</v>
      </c>
      <c r="K172" s="40" t="s">
        <v>450</v>
      </c>
      <c r="L172" s="40" t="s">
        <v>131</v>
      </c>
      <c r="M172" s="96">
        <v>44593</v>
      </c>
      <c r="N172" s="96"/>
      <c r="O172" s="105"/>
      <c r="P172" s="111"/>
      <c r="Q172" s="88" t="s">
        <v>69</v>
      </c>
      <c r="R172" s="88"/>
      <c r="S172" s="97" t="s">
        <v>148</v>
      </c>
      <c r="T172" s="77">
        <v>28</v>
      </c>
      <c r="U172" s="77" t="s">
        <v>116</v>
      </c>
      <c r="V172" s="47">
        <f t="shared" ca="1" si="46"/>
        <v>28</v>
      </c>
      <c r="W172" s="98">
        <v>11517100</v>
      </c>
      <c r="X172" s="77">
        <v>189</v>
      </c>
      <c r="Y172" s="31">
        <f t="shared" si="67"/>
        <v>200.13333333333333</v>
      </c>
      <c r="Z172" s="31">
        <f t="shared" si="68"/>
        <v>3002</v>
      </c>
      <c r="AA172" s="32">
        <v>6004</v>
      </c>
      <c r="AB172" s="32">
        <v>284</v>
      </c>
      <c r="AC172" s="99"/>
      <c r="AD172" s="99"/>
      <c r="AE172" s="100"/>
      <c r="AF172" s="101"/>
      <c r="AG172" s="99"/>
      <c r="AH172" s="99"/>
      <c r="AI172" s="32">
        <v>7000</v>
      </c>
      <c r="AJ172" s="33">
        <f t="shared" si="66"/>
        <v>13288</v>
      </c>
      <c r="AK172" s="54">
        <v>0</v>
      </c>
      <c r="AL172" s="31">
        <f t="shared" si="57"/>
        <v>390.26</v>
      </c>
      <c r="AM172" s="31">
        <f t="shared" si="57"/>
        <v>780.52</v>
      </c>
      <c r="AN172" s="34">
        <f t="shared" si="51"/>
        <v>780.52</v>
      </c>
      <c r="AO172" s="35">
        <f t="shared" si="52"/>
        <v>12507.48</v>
      </c>
      <c r="AP172" s="34">
        <f t="shared" si="60"/>
        <v>9206.1333333333332</v>
      </c>
      <c r="AQ172" s="34">
        <f t="shared" si="61"/>
        <v>10733.333333333334</v>
      </c>
      <c r="AR172" s="34">
        <f t="shared" si="62"/>
        <v>1257.5999999999999</v>
      </c>
      <c r="AS172" s="34"/>
      <c r="AT172" s="34"/>
      <c r="AU172" s="34"/>
      <c r="AV172" s="99"/>
      <c r="AW172" s="99"/>
      <c r="AX172" s="99"/>
      <c r="AY172" s="34">
        <f t="shared" si="63"/>
        <v>2515.1999999999998</v>
      </c>
      <c r="AZ172" s="31">
        <v>0.26</v>
      </c>
      <c r="BA172" s="32">
        <f t="shared" si="64"/>
        <v>780.52</v>
      </c>
      <c r="BB172" s="32">
        <f t="shared" si="65"/>
        <v>1561.04</v>
      </c>
      <c r="BC172" s="37">
        <f t="shared" si="58"/>
        <v>60.04</v>
      </c>
      <c r="BD172" s="37">
        <f t="shared" si="58"/>
        <v>120.08</v>
      </c>
      <c r="BE172" s="34">
        <f t="shared" si="53"/>
        <v>398.64</v>
      </c>
      <c r="BF172" s="34">
        <f t="shared" si="54"/>
        <v>1072.28</v>
      </c>
      <c r="BG172" s="59" t="s">
        <v>1425</v>
      </c>
      <c r="BH172" s="59" t="s">
        <v>1426</v>
      </c>
      <c r="BI172" s="38" t="s">
        <v>1427</v>
      </c>
      <c r="BJ172" s="39" t="s">
        <v>1428</v>
      </c>
      <c r="BK172" s="39"/>
      <c r="BL172" s="39" t="s">
        <v>194</v>
      </c>
      <c r="BM172" s="102">
        <v>2725057612</v>
      </c>
      <c r="BN172" s="39"/>
    </row>
    <row r="173" spans="1:66" s="6" customFormat="1" ht="39.950000000000003" hidden="1" customHeight="1" x14ac:dyDescent="0.25">
      <c r="A173" s="91" t="s">
        <v>1419</v>
      </c>
      <c r="B173" s="107">
        <v>72</v>
      </c>
      <c r="C173" s="108" t="s">
        <v>1421</v>
      </c>
      <c r="D173" s="77" t="s">
        <v>1347</v>
      </c>
      <c r="E173" s="39" t="s">
        <v>1422</v>
      </c>
      <c r="F173" s="29" t="s">
        <v>1423</v>
      </c>
      <c r="G173" s="38" t="s">
        <v>1424</v>
      </c>
      <c r="H173" s="88" t="s">
        <v>315</v>
      </c>
      <c r="I173" s="40" t="s">
        <v>316</v>
      </c>
      <c r="J173" s="40" t="s">
        <v>449</v>
      </c>
      <c r="K173" s="40" t="s">
        <v>450</v>
      </c>
      <c r="L173" s="40" t="s">
        <v>11</v>
      </c>
      <c r="M173" s="96"/>
      <c r="N173" s="96">
        <v>44927</v>
      </c>
      <c r="O173" s="96">
        <v>45777</v>
      </c>
      <c r="P173" s="111"/>
      <c r="Q173" s="88" t="s">
        <v>69</v>
      </c>
      <c r="R173" s="88"/>
      <c r="S173" s="97" t="s">
        <v>148</v>
      </c>
      <c r="T173" s="77">
        <v>28</v>
      </c>
      <c r="U173" s="77" t="s">
        <v>116</v>
      </c>
      <c r="V173" s="47">
        <f t="shared" ref="V173:V238" ca="1" si="69">DATEDIF(DATE(IF(MID($G173,5,2)+2000&gt;YEAR(TODAY()),MID($G173,5,2)+1900,MID($G173,5,2)+2000),MID($G173,7,2),MID($G173,9,2)),TODAY(),"y")</f>
        <v>28</v>
      </c>
      <c r="W173" s="98">
        <v>11517100</v>
      </c>
      <c r="X173" s="77">
        <v>189</v>
      </c>
      <c r="Y173" s="31">
        <f t="shared" si="67"/>
        <v>232.92466666666667</v>
      </c>
      <c r="Z173" s="31">
        <f t="shared" si="68"/>
        <v>3493.87</v>
      </c>
      <c r="AA173" s="32">
        <v>6987.74</v>
      </c>
      <c r="AB173" s="32">
        <v>284</v>
      </c>
      <c r="AC173" s="99"/>
      <c r="AD173" s="99"/>
      <c r="AE173" s="100"/>
      <c r="AF173" s="101"/>
      <c r="AG173" s="99"/>
      <c r="AH173" s="99"/>
      <c r="AI173" s="32">
        <v>6016</v>
      </c>
      <c r="AJ173" s="33">
        <f t="shared" si="66"/>
        <v>13287.74</v>
      </c>
      <c r="AK173" s="54">
        <v>0</v>
      </c>
      <c r="AL173" s="31">
        <f t="shared" si="57"/>
        <v>454.20310000000001</v>
      </c>
      <c r="AM173" s="31">
        <f t="shared" si="57"/>
        <v>908.40620000000001</v>
      </c>
      <c r="AN173" s="34">
        <f t="shared" si="51"/>
        <v>908.40620000000001</v>
      </c>
      <c r="AO173" s="35">
        <f t="shared" si="52"/>
        <v>12379.3338</v>
      </c>
      <c r="AP173" s="34">
        <f t="shared" si="60"/>
        <v>10714.534666666666</v>
      </c>
      <c r="AQ173" s="34">
        <f t="shared" si="61"/>
        <v>9224.5333333333328</v>
      </c>
      <c r="AR173" s="34">
        <f t="shared" si="62"/>
        <v>1454.348</v>
      </c>
      <c r="AS173" s="34"/>
      <c r="AT173" s="34"/>
      <c r="AU173" s="34"/>
      <c r="AV173" s="99"/>
      <c r="AW173" s="99"/>
      <c r="AX173" s="99"/>
      <c r="AY173" s="34">
        <f t="shared" si="63"/>
        <v>2908.6959999999999</v>
      </c>
      <c r="AZ173" s="31">
        <v>0.26</v>
      </c>
      <c r="BA173" s="32">
        <f t="shared" si="64"/>
        <v>908.40620000000001</v>
      </c>
      <c r="BB173" s="32">
        <f t="shared" si="65"/>
        <v>1816.8124</v>
      </c>
      <c r="BC173" s="37">
        <f t="shared" si="58"/>
        <v>69.877399999999994</v>
      </c>
      <c r="BD173" s="37">
        <f t="shared" si="58"/>
        <v>139.75479999999999</v>
      </c>
      <c r="BE173" s="34">
        <f t="shared" si="53"/>
        <v>398.63219999999995</v>
      </c>
      <c r="BF173" s="34">
        <f t="shared" si="54"/>
        <v>1084.06512</v>
      </c>
      <c r="BG173" s="59" t="s">
        <v>1425</v>
      </c>
      <c r="BH173" s="59" t="s">
        <v>1426</v>
      </c>
      <c r="BI173" s="38" t="s">
        <v>1427</v>
      </c>
      <c r="BJ173" s="39" t="s">
        <v>1428</v>
      </c>
      <c r="BK173" s="39" t="s">
        <v>1428</v>
      </c>
      <c r="BL173" s="39" t="s">
        <v>194</v>
      </c>
      <c r="BM173" s="102" t="s">
        <v>1429</v>
      </c>
      <c r="BN173" s="39"/>
    </row>
    <row r="174" spans="1:66" s="6" customFormat="1" ht="39.950000000000003" hidden="1" customHeight="1" x14ac:dyDescent="0.25">
      <c r="A174" s="91" t="s">
        <v>1430</v>
      </c>
      <c r="B174" s="107"/>
      <c r="C174" s="108"/>
      <c r="D174" s="108"/>
      <c r="E174" s="39"/>
      <c r="F174" s="29"/>
      <c r="G174" s="38"/>
      <c r="H174" s="88"/>
      <c r="I174" s="40"/>
      <c r="J174" s="40"/>
      <c r="K174" s="40"/>
      <c r="L174" s="40"/>
      <c r="M174" s="96"/>
      <c r="N174" s="96"/>
      <c r="O174" s="105"/>
      <c r="P174" s="111"/>
      <c r="Q174" s="88"/>
      <c r="R174" s="88"/>
      <c r="S174" s="97"/>
      <c r="T174" s="77"/>
      <c r="U174" s="77"/>
      <c r="V174" s="47" t="e">
        <f t="shared" ca="1" si="69"/>
        <v>#VALUE!</v>
      </c>
      <c r="W174" s="98"/>
      <c r="X174" s="77"/>
      <c r="Y174" s="31"/>
      <c r="Z174" s="31"/>
      <c r="AA174" s="32"/>
      <c r="AB174" s="32"/>
      <c r="AC174" s="99"/>
      <c r="AD174" s="99"/>
      <c r="AE174" s="100"/>
      <c r="AF174" s="101"/>
      <c r="AG174" s="99"/>
      <c r="AH174" s="99"/>
      <c r="AI174" s="32"/>
      <c r="AJ174" s="33">
        <f t="shared" si="66"/>
        <v>0</v>
      </c>
      <c r="AK174" s="54">
        <v>0</v>
      </c>
      <c r="AL174" s="31"/>
      <c r="AM174" s="31"/>
      <c r="AN174" s="34"/>
      <c r="AO174" s="35"/>
      <c r="AP174" s="34"/>
      <c r="AQ174" s="34"/>
      <c r="AR174" s="34"/>
      <c r="AS174" s="34"/>
      <c r="AT174" s="34"/>
      <c r="AU174" s="34"/>
      <c r="AV174" s="99"/>
      <c r="AW174" s="99"/>
      <c r="AX174" s="99"/>
      <c r="AY174" s="34"/>
      <c r="AZ174" s="31"/>
      <c r="BA174" s="32"/>
      <c r="BB174" s="32"/>
      <c r="BC174" s="37"/>
      <c r="BD174" s="37"/>
      <c r="BE174" s="34"/>
      <c r="BF174" s="34"/>
      <c r="BG174" s="59"/>
      <c r="BH174" s="59"/>
      <c r="BI174" s="38"/>
      <c r="BJ174" s="39"/>
      <c r="BK174" s="39"/>
      <c r="BL174" s="39"/>
      <c r="BM174" s="102"/>
      <c r="BN174" s="39"/>
    </row>
    <row r="175" spans="1:66" s="6" customFormat="1" ht="39.950000000000003" hidden="1" customHeight="1" x14ac:dyDescent="0.25">
      <c r="A175" s="91" t="s">
        <v>1431</v>
      </c>
      <c r="B175" s="107">
        <v>45</v>
      </c>
      <c r="C175" s="108" t="s">
        <v>1432</v>
      </c>
      <c r="D175" s="108" t="s">
        <v>1433</v>
      </c>
      <c r="E175" s="39" t="s">
        <v>1434</v>
      </c>
      <c r="F175" s="29" t="s">
        <v>1435</v>
      </c>
      <c r="G175" s="38" t="s">
        <v>1436</v>
      </c>
      <c r="H175" s="88" t="s">
        <v>161</v>
      </c>
      <c r="I175" s="40" t="s">
        <v>162</v>
      </c>
      <c r="J175" s="40" t="s">
        <v>129</v>
      </c>
      <c r="K175" s="40" t="s">
        <v>492</v>
      </c>
      <c r="L175" s="40" t="s">
        <v>11</v>
      </c>
      <c r="M175" s="96">
        <v>44608</v>
      </c>
      <c r="N175" s="96"/>
      <c r="O175" s="105"/>
      <c r="P175" s="111"/>
      <c r="Q175" s="88" t="s">
        <v>69</v>
      </c>
      <c r="R175" s="88"/>
      <c r="S175" s="97" t="s">
        <v>148</v>
      </c>
      <c r="T175" s="77">
        <v>2</v>
      </c>
      <c r="U175" s="77" t="s">
        <v>463</v>
      </c>
      <c r="V175" s="47">
        <f t="shared" ca="1" si="69"/>
        <v>35</v>
      </c>
      <c r="W175" s="98" t="s">
        <v>1437</v>
      </c>
      <c r="X175" s="77">
        <v>184</v>
      </c>
      <c r="Y175" s="31">
        <f t="shared" ref="Y175:Y207" si="70">AA175/30</f>
        <v>200.13333333333333</v>
      </c>
      <c r="Z175" s="31">
        <f t="shared" ref="Z175:Z207" si="71">AA175/2</f>
        <v>3002</v>
      </c>
      <c r="AA175" s="32">
        <v>6004</v>
      </c>
      <c r="AB175" s="32">
        <v>284</v>
      </c>
      <c r="AC175" s="99"/>
      <c r="AD175" s="99"/>
      <c r="AE175" s="100"/>
      <c r="AF175" s="101"/>
      <c r="AG175" s="99"/>
      <c r="AH175" s="99"/>
      <c r="AI175" s="32">
        <v>7000</v>
      </c>
      <c r="AJ175" s="33">
        <f t="shared" si="66"/>
        <v>13288</v>
      </c>
      <c r="AK175" s="54">
        <v>0</v>
      </c>
      <c r="AL175" s="31">
        <f t="shared" ref="AL175:AM212" si="72">Z175*13%</f>
        <v>390.26</v>
      </c>
      <c r="AM175" s="31">
        <f t="shared" si="72"/>
        <v>780.52</v>
      </c>
      <c r="AN175" s="34">
        <f t="shared" ref="AN175:AN182" si="73">AK175+AM175</f>
        <v>780.52</v>
      </c>
      <c r="AO175" s="35">
        <f t="shared" ref="AO175:AO182" si="74">AJ175-AN175</f>
        <v>12507.48</v>
      </c>
      <c r="AP175" s="34">
        <f t="shared" ref="AP175:AP212" si="75">+(AA175+AF175)/30*46</f>
        <v>9206.1333333333332</v>
      </c>
      <c r="AQ175" s="34">
        <f t="shared" ref="AQ175:AQ234" si="76">+AI175/30*46</f>
        <v>10733.333333333334</v>
      </c>
      <c r="AR175" s="34">
        <f t="shared" ref="AR175:AR253" si="77">+(AA175+AB175+AC175+AD175+AF175)/30*12/2</f>
        <v>1257.5999999999999</v>
      </c>
      <c r="AS175" s="34"/>
      <c r="AT175" s="34"/>
      <c r="AU175" s="34"/>
      <c r="AV175" s="99"/>
      <c r="AW175" s="99"/>
      <c r="AX175" s="99"/>
      <c r="AY175" s="34">
        <f t="shared" ref="AY175:AY212" si="78">+(AA175+AB175+AC175+AD175+AF175)/30*12</f>
        <v>2515.1999999999998</v>
      </c>
      <c r="AZ175" s="31">
        <v>0.26</v>
      </c>
      <c r="BA175" s="32">
        <f t="shared" ref="BA175:BA258" si="79">Z175*AZ175</f>
        <v>780.52</v>
      </c>
      <c r="BB175" s="32">
        <f t="shared" ref="BB175:BB248" si="80">AA175*AZ175</f>
        <v>1561.04</v>
      </c>
      <c r="BC175" s="37">
        <f t="shared" ref="BC175:BD212" si="81">Z175*2%</f>
        <v>60.04</v>
      </c>
      <c r="BD175" s="37">
        <f t="shared" si="81"/>
        <v>120.08</v>
      </c>
      <c r="BE175" s="34">
        <f t="shared" ref="BE175:BE182" si="82">AJ175*3%</f>
        <v>398.64</v>
      </c>
      <c r="BF175" s="34">
        <f t="shared" ref="BF175:BF182" si="83">(AJ175+AP175+AQ175+AY175)*3%</f>
        <v>1072.28</v>
      </c>
      <c r="BG175" s="59" t="s">
        <v>1438</v>
      </c>
      <c r="BH175" s="59" t="s">
        <v>1439</v>
      </c>
      <c r="BI175" s="38">
        <v>2221473177</v>
      </c>
      <c r="BJ175" s="39" t="s">
        <v>1440</v>
      </c>
      <c r="BK175" s="39"/>
      <c r="BL175" s="39" t="s">
        <v>1441</v>
      </c>
      <c r="BM175" s="102">
        <v>1598315954</v>
      </c>
      <c r="BN175" s="39"/>
    </row>
    <row r="176" spans="1:66" s="6" customFormat="1" ht="39.950000000000003" hidden="1" customHeight="1" x14ac:dyDescent="0.25">
      <c r="A176" s="91" t="s">
        <v>1442</v>
      </c>
      <c r="B176" s="107">
        <v>54</v>
      </c>
      <c r="C176" s="108" t="s">
        <v>1443</v>
      </c>
      <c r="D176" s="108" t="s">
        <v>1444</v>
      </c>
      <c r="E176" s="39" t="s">
        <v>1445</v>
      </c>
      <c r="F176" s="29" t="s">
        <v>1446</v>
      </c>
      <c r="G176" s="38" t="s">
        <v>1447</v>
      </c>
      <c r="H176" s="88" t="s">
        <v>161</v>
      </c>
      <c r="I176" s="40" t="s">
        <v>162</v>
      </c>
      <c r="J176" s="40" t="s">
        <v>86</v>
      </c>
      <c r="K176" s="40" t="s">
        <v>988</v>
      </c>
      <c r="L176" s="40" t="s">
        <v>131</v>
      </c>
      <c r="M176" s="96">
        <v>44636</v>
      </c>
      <c r="N176" s="96"/>
      <c r="O176" s="105"/>
      <c r="P176" s="111"/>
      <c r="Q176" s="88" t="s">
        <v>69</v>
      </c>
      <c r="R176" s="88"/>
      <c r="S176" s="97" t="s">
        <v>70</v>
      </c>
      <c r="T176" s="77">
        <v>20</v>
      </c>
      <c r="U176" s="77" t="s">
        <v>116</v>
      </c>
      <c r="V176" s="47">
        <f t="shared" ca="1" si="69"/>
        <v>38</v>
      </c>
      <c r="W176" s="98">
        <v>11440200</v>
      </c>
      <c r="X176" s="77">
        <v>194</v>
      </c>
      <c r="Y176" s="31">
        <f t="shared" si="70"/>
        <v>200.13333333333333</v>
      </c>
      <c r="Z176" s="31">
        <f t="shared" si="71"/>
        <v>3002</v>
      </c>
      <c r="AA176" s="32">
        <v>6004</v>
      </c>
      <c r="AB176" s="32">
        <v>284</v>
      </c>
      <c r="AC176" s="99"/>
      <c r="AD176" s="99"/>
      <c r="AE176" s="100"/>
      <c r="AF176" s="101"/>
      <c r="AG176" s="99"/>
      <c r="AH176" s="99"/>
      <c r="AI176" s="32">
        <v>7000</v>
      </c>
      <c r="AJ176" s="33">
        <f t="shared" si="66"/>
        <v>13288</v>
      </c>
      <c r="AK176" s="54">
        <v>0</v>
      </c>
      <c r="AL176" s="31">
        <f t="shared" si="72"/>
        <v>390.26</v>
      </c>
      <c r="AM176" s="31">
        <f t="shared" si="72"/>
        <v>780.52</v>
      </c>
      <c r="AN176" s="34">
        <f t="shared" si="73"/>
        <v>780.52</v>
      </c>
      <c r="AO176" s="35">
        <f t="shared" si="74"/>
        <v>12507.48</v>
      </c>
      <c r="AP176" s="34">
        <f t="shared" si="75"/>
        <v>9206.1333333333332</v>
      </c>
      <c r="AQ176" s="34">
        <f t="shared" si="76"/>
        <v>10733.333333333334</v>
      </c>
      <c r="AR176" s="34">
        <f t="shared" si="77"/>
        <v>1257.5999999999999</v>
      </c>
      <c r="AS176" s="34"/>
      <c r="AT176" s="34"/>
      <c r="AU176" s="34"/>
      <c r="AV176" s="99"/>
      <c r="AW176" s="99"/>
      <c r="AX176" s="99"/>
      <c r="AY176" s="34">
        <f t="shared" si="78"/>
        <v>2515.1999999999998</v>
      </c>
      <c r="AZ176" s="31">
        <v>0.26</v>
      </c>
      <c r="BA176" s="32">
        <f t="shared" si="79"/>
        <v>780.52</v>
      </c>
      <c r="BB176" s="32">
        <f t="shared" si="80"/>
        <v>1561.04</v>
      </c>
      <c r="BC176" s="37">
        <f t="shared" si="81"/>
        <v>60.04</v>
      </c>
      <c r="BD176" s="37">
        <f t="shared" si="81"/>
        <v>120.08</v>
      </c>
      <c r="BE176" s="34">
        <f t="shared" si="82"/>
        <v>398.64</v>
      </c>
      <c r="BF176" s="34">
        <f t="shared" si="83"/>
        <v>1072.28</v>
      </c>
      <c r="BG176" s="59" t="s">
        <v>1448</v>
      </c>
      <c r="BH176" s="59" t="s">
        <v>1449</v>
      </c>
      <c r="BI176" s="38" t="s">
        <v>1450</v>
      </c>
      <c r="BJ176" s="39" t="s">
        <v>1451</v>
      </c>
      <c r="BK176" s="39"/>
      <c r="BL176" s="39" t="s">
        <v>1452</v>
      </c>
      <c r="BM176" s="102">
        <v>1503744731</v>
      </c>
      <c r="BN176" s="39"/>
    </row>
    <row r="177" spans="1:66" s="6" customFormat="1" ht="39.950000000000003" hidden="1" customHeight="1" x14ac:dyDescent="0.25">
      <c r="A177" s="91" t="s">
        <v>1442</v>
      </c>
      <c r="B177" s="107">
        <v>54</v>
      </c>
      <c r="C177" s="108" t="s">
        <v>1444</v>
      </c>
      <c r="D177" s="108" t="s">
        <v>1453</v>
      </c>
      <c r="E177" s="39" t="s">
        <v>1445</v>
      </c>
      <c r="F177" s="29" t="s">
        <v>1446</v>
      </c>
      <c r="G177" s="38" t="s">
        <v>1447</v>
      </c>
      <c r="H177" s="88" t="s">
        <v>315</v>
      </c>
      <c r="I177" s="40" t="s">
        <v>316</v>
      </c>
      <c r="J177" s="40" t="s">
        <v>86</v>
      </c>
      <c r="K177" s="40" t="s">
        <v>988</v>
      </c>
      <c r="L177" s="40" t="s">
        <v>11</v>
      </c>
      <c r="M177" s="96"/>
      <c r="N177" s="96">
        <v>44927</v>
      </c>
      <c r="O177" s="105">
        <v>45291</v>
      </c>
      <c r="P177" s="111"/>
      <c r="Q177" s="88" t="s">
        <v>69</v>
      </c>
      <c r="R177" s="88"/>
      <c r="S177" s="97" t="s">
        <v>70</v>
      </c>
      <c r="T177" s="77">
        <v>20</v>
      </c>
      <c r="U177" s="77" t="s">
        <v>116</v>
      </c>
      <c r="V177" s="47">
        <f t="shared" ca="1" si="69"/>
        <v>38</v>
      </c>
      <c r="W177" s="98">
        <v>11440200</v>
      </c>
      <c r="X177" s="77">
        <v>194</v>
      </c>
      <c r="Y177" s="31">
        <f t="shared" si="70"/>
        <v>232.92466666666667</v>
      </c>
      <c r="Z177" s="31">
        <f t="shared" si="71"/>
        <v>3493.87</v>
      </c>
      <c r="AA177" s="32">
        <v>6987.74</v>
      </c>
      <c r="AB177" s="32">
        <v>284</v>
      </c>
      <c r="AC177" s="99"/>
      <c r="AD177" s="99"/>
      <c r="AE177" s="100"/>
      <c r="AF177" s="101"/>
      <c r="AG177" s="99"/>
      <c r="AH177" s="99"/>
      <c r="AI177" s="32">
        <v>6016</v>
      </c>
      <c r="AJ177" s="33">
        <f t="shared" si="66"/>
        <v>13287.74</v>
      </c>
      <c r="AK177" s="54">
        <v>0</v>
      </c>
      <c r="AL177" s="31">
        <f t="shared" si="72"/>
        <v>454.20310000000001</v>
      </c>
      <c r="AM177" s="31">
        <f t="shared" si="72"/>
        <v>908.40620000000001</v>
      </c>
      <c r="AN177" s="34">
        <f t="shared" si="73"/>
        <v>908.40620000000001</v>
      </c>
      <c r="AO177" s="35">
        <f t="shared" si="74"/>
        <v>12379.3338</v>
      </c>
      <c r="AP177" s="34">
        <f t="shared" si="75"/>
        <v>10714.534666666666</v>
      </c>
      <c r="AQ177" s="34">
        <f t="shared" si="76"/>
        <v>9224.5333333333328</v>
      </c>
      <c r="AR177" s="34">
        <f t="shared" si="77"/>
        <v>1454.348</v>
      </c>
      <c r="AS177" s="34"/>
      <c r="AT177" s="34"/>
      <c r="AU177" s="34"/>
      <c r="AV177" s="99"/>
      <c r="AW177" s="99"/>
      <c r="AX177" s="99"/>
      <c r="AY177" s="34">
        <f t="shared" si="78"/>
        <v>2908.6959999999999</v>
      </c>
      <c r="AZ177" s="31">
        <v>0.26</v>
      </c>
      <c r="BA177" s="32">
        <f t="shared" si="79"/>
        <v>908.40620000000001</v>
      </c>
      <c r="BB177" s="32">
        <f t="shared" si="80"/>
        <v>1816.8124</v>
      </c>
      <c r="BC177" s="37">
        <f t="shared" si="81"/>
        <v>69.877399999999994</v>
      </c>
      <c r="BD177" s="37">
        <f t="shared" si="81"/>
        <v>139.75479999999999</v>
      </c>
      <c r="BE177" s="34">
        <f t="shared" si="82"/>
        <v>398.63219999999995</v>
      </c>
      <c r="BF177" s="34">
        <f t="shared" si="83"/>
        <v>1084.06512</v>
      </c>
      <c r="BG177" s="59" t="s">
        <v>1448</v>
      </c>
      <c r="BH177" s="59" t="s">
        <v>1449</v>
      </c>
      <c r="BI177" s="38" t="s">
        <v>1450</v>
      </c>
      <c r="BJ177" s="39" t="s">
        <v>1451</v>
      </c>
      <c r="BK177" s="39"/>
      <c r="BL177" s="39" t="s">
        <v>1452</v>
      </c>
      <c r="BM177" s="102" t="s">
        <v>1454</v>
      </c>
      <c r="BN177" s="39"/>
    </row>
    <row r="178" spans="1:66" s="6" customFormat="1" ht="39.950000000000003" hidden="1" customHeight="1" x14ac:dyDescent="0.25">
      <c r="A178" s="91" t="s">
        <v>1455</v>
      </c>
      <c r="B178" s="107">
        <v>56</v>
      </c>
      <c r="C178" s="108" t="s">
        <v>1456</v>
      </c>
      <c r="D178" s="108" t="s">
        <v>1457</v>
      </c>
      <c r="E178" s="39" t="s">
        <v>1458</v>
      </c>
      <c r="F178" s="29" t="s">
        <v>1459</v>
      </c>
      <c r="G178" s="38" t="s">
        <v>1460</v>
      </c>
      <c r="H178" s="88" t="s">
        <v>161</v>
      </c>
      <c r="I178" s="40" t="s">
        <v>162</v>
      </c>
      <c r="J178" s="40" t="s">
        <v>86</v>
      </c>
      <c r="K178" s="40" t="s">
        <v>938</v>
      </c>
      <c r="L178" s="40" t="s">
        <v>11</v>
      </c>
      <c r="M178" s="96">
        <v>44667</v>
      </c>
      <c r="N178" s="96"/>
      <c r="O178" s="105">
        <v>44957</v>
      </c>
      <c r="P178" s="111"/>
      <c r="Q178" s="88" t="s">
        <v>69</v>
      </c>
      <c r="R178" s="88"/>
      <c r="S178" s="97" t="s">
        <v>148</v>
      </c>
      <c r="T178" s="77">
        <v>31</v>
      </c>
      <c r="U178" s="77" t="s">
        <v>400</v>
      </c>
      <c r="V178" s="47">
        <f t="shared" ca="1" si="69"/>
        <v>33</v>
      </c>
      <c r="W178" s="98">
        <v>11440300</v>
      </c>
      <c r="X178" s="77">
        <v>192</v>
      </c>
      <c r="Y178" s="31">
        <f t="shared" si="70"/>
        <v>200.13333333333333</v>
      </c>
      <c r="Z178" s="31">
        <f t="shared" si="71"/>
        <v>3002</v>
      </c>
      <c r="AA178" s="32">
        <v>6004</v>
      </c>
      <c r="AB178" s="32">
        <v>284</v>
      </c>
      <c r="AC178" s="99"/>
      <c r="AD178" s="99"/>
      <c r="AE178" s="100"/>
      <c r="AF178" s="101"/>
      <c r="AG178" s="99"/>
      <c r="AH178" s="99"/>
      <c r="AI178" s="32">
        <v>7000</v>
      </c>
      <c r="AJ178" s="33">
        <f t="shared" si="66"/>
        <v>13288</v>
      </c>
      <c r="AK178" s="54">
        <v>0</v>
      </c>
      <c r="AL178" s="31">
        <f t="shared" si="72"/>
        <v>390.26</v>
      </c>
      <c r="AM178" s="31">
        <f t="shared" si="72"/>
        <v>780.52</v>
      </c>
      <c r="AN178" s="34">
        <f t="shared" si="73"/>
        <v>780.52</v>
      </c>
      <c r="AO178" s="35">
        <f t="shared" si="74"/>
        <v>12507.48</v>
      </c>
      <c r="AP178" s="34">
        <f t="shared" si="75"/>
        <v>9206.1333333333332</v>
      </c>
      <c r="AQ178" s="34">
        <f t="shared" si="76"/>
        <v>10733.333333333334</v>
      </c>
      <c r="AR178" s="34">
        <f t="shared" si="77"/>
        <v>1257.5999999999999</v>
      </c>
      <c r="AS178" s="34"/>
      <c r="AT178" s="34"/>
      <c r="AU178" s="34"/>
      <c r="AV178" s="99"/>
      <c r="AW178" s="99"/>
      <c r="AX178" s="99"/>
      <c r="AY178" s="34">
        <f t="shared" si="78"/>
        <v>2515.1999999999998</v>
      </c>
      <c r="AZ178" s="31">
        <v>0.26</v>
      </c>
      <c r="BA178" s="32">
        <f t="shared" si="79"/>
        <v>780.52</v>
      </c>
      <c r="BB178" s="32">
        <f t="shared" si="80"/>
        <v>1561.04</v>
      </c>
      <c r="BC178" s="37">
        <f t="shared" si="81"/>
        <v>60.04</v>
      </c>
      <c r="BD178" s="37">
        <f t="shared" si="81"/>
        <v>120.08</v>
      </c>
      <c r="BE178" s="34">
        <f t="shared" si="82"/>
        <v>398.64</v>
      </c>
      <c r="BF178" s="34">
        <f t="shared" si="83"/>
        <v>1072.28</v>
      </c>
      <c r="BG178" s="59" t="s">
        <v>1461</v>
      </c>
      <c r="BH178" s="59" t="s">
        <v>1462</v>
      </c>
      <c r="BI178" s="38" t="s">
        <v>1463</v>
      </c>
      <c r="BJ178" s="39" t="s">
        <v>1464</v>
      </c>
      <c r="BK178" s="39"/>
      <c r="BL178" s="39" t="s">
        <v>1465</v>
      </c>
      <c r="BM178" s="102" t="s">
        <v>1466</v>
      </c>
      <c r="BN178" s="39"/>
    </row>
    <row r="179" spans="1:66" s="6" customFormat="1" ht="39.950000000000003" hidden="1" customHeight="1" x14ac:dyDescent="0.25">
      <c r="A179" s="91" t="s">
        <v>1467</v>
      </c>
      <c r="B179" s="107">
        <v>45</v>
      </c>
      <c r="C179" s="108" t="s">
        <v>1468</v>
      </c>
      <c r="D179" s="108" t="s">
        <v>1469</v>
      </c>
      <c r="E179" s="39" t="s">
        <v>1470</v>
      </c>
      <c r="F179" s="29" t="s">
        <v>1471</v>
      </c>
      <c r="G179" s="38" t="s">
        <v>1472</v>
      </c>
      <c r="H179" s="88" t="s">
        <v>161</v>
      </c>
      <c r="I179" s="40" t="s">
        <v>162</v>
      </c>
      <c r="J179" s="40" t="s">
        <v>1397</v>
      </c>
      <c r="K179" s="40" t="s">
        <v>501</v>
      </c>
      <c r="L179" s="40" t="s">
        <v>11</v>
      </c>
      <c r="M179" s="96">
        <v>44667</v>
      </c>
      <c r="N179" s="96"/>
      <c r="O179" s="105">
        <v>44696</v>
      </c>
      <c r="P179" s="111"/>
      <c r="Q179" s="88" t="s">
        <v>69</v>
      </c>
      <c r="R179" s="88"/>
      <c r="S179" s="97" t="s">
        <v>70</v>
      </c>
      <c r="T179" s="77">
        <v>9</v>
      </c>
      <c r="U179" s="77" t="s">
        <v>305</v>
      </c>
      <c r="V179" s="47">
        <f t="shared" ca="1" si="69"/>
        <v>44</v>
      </c>
      <c r="W179" s="98">
        <v>11440000</v>
      </c>
      <c r="X179" s="77">
        <v>194</v>
      </c>
      <c r="Y179" s="31">
        <f t="shared" si="70"/>
        <v>200.13333333333333</v>
      </c>
      <c r="Z179" s="31">
        <f t="shared" si="71"/>
        <v>3002</v>
      </c>
      <c r="AA179" s="32">
        <v>6004</v>
      </c>
      <c r="AB179" s="32">
        <v>284</v>
      </c>
      <c r="AC179" s="99"/>
      <c r="AD179" s="99"/>
      <c r="AE179" s="100"/>
      <c r="AF179" s="101"/>
      <c r="AG179" s="99"/>
      <c r="AH179" s="99"/>
      <c r="AI179" s="32">
        <v>7000</v>
      </c>
      <c r="AJ179" s="33">
        <f t="shared" si="66"/>
        <v>13288</v>
      </c>
      <c r="AK179" s="54">
        <v>0</v>
      </c>
      <c r="AL179" s="31">
        <f t="shared" si="72"/>
        <v>390.26</v>
      </c>
      <c r="AM179" s="31">
        <f t="shared" si="72"/>
        <v>780.52</v>
      </c>
      <c r="AN179" s="34">
        <f t="shared" si="73"/>
        <v>780.52</v>
      </c>
      <c r="AO179" s="35">
        <f t="shared" si="74"/>
        <v>12507.48</v>
      </c>
      <c r="AP179" s="34">
        <f t="shared" si="75"/>
        <v>9206.1333333333332</v>
      </c>
      <c r="AQ179" s="34">
        <f t="shared" si="76"/>
        <v>10733.333333333334</v>
      </c>
      <c r="AR179" s="34">
        <f t="shared" si="77"/>
        <v>1257.5999999999999</v>
      </c>
      <c r="AS179" s="34"/>
      <c r="AT179" s="34"/>
      <c r="AU179" s="34"/>
      <c r="AV179" s="99"/>
      <c r="AW179" s="99"/>
      <c r="AX179" s="99"/>
      <c r="AY179" s="34">
        <f t="shared" si="78"/>
        <v>2515.1999999999998</v>
      </c>
      <c r="AZ179" s="31">
        <v>0.26</v>
      </c>
      <c r="BA179" s="32">
        <f t="shared" si="79"/>
        <v>780.52</v>
      </c>
      <c r="BB179" s="32">
        <f t="shared" si="80"/>
        <v>1561.04</v>
      </c>
      <c r="BC179" s="37">
        <f t="shared" si="81"/>
        <v>60.04</v>
      </c>
      <c r="BD179" s="37">
        <f t="shared" si="81"/>
        <v>120.08</v>
      </c>
      <c r="BE179" s="34">
        <f t="shared" si="82"/>
        <v>398.64</v>
      </c>
      <c r="BF179" s="34">
        <f t="shared" si="83"/>
        <v>1072.28</v>
      </c>
      <c r="BG179" s="59" t="s">
        <v>1473</v>
      </c>
      <c r="BH179" s="59" t="s">
        <v>1474</v>
      </c>
      <c r="BI179" s="38">
        <v>2382744985</v>
      </c>
      <c r="BJ179" s="39" t="s">
        <v>1475</v>
      </c>
      <c r="BK179" s="39"/>
      <c r="BL179" s="39" t="s">
        <v>1476</v>
      </c>
      <c r="BM179" s="102">
        <v>2895554381</v>
      </c>
      <c r="BN179" s="39"/>
    </row>
    <row r="180" spans="1:66" s="6" customFormat="1" ht="39.950000000000003" customHeight="1" x14ac:dyDescent="0.25">
      <c r="A180" s="91">
        <v>92700180</v>
      </c>
      <c r="B180" s="42">
        <v>77</v>
      </c>
      <c r="C180" s="108" t="s">
        <v>1477</v>
      </c>
      <c r="D180" s="108"/>
      <c r="E180" s="39" t="s">
        <v>1478</v>
      </c>
      <c r="F180" s="29" t="s">
        <v>1479</v>
      </c>
      <c r="G180" s="38" t="s">
        <v>1480</v>
      </c>
      <c r="H180" s="48" t="s">
        <v>84</v>
      </c>
      <c r="I180" s="40" t="s">
        <v>1149</v>
      </c>
      <c r="J180" s="40" t="s">
        <v>86</v>
      </c>
      <c r="K180" s="40" t="s">
        <v>938</v>
      </c>
      <c r="L180" s="40" t="s">
        <v>329</v>
      </c>
      <c r="M180" s="96">
        <v>44682</v>
      </c>
      <c r="N180" s="96"/>
      <c r="O180" s="105"/>
      <c r="P180" s="111"/>
      <c r="Q180" s="88" t="s">
        <v>69</v>
      </c>
      <c r="R180" s="88"/>
      <c r="S180" s="97" t="s">
        <v>70</v>
      </c>
      <c r="T180" s="77">
        <v>29</v>
      </c>
      <c r="U180" s="77" t="s">
        <v>103</v>
      </c>
      <c r="V180" s="47">
        <f t="shared" ca="1" si="69"/>
        <v>34</v>
      </c>
      <c r="W180" s="98">
        <v>11548600</v>
      </c>
      <c r="X180" s="47">
        <v>194</v>
      </c>
      <c r="Y180" s="31">
        <f t="shared" si="70"/>
        <v>232.92466666666667</v>
      </c>
      <c r="Z180" s="31">
        <f t="shared" si="71"/>
        <v>3493.87</v>
      </c>
      <c r="AA180" s="32">
        <v>6987.74</v>
      </c>
      <c r="AB180" s="32">
        <v>284</v>
      </c>
      <c r="AC180" s="99"/>
      <c r="AD180" s="99"/>
      <c r="AE180" s="100"/>
      <c r="AF180" s="101"/>
      <c r="AG180" s="99"/>
      <c r="AH180" s="99"/>
      <c r="AI180" s="32">
        <v>11283.15</v>
      </c>
      <c r="AJ180" s="33">
        <f t="shared" si="66"/>
        <v>18554.89</v>
      </c>
      <c r="AK180" s="54">
        <v>0</v>
      </c>
      <c r="AL180" s="31">
        <f t="shared" si="72"/>
        <v>454.20310000000001</v>
      </c>
      <c r="AM180" s="31">
        <f t="shared" si="72"/>
        <v>908.40620000000001</v>
      </c>
      <c r="AN180" s="34">
        <f t="shared" si="73"/>
        <v>908.40620000000001</v>
      </c>
      <c r="AO180" s="35">
        <f t="shared" si="74"/>
        <v>17646.483799999998</v>
      </c>
      <c r="AP180" s="34">
        <f t="shared" si="75"/>
        <v>10714.534666666666</v>
      </c>
      <c r="AQ180" s="34">
        <f t="shared" si="76"/>
        <v>17300.829999999998</v>
      </c>
      <c r="AR180" s="34">
        <f t="shared" si="77"/>
        <v>1454.348</v>
      </c>
      <c r="AS180" s="34"/>
      <c r="AT180" s="34"/>
      <c r="AU180" s="34"/>
      <c r="AV180" s="99"/>
      <c r="AW180" s="99"/>
      <c r="AX180" s="99"/>
      <c r="AY180" s="34">
        <f t="shared" si="78"/>
        <v>2908.6959999999999</v>
      </c>
      <c r="AZ180" s="31">
        <v>0.26</v>
      </c>
      <c r="BA180" s="32">
        <f t="shared" si="79"/>
        <v>908.40620000000001</v>
      </c>
      <c r="BB180" s="32">
        <f t="shared" si="80"/>
        <v>1816.8124</v>
      </c>
      <c r="BC180" s="37">
        <f t="shared" si="81"/>
        <v>69.877399999999994</v>
      </c>
      <c r="BD180" s="37">
        <f t="shared" si="81"/>
        <v>139.75479999999999</v>
      </c>
      <c r="BE180" s="34">
        <f t="shared" si="82"/>
        <v>556.64670000000001</v>
      </c>
      <c r="BF180" s="34">
        <f t="shared" si="83"/>
        <v>1484.3685199999995</v>
      </c>
      <c r="BG180" s="59" t="s">
        <v>1481</v>
      </c>
      <c r="BH180" s="59" t="s">
        <v>1482</v>
      </c>
      <c r="BI180" s="38" t="s">
        <v>1483</v>
      </c>
      <c r="BJ180" s="39" t="s">
        <v>1484</v>
      </c>
      <c r="BK180" s="39"/>
      <c r="BL180" s="39" t="s">
        <v>1485</v>
      </c>
      <c r="BM180" s="102" t="s">
        <v>1486</v>
      </c>
      <c r="BN180" s="39"/>
    </row>
    <row r="181" spans="1:66" s="6" customFormat="1" ht="39.950000000000003" hidden="1" customHeight="1" x14ac:dyDescent="0.25">
      <c r="A181" s="91" t="s">
        <v>1487</v>
      </c>
      <c r="B181" s="107">
        <v>55</v>
      </c>
      <c r="C181" s="108" t="s">
        <v>1488</v>
      </c>
      <c r="D181" s="108" t="s">
        <v>1489</v>
      </c>
      <c r="E181" s="39" t="s">
        <v>1490</v>
      </c>
      <c r="F181" s="29" t="s">
        <v>1491</v>
      </c>
      <c r="G181" s="38" t="s">
        <v>1492</v>
      </c>
      <c r="H181" s="88" t="s">
        <v>161</v>
      </c>
      <c r="I181" s="40" t="s">
        <v>162</v>
      </c>
      <c r="J181" s="40" t="s">
        <v>129</v>
      </c>
      <c r="K181" s="40" t="s">
        <v>501</v>
      </c>
      <c r="L181" s="40" t="s">
        <v>131</v>
      </c>
      <c r="M181" s="96">
        <v>44682</v>
      </c>
      <c r="N181" s="96"/>
      <c r="O181" s="105"/>
      <c r="P181" s="111"/>
      <c r="Q181" s="88" t="s">
        <v>69</v>
      </c>
      <c r="R181" s="88"/>
      <c r="S181" s="97" t="s">
        <v>70</v>
      </c>
      <c r="T181" s="77">
        <v>5</v>
      </c>
      <c r="U181" s="77" t="s">
        <v>243</v>
      </c>
      <c r="V181" s="47">
        <f t="shared" ca="1" si="69"/>
        <v>27</v>
      </c>
      <c r="W181" s="98">
        <v>11518600</v>
      </c>
      <c r="X181" s="77">
        <v>192</v>
      </c>
      <c r="Y181" s="31">
        <f t="shared" si="70"/>
        <v>200.13333333333333</v>
      </c>
      <c r="Z181" s="31">
        <f t="shared" si="71"/>
        <v>3002</v>
      </c>
      <c r="AA181" s="32">
        <v>6004</v>
      </c>
      <c r="AB181" s="32">
        <v>284</v>
      </c>
      <c r="AC181" s="99"/>
      <c r="AD181" s="99"/>
      <c r="AE181" s="100"/>
      <c r="AF181" s="101"/>
      <c r="AG181" s="99"/>
      <c r="AH181" s="99"/>
      <c r="AI181" s="32">
        <v>7000</v>
      </c>
      <c r="AJ181" s="33">
        <f t="shared" si="66"/>
        <v>13288</v>
      </c>
      <c r="AK181" s="54">
        <v>0</v>
      </c>
      <c r="AL181" s="31">
        <f t="shared" si="72"/>
        <v>390.26</v>
      </c>
      <c r="AM181" s="31">
        <f t="shared" si="72"/>
        <v>780.52</v>
      </c>
      <c r="AN181" s="34">
        <f t="shared" si="73"/>
        <v>780.52</v>
      </c>
      <c r="AO181" s="35">
        <f t="shared" si="74"/>
        <v>12507.48</v>
      </c>
      <c r="AP181" s="34">
        <f t="shared" si="75"/>
        <v>9206.1333333333332</v>
      </c>
      <c r="AQ181" s="34">
        <f t="shared" si="76"/>
        <v>10733.333333333334</v>
      </c>
      <c r="AR181" s="34">
        <f t="shared" si="77"/>
        <v>1257.5999999999999</v>
      </c>
      <c r="AS181" s="34"/>
      <c r="AT181" s="34"/>
      <c r="AU181" s="34"/>
      <c r="AV181" s="99"/>
      <c r="AW181" s="99"/>
      <c r="AX181" s="99"/>
      <c r="AY181" s="34">
        <f t="shared" si="78"/>
        <v>2515.1999999999998</v>
      </c>
      <c r="AZ181" s="31">
        <v>0.26</v>
      </c>
      <c r="BA181" s="32">
        <f t="shared" si="79"/>
        <v>780.52</v>
      </c>
      <c r="BB181" s="32">
        <f t="shared" si="80"/>
        <v>1561.04</v>
      </c>
      <c r="BC181" s="37">
        <f t="shared" si="81"/>
        <v>60.04</v>
      </c>
      <c r="BD181" s="37">
        <f t="shared" si="81"/>
        <v>120.08</v>
      </c>
      <c r="BE181" s="34">
        <f t="shared" si="82"/>
        <v>398.64</v>
      </c>
      <c r="BF181" s="34">
        <f t="shared" si="83"/>
        <v>1072.28</v>
      </c>
      <c r="BG181" s="59" t="s">
        <v>1493</v>
      </c>
      <c r="BH181" s="59" t="s">
        <v>1494</v>
      </c>
      <c r="BI181" s="38" t="s">
        <v>1495</v>
      </c>
      <c r="BJ181" s="39" t="s">
        <v>1496</v>
      </c>
      <c r="BK181" s="39" t="s">
        <v>1496</v>
      </c>
      <c r="BL181" s="39" t="s">
        <v>166</v>
      </c>
      <c r="BM181" s="102">
        <v>1542689037</v>
      </c>
      <c r="BN181" s="39"/>
    </row>
    <row r="182" spans="1:66" s="6" customFormat="1" ht="39.950000000000003" hidden="1" customHeight="1" x14ac:dyDescent="0.25">
      <c r="A182" s="91" t="s">
        <v>1487</v>
      </c>
      <c r="B182" s="107">
        <v>55</v>
      </c>
      <c r="C182" s="108" t="s">
        <v>1489</v>
      </c>
      <c r="D182" s="108" t="s">
        <v>1497</v>
      </c>
      <c r="E182" s="39" t="s">
        <v>1490</v>
      </c>
      <c r="F182" s="29" t="s">
        <v>1491</v>
      </c>
      <c r="G182" s="38" t="s">
        <v>1492</v>
      </c>
      <c r="H182" s="88" t="s">
        <v>315</v>
      </c>
      <c r="I182" s="40" t="s">
        <v>316</v>
      </c>
      <c r="J182" s="40" t="s">
        <v>129</v>
      </c>
      <c r="K182" s="40" t="s">
        <v>501</v>
      </c>
      <c r="L182" s="40" t="s">
        <v>131</v>
      </c>
      <c r="M182" s="96">
        <v>44682</v>
      </c>
      <c r="N182" s="96">
        <v>44927</v>
      </c>
      <c r="O182" s="105"/>
      <c r="P182" s="111"/>
      <c r="Q182" s="88" t="s">
        <v>69</v>
      </c>
      <c r="R182" s="88"/>
      <c r="S182" s="97" t="s">
        <v>70</v>
      </c>
      <c r="T182" s="77">
        <v>5</v>
      </c>
      <c r="U182" s="77" t="s">
        <v>243</v>
      </c>
      <c r="V182" s="47">
        <f t="shared" ca="1" si="69"/>
        <v>27</v>
      </c>
      <c r="W182" s="98">
        <v>11518600</v>
      </c>
      <c r="X182" s="77">
        <v>192</v>
      </c>
      <c r="Y182" s="31">
        <f t="shared" si="70"/>
        <v>232.92466666666667</v>
      </c>
      <c r="Z182" s="31">
        <f t="shared" si="71"/>
        <v>3493.87</v>
      </c>
      <c r="AA182" s="32">
        <v>6987.74</v>
      </c>
      <c r="AB182" s="32">
        <v>284</v>
      </c>
      <c r="AC182" s="99"/>
      <c r="AD182" s="99"/>
      <c r="AE182" s="100"/>
      <c r="AF182" s="101"/>
      <c r="AG182" s="99"/>
      <c r="AH182" s="99"/>
      <c r="AI182" s="32">
        <v>6016</v>
      </c>
      <c r="AJ182" s="33">
        <f t="shared" si="66"/>
        <v>13287.74</v>
      </c>
      <c r="AK182" s="54">
        <v>0</v>
      </c>
      <c r="AL182" s="31">
        <f t="shared" si="72"/>
        <v>454.20310000000001</v>
      </c>
      <c r="AM182" s="31">
        <f t="shared" si="72"/>
        <v>908.40620000000001</v>
      </c>
      <c r="AN182" s="34">
        <f t="shared" si="73"/>
        <v>908.40620000000001</v>
      </c>
      <c r="AO182" s="35">
        <f t="shared" si="74"/>
        <v>12379.3338</v>
      </c>
      <c r="AP182" s="34">
        <f t="shared" si="75"/>
        <v>10714.534666666666</v>
      </c>
      <c r="AQ182" s="34">
        <f t="shared" si="76"/>
        <v>9224.5333333333328</v>
      </c>
      <c r="AR182" s="34">
        <f t="shared" si="77"/>
        <v>1454.348</v>
      </c>
      <c r="AS182" s="34"/>
      <c r="AT182" s="34"/>
      <c r="AU182" s="34"/>
      <c r="AV182" s="99"/>
      <c r="AW182" s="99"/>
      <c r="AX182" s="99"/>
      <c r="AY182" s="34">
        <f t="shared" si="78"/>
        <v>2908.6959999999999</v>
      </c>
      <c r="AZ182" s="31">
        <v>0.26</v>
      </c>
      <c r="BA182" s="32">
        <f t="shared" si="79"/>
        <v>908.40620000000001</v>
      </c>
      <c r="BB182" s="32">
        <f t="shared" si="80"/>
        <v>1816.8124</v>
      </c>
      <c r="BC182" s="37">
        <f t="shared" si="81"/>
        <v>69.877399999999994</v>
      </c>
      <c r="BD182" s="37">
        <f t="shared" si="81"/>
        <v>139.75479999999999</v>
      </c>
      <c r="BE182" s="34">
        <f t="shared" si="82"/>
        <v>398.63219999999995</v>
      </c>
      <c r="BF182" s="34">
        <f t="shared" si="83"/>
        <v>1084.06512</v>
      </c>
      <c r="BG182" s="59" t="s">
        <v>1493</v>
      </c>
      <c r="BH182" s="59" t="s">
        <v>1494</v>
      </c>
      <c r="BI182" s="38" t="s">
        <v>1495</v>
      </c>
      <c r="BJ182" s="39" t="s">
        <v>1496</v>
      </c>
      <c r="BK182" s="39" t="s">
        <v>1496</v>
      </c>
      <c r="BL182" s="39" t="s">
        <v>166</v>
      </c>
      <c r="BM182" s="102">
        <v>1542689037</v>
      </c>
      <c r="BN182" s="39"/>
    </row>
    <row r="183" spans="1:66" s="6" customFormat="1" ht="39.950000000000003" hidden="1" customHeight="1" x14ac:dyDescent="0.25">
      <c r="A183" s="91" t="s">
        <v>1487</v>
      </c>
      <c r="B183" s="92">
        <v>43</v>
      </c>
      <c r="C183" s="93" t="s">
        <v>1497</v>
      </c>
      <c r="D183" s="44" t="s">
        <v>1498</v>
      </c>
      <c r="E183" s="94" t="s">
        <v>1490</v>
      </c>
      <c r="F183" s="95" t="s">
        <v>1491</v>
      </c>
      <c r="G183" s="77" t="s">
        <v>1492</v>
      </c>
      <c r="H183" s="88" t="s">
        <v>84</v>
      </c>
      <c r="I183" s="40" t="s">
        <v>128</v>
      </c>
      <c r="J183" s="40" t="s">
        <v>129</v>
      </c>
      <c r="K183" s="40" t="s">
        <v>130</v>
      </c>
      <c r="L183" s="40" t="s">
        <v>320</v>
      </c>
      <c r="M183" s="103"/>
      <c r="N183" s="103">
        <v>44927</v>
      </c>
      <c r="O183" s="105"/>
      <c r="P183" s="95"/>
      <c r="Q183" s="88" t="s">
        <v>69</v>
      </c>
      <c r="R183" s="88"/>
      <c r="S183" s="97" t="s">
        <v>70</v>
      </c>
      <c r="T183" s="77">
        <v>5</v>
      </c>
      <c r="U183" s="77" t="s">
        <v>243</v>
      </c>
      <c r="V183" s="47">
        <f t="shared" ca="1" si="69"/>
        <v>27</v>
      </c>
      <c r="W183" s="98">
        <v>11518600</v>
      </c>
      <c r="X183" s="77">
        <v>192</v>
      </c>
      <c r="Y183" s="31">
        <f t="shared" si="70"/>
        <v>232.92466666666667</v>
      </c>
      <c r="Z183" s="31">
        <f t="shared" si="71"/>
        <v>3493.87</v>
      </c>
      <c r="AA183" s="32">
        <v>6987.74</v>
      </c>
      <c r="AB183" s="32">
        <v>284</v>
      </c>
      <c r="AC183" s="99"/>
      <c r="AD183" s="99"/>
      <c r="AE183" s="100"/>
      <c r="AF183" s="101"/>
      <c r="AG183" s="99"/>
      <c r="AH183" s="99"/>
      <c r="AI183" s="32">
        <v>11283.15</v>
      </c>
      <c r="AJ183" s="33">
        <f t="shared" si="66"/>
        <v>18554.89</v>
      </c>
      <c r="AK183" s="54">
        <v>0</v>
      </c>
      <c r="AL183" s="31">
        <f t="shared" si="72"/>
        <v>454.20310000000001</v>
      </c>
      <c r="AM183" s="31">
        <f t="shared" si="72"/>
        <v>908.40620000000001</v>
      </c>
      <c r="AN183" s="34">
        <f>AK183+AM183</f>
        <v>908.40620000000001</v>
      </c>
      <c r="AO183" s="35">
        <f>AJ183-AN183</f>
        <v>17646.483799999998</v>
      </c>
      <c r="AP183" s="34">
        <f t="shared" si="75"/>
        <v>10714.534666666666</v>
      </c>
      <c r="AQ183" s="34">
        <f t="shared" si="76"/>
        <v>17300.829999999998</v>
      </c>
      <c r="AR183" s="34">
        <f t="shared" si="77"/>
        <v>1454.348</v>
      </c>
      <c r="AS183" s="34"/>
      <c r="AT183" s="34"/>
      <c r="AU183" s="34"/>
      <c r="AV183" s="99"/>
      <c r="AW183" s="99"/>
      <c r="AX183" s="99"/>
      <c r="AY183" s="34">
        <f t="shared" si="78"/>
        <v>2908.6959999999999</v>
      </c>
      <c r="AZ183" s="31">
        <v>0.26</v>
      </c>
      <c r="BA183" s="32">
        <f t="shared" si="79"/>
        <v>908.40620000000001</v>
      </c>
      <c r="BB183" s="32">
        <f t="shared" si="80"/>
        <v>1816.8124</v>
      </c>
      <c r="BC183" s="37">
        <f t="shared" si="81"/>
        <v>69.877399999999994</v>
      </c>
      <c r="BD183" s="37">
        <f t="shared" si="81"/>
        <v>139.75479999999999</v>
      </c>
      <c r="BE183" s="34">
        <f>AJ183*3%</f>
        <v>556.64670000000001</v>
      </c>
      <c r="BF183" s="34">
        <f>(AJ183+AP183+AQ183+AY183)*3%</f>
        <v>1484.3685199999995</v>
      </c>
      <c r="BG183" s="29" t="s">
        <v>1493</v>
      </c>
      <c r="BH183" s="59" t="s">
        <v>1494</v>
      </c>
      <c r="BI183" s="38" t="s">
        <v>1495</v>
      </c>
      <c r="BJ183" s="39" t="s">
        <v>1496</v>
      </c>
      <c r="BK183" s="39" t="s">
        <v>1496</v>
      </c>
      <c r="BL183" s="39" t="s">
        <v>166</v>
      </c>
      <c r="BM183" s="102" t="s">
        <v>1499</v>
      </c>
      <c r="BN183" s="39"/>
    </row>
    <row r="184" spans="1:66" s="6" customFormat="1" ht="39.950000000000003" customHeight="1" x14ac:dyDescent="0.25">
      <c r="A184" s="91">
        <v>92700181</v>
      </c>
      <c r="B184" s="42">
        <v>25</v>
      </c>
      <c r="C184" s="44" t="s">
        <v>1498</v>
      </c>
      <c r="D184" s="38"/>
      <c r="E184" s="94" t="s">
        <v>1490</v>
      </c>
      <c r="F184" s="95" t="s">
        <v>1491</v>
      </c>
      <c r="G184" s="77" t="s">
        <v>1492</v>
      </c>
      <c r="H184" s="48" t="s">
        <v>84</v>
      </c>
      <c r="I184" s="40" t="s">
        <v>652</v>
      </c>
      <c r="J184" s="40" t="s">
        <v>129</v>
      </c>
      <c r="K184" s="40" t="s">
        <v>399</v>
      </c>
      <c r="L184" s="40" t="s">
        <v>329</v>
      </c>
      <c r="M184" s="103"/>
      <c r="N184" s="103">
        <v>45658</v>
      </c>
      <c r="O184" s="105"/>
      <c r="P184" s="95"/>
      <c r="Q184" s="88" t="s">
        <v>69</v>
      </c>
      <c r="R184" s="88"/>
      <c r="S184" s="97" t="s">
        <v>70</v>
      </c>
      <c r="T184" s="77">
        <v>5</v>
      </c>
      <c r="U184" s="77" t="s">
        <v>243</v>
      </c>
      <c r="V184" s="47">
        <f t="shared" ca="1" si="69"/>
        <v>27</v>
      </c>
      <c r="W184" s="98">
        <v>11518600</v>
      </c>
      <c r="X184" s="47">
        <v>175</v>
      </c>
      <c r="Y184" s="31">
        <f t="shared" si="70"/>
        <v>232.92466666666667</v>
      </c>
      <c r="Z184" s="31">
        <f t="shared" si="71"/>
        <v>3493.87</v>
      </c>
      <c r="AA184" s="32">
        <v>6987.74</v>
      </c>
      <c r="AB184" s="32">
        <v>284</v>
      </c>
      <c r="AC184" s="99"/>
      <c r="AD184" s="99"/>
      <c r="AE184" s="100"/>
      <c r="AF184" s="101"/>
      <c r="AG184" s="99"/>
      <c r="AH184" s="99"/>
      <c r="AI184" s="32">
        <v>11283.15</v>
      </c>
      <c r="AJ184" s="33">
        <f t="shared" ref="AJ184" si="84">SUM(AA184:AI184)</f>
        <v>18554.89</v>
      </c>
      <c r="AK184" s="54">
        <v>0</v>
      </c>
      <c r="AL184" s="31">
        <f t="shared" si="72"/>
        <v>454.20310000000001</v>
      </c>
      <c r="AM184" s="31">
        <f t="shared" si="72"/>
        <v>908.40620000000001</v>
      </c>
      <c r="AN184" s="34">
        <f>AK184+AM184</f>
        <v>908.40620000000001</v>
      </c>
      <c r="AO184" s="35">
        <f>AJ184-AN184</f>
        <v>17646.483799999998</v>
      </c>
      <c r="AP184" s="34">
        <f t="shared" si="75"/>
        <v>10714.534666666666</v>
      </c>
      <c r="AQ184" s="34">
        <f t="shared" si="76"/>
        <v>17300.829999999998</v>
      </c>
      <c r="AR184" s="34">
        <f t="shared" si="77"/>
        <v>1454.348</v>
      </c>
      <c r="AS184" s="34"/>
      <c r="AT184" s="34"/>
      <c r="AU184" s="34"/>
      <c r="AV184" s="99"/>
      <c r="AW184" s="99"/>
      <c r="AX184" s="99"/>
      <c r="AY184" s="34">
        <f t="shared" si="78"/>
        <v>2908.6959999999999</v>
      </c>
      <c r="AZ184" s="31">
        <v>0.26</v>
      </c>
      <c r="BA184" s="32">
        <f t="shared" si="79"/>
        <v>908.40620000000001</v>
      </c>
      <c r="BB184" s="32">
        <f t="shared" si="80"/>
        <v>1816.8124</v>
      </c>
      <c r="BC184" s="37">
        <f t="shared" si="81"/>
        <v>69.877399999999994</v>
      </c>
      <c r="BD184" s="37">
        <f t="shared" si="81"/>
        <v>139.75479999999999</v>
      </c>
      <c r="BE184" s="34">
        <f>AJ184*3%</f>
        <v>556.64670000000001</v>
      </c>
      <c r="BF184" s="34">
        <f>(AJ184+AP184+AQ184+AY184)*3%</f>
        <v>1484.3685199999995</v>
      </c>
      <c r="BG184" s="29" t="s">
        <v>1493</v>
      </c>
      <c r="BH184" s="59" t="s">
        <v>1494</v>
      </c>
      <c r="BI184" s="38" t="s">
        <v>1495</v>
      </c>
      <c r="BJ184" s="39" t="s">
        <v>1496</v>
      </c>
      <c r="BK184" s="39" t="s">
        <v>1496</v>
      </c>
      <c r="BL184" s="39" t="s">
        <v>166</v>
      </c>
      <c r="BM184" s="102" t="s">
        <v>1499</v>
      </c>
      <c r="BN184" s="39"/>
    </row>
    <row r="185" spans="1:66" s="6" customFormat="1" ht="39.950000000000003" hidden="1" customHeight="1" x14ac:dyDescent="0.2">
      <c r="A185" s="91" t="s">
        <v>1500</v>
      </c>
      <c r="B185" s="92">
        <v>45</v>
      </c>
      <c r="C185" s="93" t="s">
        <v>1501</v>
      </c>
      <c r="D185" s="93" t="s">
        <v>1502</v>
      </c>
      <c r="E185" s="94" t="s">
        <v>1503</v>
      </c>
      <c r="F185" s="95" t="s">
        <v>1504</v>
      </c>
      <c r="G185" s="77" t="s">
        <v>1505</v>
      </c>
      <c r="H185" s="88" t="s">
        <v>161</v>
      </c>
      <c r="I185" s="40" t="s">
        <v>162</v>
      </c>
      <c r="J185" s="40" t="s">
        <v>1506</v>
      </c>
      <c r="K185" s="40" t="s">
        <v>491</v>
      </c>
      <c r="L185" s="40" t="s">
        <v>11</v>
      </c>
      <c r="M185" s="96">
        <v>44697</v>
      </c>
      <c r="N185" s="96">
        <v>45323</v>
      </c>
      <c r="O185" s="105">
        <v>44819</v>
      </c>
      <c r="P185" s="95"/>
      <c r="Q185" s="88" t="s">
        <v>69</v>
      </c>
      <c r="R185" s="88"/>
      <c r="S185" s="97" t="s">
        <v>70</v>
      </c>
      <c r="T185" s="77">
        <v>24</v>
      </c>
      <c r="U185" s="77" t="s">
        <v>103</v>
      </c>
      <c r="V185" s="47">
        <f t="shared" ca="1" si="69"/>
        <v>30</v>
      </c>
      <c r="W185" s="98">
        <v>11539500</v>
      </c>
      <c r="X185" s="77">
        <v>169</v>
      </c>
      <c r="Y185" s="31">
        <f t="shared" si="70"/>
        <v>200.13333333333333</v>
      </c>
      <c r="Z185" s="31">
        <f t="shared" si="71"/>
        <v>3002</v>
      </c>
      <c r="AA185" s="32">
        <v>6004</v>
      </c>
      <c r="AB185" s="32">
        <v>284</v>
      </c>
      <c r="AC185" s="99"/>
      <c r="AD185" s="99"/>
      <c r="AE185" s="100"/>
      <c r="AF185" s="101"/>
      <c r="AG185" s="99"/>
      <c r="AH185" s="99"/>
      <c r="AI185" s="32">
        <v>7000</v>
      </c>
      <c r="AJ185" s="33">
        <f t="shared" ref="AJ185:AJ203" si="85">SUM(AA185:AI185)</f>
        <v>13288</v>
      </c>
      <c r="AK185" s="54">
        <v>0</v>
      </c>
      <c r="AL185" s="31">
        <f t="shared" si="72"/>
        <v>390.26</v>
      </c>
      <c r="AM185" s="31">
        <f t="shared" si="72"/>
        <v>780.52</v>
      </c>
      <c r="AN185" s="34">
        <f t="shared" ref="AN185:AN207" si="86">AK185+AM185</f>
        <v>780.52</v>
      </c>
      <c r="AO185" s="35">
        <f t="shared" ref="AO185:AO207" si="87">AJ185-AN185</f>
        <v>12507.48</v>
      </c>
      <c r="AP185" s="34">
        <f t="shared" si="75"/>
        <v>9206.1333333333332</v>
      </c>
      <c r="AQ185" s="34">
        <f t="shared" si="76"/>
        <v>10733.333333333334</v>
      </c>
      <c r="AR185" s="34">
        <f t="shared" si="77"/>
        <v>1257.5999999999999</v>
      </c>
      <c r="AS185" s="34"/>
      <c r="AT185" s="34"/>
      <c r="AU185" s="34"/>
      <c r="AV185" s="99"/>
      <c r="AW185" s="99"/>
      <c r="AX185" s="99"/>
      <c r="AY185" s="34">
        <f t="shared" si="78"/>
        <v>2515.1999999999998</v>
      </c>
      <c r="AZ185" s="31">
        <v>0.26</v>
      </c>
      <c r="BA185" s="32">
        <f t="shared" si="79"/>
        <v>780.52</v>
      </c>
      <c r="BB185" s="32">
        <f t="shared" si="80"/>
        <v>1561.04</v>
      </c>
      <c r="BC185" s="37">
        <f t="shared" si="81"/>
        <v>60.04</v>
      </c>
      <c r="BD185" s="37">
        <f t="shared" si="81"/>
        <v>120.08</v>
      </c>
      <c r="BE185" s="34">
        <f t="shared" ref="BE185:BE207" si="88">AJ185*3%</f>
        <v>398.64</v>
      </c>
      <c r="BF185" s="34">
        <f t="shared" ref="BF185:BF207" si="89">(AJ185+AP185+AQ185+AY185)*3%</f>
        <v>1072.28</v>
      </c>
      <c r="BG185" s="59" t="s">
        <v>1507</v>
      </c>
      <c r="BH185" s="59" t="s">
        <v>1508</v>
      </c>
      <c r="BI185" s="38" t="s">
        <v>1509</v>
      </c>
      <c r="BJ185" s="39" t="s">
        <v>1510</v>
      </c>
      <c r="BK185" s="39"/>
      <c r="BL185" s="114" t="s">
        <v>1511</v>
      </c>
      <c r="BM185" s="102" t="s">
        <v>1512</v>
      </c>
      <c r="BN185" s="39"/>
    </row>
    <row r="186" spans="1:66" s="6" customFormat="1" ht="39.950000000000003" hidden="1" customHeight="1" x14ac:dyDescent="0.25">
      <c r="A186" s="91" t="s">
        <v>1513</v>
      </c>
      <c r="B186" s="92">
        <v>44</v>
      </c>
      <c r="C186" s="93" t="s">
        <v>1514</v>
      </c>
      <c r="D186" s="93" t="s">
        <v>1515</v>
      </c>
      <c r="E186" s="94" t="s">
        <v>1516</v>
      </c>
      <c r="F186" s="95" t="s">
        <v>1517</v>
      </c>
      <c r="G186" s="77" t="s">
        <v>1518</v>
      </c>
      <c r="H186" s="88" t="s">
        <v>161</v>
      </c>
      <c r="I186" s="40" t="s">
        <v>162</v>
      </c>
      <c r="J186" s="40" t="s">
        <v>67</v>
      </c>
      <c r="K186" s="40" t="s">
        <v>688</v>
      </c>
      <c r="L186" s="40" t="s">
        <v>131</v>
      </c>
      <c r="M186" s="103">
        <v>44697</v>
      </c>
      <c r="N186" s="103"/>
      <c r="O186" s="105"/>
      <c r="P186" s="95"/>
      <c r="Q186" s="88" t="s">
        <v>69</v>
      </c>
      <c r="R186" s="88"/>
      <c r="S186" s="97" t="s">
        <v>148</v>
      </c>
      <c r="T186" s="77">
        <v>30</v>
      </c>
      <c r="U186" s="77" t="s">
        <v>103</v>
      </c>
      <c r="V186" s="47">
        <f t="shared" ca="1" si="69"/>
        <v>30</v>
      </c>
      <c r="W186" s="98">
        <v>11548400</v>
      </c>
      <c r="X186" s="77">
        <v>180</v>
      </c>
      <c r="Y186" s="31">
        <f t="shared" si="70"/>
        <v>200.13333333333333</v>
      </c>
      <c r="Z186" s="31">
        <f t="shared" si="71"/>
        <v>3002</v>
      </c>
      <c r="AA186" s="32">
        <v>6004</v>
      </c>
      <c r="AB186" s="32">
        <v>284</v>
      </c>
      <c r="AC186" s="99"/>
      <c r="AD186" s="99"/>
      <c r="AE186" s="100"/>
      <c r="AF186" s="101"/>
      <c r="AG186" s="99"/>
      <c r="AH186" s="99"/>
      <c r="AI186" s="32">
        <v>10984</v>
      </c>
      <c r="AJ186" s="33">
        <f t="shared" si="85"/>
        <v>17272</v>
      </c>
      <c r="AK186" s="54">
        <v>0</v>
      </c>
      <c r="AL186" s="31">
        <f t="shared" si="72"/>
        <v>390.26</v>
      </c>
      <c r="AM186" s="31">
        <f t="shared" si="72"/>
        <v>780.52</v>
      </c>
      <c r="AN186" s="34">
        <f t="shared" si="86"/>
        <v>780.52</v>
      </c>
      <c r="AO186" s="35">
        <f t="shared" si="87"/>
        <v>16491.48</v>
      </c>
      <c r="AP186" s="34">
        <f t="shared" si="75"/>
        <v>9206.1333333333332</v>
      </c>
      <c r="AQ186" s="34">
        <f t="shared" si="76"/>
        <v>16842.133333333331</v>
      </c>
      <c r="AR186" s="34">
        <f t="shared" si="77"/>
        <v>1257.5999999999999</v>
      </c>
      <c r="AS186" s="34"/>
      <c r="AT186" s="34"/>
      <c r="AU186" s="34"/>
      <c r="AV186" s="99"/>
      <c r="AW186" s="99"/>
      <c r="AX186" s="99"/>
      <c r="AY186" s="34">
        <f t="shared" si="78"/>
        <v>2515.1999999999998</v>
      </c>
      <c r="AZ186" s="31">
        <v>0.26</v>
      </c>
      <c r="BA186" s="32">
        <f t="shared" si="79"/>
        <v>780.52</v>
      </c>
      <c r="BB186" s="32">
        <f t="shared" si="80"/>
        <v>1561.04</v>
      </c>
      <c r="BC186" s="37">
        <f t="shared" si="81"/>
        <v>60.04</v>
      </c>
      <c r="BD186" s="37">
        <f t="shared" si="81"/>
        <v>120.08</v>
      </c>
      <c r="BE186" s="34">
        <f t="shared" si="88"/>
        <v>518.16</v>
      </c>
      <c r="BF186" s="34">
        <f t="shared" si="89"/>
        <v>1375.0639999999999</v>
      </c>
      <c r="BG186" s="59" t="s">
        <v>1519</v>
      </c>
      <c r="BH186" s="59" t="s">
        <v>1520</v>
      </c>
      <c r="BI186" s="38" t="s">
        <v>1521</v>
      </c>
      <c r="BJ186" s="39" t="s">
        <v>1522</v>
      </c>
      <c r="BK186" s="39"/>
      <c r="BL186" s="39" t="s">
        <v>1523</v>
      </c>
      <c r="BM186" s="102" t="s">
        <v>1524</v>
      </c>
      <c r="BN186" s="39"/>
    </row>
    <row r="187" spans="1:66" s="6" customFormat="1" ht="39.950000000000003" hidden="1" customHeight="1" x14ac:dyDescent="0.25">
      <c r="A187" s="91" t="s">
        <v>1513</v>
      </c>
      <c r="B187" s="92">
        <v>21</v>
      </c>
      <c r="C187" s="93" t="s">
        <v>1515</v>
      </c>
      <c r="D187" s="44" t="s">
        <v>1525</v>
      </c>
      <c r="E187" s="94" t="s">
        <v>1516</v>
      </c>
      <c r="F187" s="95" t="s">
        <v>1517</v>
      </c>
      <c r="G187" s="77" t="s">
        <v>1518</v>
      </c>
      <c r="H187" s="88" t="s">
        <v>315</v>
      </c>
      <c r="I187" s="40" t="s">
        <v>316</v>
      </c>
      <c r="J187" s="40" t="s">
        <v>1526</v>
      </c>
      <c r="K187" s="40" t="s">
        <v>1526</v>
      </c>
      <c r="L187" s="40" t="s">
        <v>11</v>
      </c>
      <c r="M187" s="103"/>
      <c r="N187" s="103">
        <v>44927</v>
      </c>
      <c r="O187" s="105">
        <v>45736</v>
      </c>
      <c r="P187" s="95"/>
      <c r="Q187" s="88" t="s">
        <v>69</v>
      </c>
      <c r="R187" s="88"/>
      <c r="S187" s="97" t="s">
        <v>148</v>
      </c>
      <c r="T187" s="77">
        <v>30</v>
      </c>
      <c r="U187" s="77" t="s">
        <v>103</v>
      </c>
      <c r="V187" s="47">
        <f t="shared" ca="1" si="69"/>
        <v>30</v>
      </c>
      <c r="W187" s="98">
        <v>11548400</v>
      </c>
      <c r="X187" s="77">
        <v>180</v>
      </c>
      <c r="Y187" s="31">
        <f t="shared" si="70"/>
        <v>232.92466666666667</v>
      </c>
      <c r="Z187" s="31">
        <f t="shared" si="71"/>
        <v>3493.87</v>
      </c>
      <c r="AA187" s="32">
        <v>6987.74</v>
      </c>
      <c r="AB187" s="32">
        <v>284</v>
      </c>
      <c r="AC187" s="99"/>
      <c r="AD187" s="99"/>
      <c r="AE187" s="100"/>
      <c r="AF187" s="101"/>
      <c r="AG187" s="99"/>
      <c r="AH187" s="99"/>
      <c r="AI187" s="32">
        <v>10000</v>
      </c>
      <c r="AJ187" s="33">
        <f t="shared" si="85"/>
        <v>17271.739999999998</v>
      </c>
      <c r="AK187" s="54">
        <v>0</v>
      </c>
      <c r="AL187" s="31">
        <f t="shared" si="72"/>
        <v>454.20310000000001</v>
      </c>
      <c r="AM187" s="31">
        <f t="shared" si="72"/>
        <v>908.40620000000001</v>
      </c>
      <c r="AN187" s="34">
        <f t="shared" si="86"/>
        <v>908.40620000000001</v>
      </c>
      <c r="AO187" s="35">
        <f t="shared" si="87"/>
        <v>16363.333799999999</v>
      </c>
      <c r="AP187" s="34">
        <f t="shared" si="75"/>
        <v>10714.534666666666</v>
      </c>
      <c r="AQ187" s="34">
        <f t="shared" si="76"/>
        <v>15333.333333333332</v>
      </c>
      <c r="AR187" s="34">
        <f t="shared" si="77"/>
        <v>1454.348</v>
      </c>
      <c r="AS187" s="34"/>
      <c r="AT187" s="34"/>
      <c r="AU187" s="34"/>
      <c r="AV187" s="99"/>
      <c r="AW187" s="99"/>
      <c r="AX187" s="99"/>
      <c r="AY187" s="34">
        <f t="shared" si="78"/>
        <v>2908.6959999999999</v>
      </c>
      <c r="AZ187" s="31">
        <v>0.26</v>
      </c>
      <c r="BA187" s="32">
        <f t="shared" si="79"/>
        <v>908.40620000000001</v>
      </c>
      <c r="BB187" s="32">
        <f t="shared" si="80"/>
        <v>1816.8124</v>
      </c>
      <c r="BC187" s="37">
        <f t="shared" si="81"/>
        <v>69.877399999999994</v>
      </c>
      <c r="BD187" s="37">
        <f t="shared" si="81"/>
        <v>139.75479999999999</v>
      </c>
      <c r="BE187" s="34">
        <f t="shared" si="88"/>
        <v>518.15219999999988</v>
      </c>
      <c r="BF187" s="34">
        <f t="shared" si="89"/>
        <v>1386.8491199999996</v>
      </c>
      <c r="BG187" s="59" t="s">
        <v>1519</v>
      </c>
      <c r="BH187" s="59" t="s">
        <v>1520</v>
      </c>
      <c r="BI187" s="38" t="s">
        <v>1521</v>
      </c>
      <c r="BJ187" s="39" t="s">
        <v>1522</v>
      </c>
      <c r="BK187" s="39" t="s">
        <v>1527</v>
      </c>
      <c r="BL187" s="39" t="s">
        <v>1523</v>
      </c>
      <c r="BM187" s="102" t="s">
        <v>1524</v>
      </c>
      <c r="BN187" s="39"/>
    </row>
    <row r="188" spans="1:66" s="6" customFormat="1" ht="39.950000000000003" hidden="1" customHeight="1" x14ac:dyDescent="0.25">
      <c r="A188" s="91" t="s">
        <v>1528</v>
      </c>
      <c r="B188" s="92">
        <v>74</v>
      </c>
      <c r="C188" s="93" t="s">
        <v>1529</v>
      </c>
      <c r="D188" s="93" t="s">
        <v>1530</v>
      </c>
      <c r="E188" s="94" t="s">
        <v>1531</v>
      </c>
      <c r="F188" s="77" t="s">
        <v>1532</v>
      </c>
      <c r="G188" s="77" t="s">
        <v>1533</v>
      </c>
      <c r="H188" s="88" t="s">
        <v>161</v>
      </c>
      <c r="I188" s="40" t="s">
        <v>162</v>
      </c>
      <c r="J188" s="40" t="s">
        <v>1534</v>
      </c>
      <c r="K188" s="40" t="s">
        <v>1534</v>
      </c>
      <c r="L188" s="40" t="s">
        <v>11</v>
      </c>
      <c r="M188" s="103">
        <v>44713</v>
      </c>
      <c r="N188" s="103"/>
      <c r="O188" s="105">
        <v>44926</v>
      </c>
      <c r="P188" s="95"/>
      <c r="Q188" s="88" t="s">
        <v>69</v>
      </c>
      <c r="R188" s="112"/>
      <c r="S188" s="97" t="s">
        <v>70</v>
      </c>
      <c r="T188" s="77">
        <v>31</v>
      </c>
      <c r="U188" s="77" t="s">
        <v>337</v>
      </c>
      <c r="V188" s="47">
        <f t="shared" ca="1" si="69"/>
        <v>29</v>
      </c>
      <c r="W188" s="98">
        <v>10537100</v>
      </c>
      <c r="X188" s="77">
        <v>185</v>
      </c>
      <c r="Y188" s="31">
        <f t="shared" si="70"/>
        <v>200.13333333333333</v>
      </c>
      <c r="Z188" s="31">
        <f t="shared" si="71"/>
        <v>3002</v>
      </c>
      <c r="AA188" s="32">
        <v>6004</v>
      </c>
      <c r="AB188" s="32">
        <v>284</v>
      </c>
      <c r="AC188" s="99"/>
      <c r="AD188" s="99"/>
      <c r="AE188" s="100"/>
      <c r="AF188" s="101"/>
      <c r="AG188" s="99"/>
      <c r="AH188" s="99"/>
      <c r="AI188" s="32">
        <v>10984</v>
      </c>
      <c r="AJ188" s="33">
        <f t="shared" si="85"/>
        <v>17272</v>
      </c>
      <c r="AK188" s="54">
        <v>0</v>
      </c>
      <c r="AL188" s="31">
        <f t="shared" si="72"/>
        <v>390.26</v>
      </c>
      <c r="AM188" s="31">
        <f t="shared" si="72"/>
        <v>780.52</v>
      </c>
      <c r="AN188" s="34">
        <f t="shared" si="86"/>
        <v>780.52</v>
      </c>
      <c r="AO188" s="35">
        <f t="shared" si="87"/>
        <v>16491.48</v>
      </c>
      <c r="AP188" s="34">
        <f t="shared" si="75"/>
        <v>9206.1333333333332</v>
      </c>
      <c r="AQ188" s="34">
        <f t="shared" si="76"/>
        <v>16842.133333333331</v>
      </c>
      <c r="AR188" s="34">
        <f t="shared" si="77"/>
        <v>1257.5999999999999</v>
      </c>
      <c r="AS188" s="34"/>
      <c r="AT188" s="34"/>
      <c r="AU188" s="34"/>
      <c r="AV188" s="99"/>
      <c r="AW188" s="99"/>
      <c r="AX188" s="99"/>
      <c r="AY188" s="34">
        <f t="shared" si="78"/>
        <v>2515.1999999999998</v>
      </c>
      <c r="AZ188" s="31">
        <v>0.26</v>
      </c>
      <c r="BA188" s="32">
        <f t="shared" si="79"/>
        <v>780.52</v>
      </c>
      <c r="BB188" s="32">
        <f t="shared" si="80"/>
        <v>1561.04</v>
      </c>
      <c r="BC188" s="37">
        <f t="shared" si="81"/>
        <v>60.04</v>
      </c>
      <c r="BD188" s="37">
        <f t="shared" si="81"/>
        <v>120.08</v>
      </c>
      <c r="BE188" s="34">
        <f t="shared" si="88"/>
        <v>518.16</v>
      </c>
      <c r="BF188" s="34">
        <f t="shared" si="89"/>
        <v>1375.0639999999999</v>
      </c>
      <c r="BG188" s="59" t="s">
        <v>1535</v>
      </c>
      <c r="BH188" s="59" t="s">
        <v>1536</v>
      </c>
      <c r="BI188" s="38" t="s">
        <v>1537</v>
      </c>
      <c r="BJ188" s="39" t="s">
        <v>1538</v>
      </c>
      <c r="BK188" s="39"/>
      <c r="BL188" s="39" t="s">
        <v>1539</v>
      </c>
      <c r="BM188" s="102" t="s">
        <v>1540</v>
      </c>
      <c r="BN188" s="39"/>
    </row>
    <row r="189" spans="1:66" ht="39.950000000000003" hidden="1" customHeight="1" x14ac:dyDescent="0.25">
      <c r="A189" s="91" t="s">
        <v>1541</v>
      </c>
      <c r="B189" s="92">
        <v>45</v>
      </c>
      <c r="C189" s="93" t="s">
        <v>1542</v>
      </c>
      <c r="D189" s="93" t="s">
        <v>1543</v>
      </c>
      <c r="E189" s="94" t="s">
        <v>1544</v>
      </c>
      <c r="F189" s="77" t="s">
        <v>1545</v>
      </c>
      <c r="G189" s="77" t="s">
        <v>1546</v>
      </c>
      <c r="H189" s="88" t="s">
        <v>161</v>
      </c>
      <c r="I189" s="40" t="s">
        <v>162</v>
      </c>
      <c r="J189" s="40" t="s">
        <v>1506</v>
      </c>
      <c r="K189" s="40" t="s">
        <v>491</v>
      </c>
      <c r="L189" s="40" t="s">
        <v>131</v>
      </c>
      <c r="M189" s="103">
        <v>44835</v>
      </c>
      <c r="N189" s="103">
        <v>44927</v>
      </c>
      <c r="O189" s="105"/>
      <c r="P189" s="95"/>
      <c r="Q189" s="88" t="s">
        <v>69</v>
      </c>
      <c r="R189" s="112"/>
      <c r="S189" s="97" t="s">
        <v>70</v>
      </c>
      <c r="T189" s="77">
        <v>21</v>
      </c>
      <c r="U189" s="77" t="s">
        <v>71</v>
      </c>
      <c r="V189" s="47">
        <f t="shared" ca="1" si="69"/>
        <v>28</v>
      </c>
      <c r="W189" s="98">
        <v>11732000</v>
      </c>
      <c r="X189" s="77">
        <v>169</v>
      </c>
      <c r="Y189" s="31">
        <f t="shared" si="70"/>
        <v>232.92466666666667</v>
      </c>
      <c r="Z189" s="31">
        <f t="shared" si="71"/>
        <v>3493.87</v>
      </c>
      <c r="AA189" s="32">
        <v>6987.74</v>
      </c>
      <c r="AB189" s="32">
        <v>284</v>
      </c>
      <c r="AC189" s="32"/>
      <c r="AD189" s="32"/>
      <c r="AE189" s="32"/>
      <c r="AF189" s="31"/>
      <c r="AG189" s="31"/>
      <c r="AH189" s="31"/>
      <c r="AI189" s="32">
        <v>6016</v>
      </c>
      <c r="AJ189" s="33">
        <f t="shared" si="85"/>
        <v>13287.74</v>
      </c>
      <c r="AK189" s="54">
        <v>0</v>
      </c>
      <c r="AL189" s="31">
        <f t="shared" si="72"/>
        <v>454.20310000000001</v>
      </c>
      <c r="AM189" s="31">
        <f t="shared" si="72"/>
        <v>908.40620000000001</v>
      </c>
      <c r="AN189" s="34">
        <f t="shared" si="86"/>
        <v>908.40620000000001</v>
      </c>
      <c r="AO189" s="35">
        <f t="shared" si="87"/>
        <v>12379.3338</v>
      </c>
      <c r="AP189" s="34">
        <f t="shared" si="75"/>
        <v>10714.534666666666</v>
      </c>
      <c r="AQ189" s="34">
        <f t="shared" si="76"/>
        <v>9224.5333333333328</v>
      </c>
      <c r="AR189" s="34">
        <f t="shared" si="77"/>
        <v>1454.348</v>
      </c>
      <c r="AS189" s="34"/>
      <c r="AT189" s="34"/>
      <c r="AU189" s="59"/>
      <c r="AV189" s="59"/>
      <c r="AW189" s="38"/>
      <c r="AX189" s="29"/>
      <c r="AY189" s="34">
        <f t="shared" si="78"/>
        <v>2908.6959999999999</v>
      </c>
      <c r="AZ189" s="31">
        <v>0.26</v>
      </c>
      <c r="BA189" s="32">
        <f t="shared" si="79"/>
        <v>908.40620000000001</v>
      </c>
      <c r="BB189" s="32">
        <f t="shared" si="80"/>
        <v>1816.8124</v>
      </c>
      <c r="BC189" s="37">
        <f t="shared" si="81"/>
        <v>69.877399999999994</v>
      </c>
      <c r="BD189" s="37">
        <f t="shared" si="81"/>
        <v>139.75479999999999</v>
      </c>
      <c r="BE189" s="34">
        <f t="shared" si="88"/>
        <v>398.63219999999995</v>
      </c>
      <c r="BF189" s="34">
        <f t="shared" si="89"/>
        <v>1084.06512</v>
      </c>
      <c r="BG189" s="115" t="s">
        <v>1547</v>
      </c>
      <c r="BH189" s="115" t="s">
        <v>1548</v>
      </c>
      <c r="BI189" s="38" t="s">
        <v>1549</v>
      </c>
      <c r="BJ189" s="97" t="s">
        <v>1550</v>
      </c>
      <c r="BK189" s="97"/>
      <c r="BL189" s="38" t="s">
        <v>1551</v>
      </c>
      <c r="BM189" s="38">
        <v>1547424911</v>
      </c>
      <c r="BN189" s="39"/>
    </row>
    <row r="190" spans="1:66" ht="39.950000000000003" hidden="1" customHeight="1" x14ac:dyDescent="0.25">
      <c r="A190" s="91" t="s">
        <v>1541</v>
      </c>
      <c r="B190" s="92">
        <v>45</v>
      </c>
      <c r="C190" s="93" t="s">
        <v>1543</v>
      </c>
      <c r="D190" s="93" t="s">
        <v>1552</v>
      </c>
      <c r="E190" s="94" t="s">
        <v>1553</v>
      </c>
      <c r="F190" s="77" t="s">
        <v>1545</v>
      </c>
      <c r="G190" s="77" t="s">
        <v>1546</v>
      </c>
      <c r="H190" s="88" t="s">
        <v>315</v>
      </c>
      <c r="I190" s="40" t="s">
        <v>316</v>
      </c>
      <c r="J190" s="40" t="s">
        <v>1506</v>
      </c>
      <c r="K190" s="40" t="s">
        <v>491</v>
      </c>
      <c r="L190" s="40" t="s">
        <v>1554</v>
      </c>
      <c r="M190" s="103"/>
      <c r="N190" s="103">
        <v>44927</v>
      </c>
      <c r="O190" s="105"/>
      <c r="P190" s="95"/>
      <c r="Q190" s="88" t="s">
        <v>69</v>
      </c>
      <c r="R190" s="112"/>
      <c r="S190" s="97" t="s">
        <v>70</v>
      </c>
      <c r="T190" s="77">
        <v>21</v>
      </c>
      <c r="U190" s="77" t="s">
        <v>71</v>
      </c>
      <c r="V190" s="47">
        <f t="shared" ca="1" si="69"/>
        <v>28</v>
      </c>
      <c r="W190" s="98">
        <v>11732000</v>
      </c>
      <c r="X190" s="77">
        <v>169</v>
      </c>
      <c r="Y190" s="31">
        <f t="shared" si="70"/>
        <v>232.92466666666667</v>
      </c>
      <c r="Z190" s="31">
        <f t="shared" si="71"/>
        <v>3493.87</v>
      </c>
      <c r="AA190" s="32">
        <v>6987.74</v>
      </c>
      <c r="AB190" s="32">
        <v>284</v>
      </c>
      <c r="AC190" s="32"/>
      <c r="AD190" s="32"/>
      <c r="AE190" s="32"/>
      <c r="AF190" s="31"/>
      <c r="AG190" s="31"/>
      <c r="AH190" s="31"/>
      <c r="AI190" s="32">
        <v>6016</v>
      </c>
      <c r="AJ190" s="33">
        <f t="shared" si="85"/>
        <v>13287.74</v>
      </c>
      <c r="AK190" s="54">
        <v>0</v>
      </c>
      <c r="AL190" s="31">
        <f t="shared" si="72"/>
        <v>454.20310000000001</v>
      </c>
      <c r="AM190" s="31">
        <f t="shared" si="72"/>
        <v>908.40620000000001</v>
      </c>
      <c r="AN190" s="34">
        <f t="shared" si="86"/>
        <v>908.40620000000001</v>
      </c>
      <c r="AO190" s="35">
        <f t="shared" si="87"/>
        <v>12379.3338</v>
      </c>
      <c r="AP190" s="34">
        <f t="shared" si="75"/>
        <v>10714.534666666666</v>
      </c>
      <c r="AQ190" s="34">
        <f t="shared" si="76"/>
        <v>9224.5333333333328</v>
      </c>
      <c r="AR190" s="34">
        <f t="shared" si="77"/>
        <v>1454.348</v>
      </c>
      <c r="AS190" s="34"/>
      <c r="AT190" s="34"/>
      <c r="AU190" s="59"/>
      <c r="AV190" s="59"/>
      <c r="AW190" s="38"/>
      <c r="AX190" s="29"/>
      <c r="AY190" s="34">
        <f t="shared" si="78"/>
        <v>2908.6959999999999</v>
      </c>
      <c r="AZ190" s="31">
        <v>0.26</v>
      </c>
      <c r="BA190" s="32">
        <f t="shared" si="79"/>
        <v>908.40620000000001</v>
      </c>
      <c r="BB190" s="32">
        <f t="shared" si="80"/>
        <v>1816.8124</v>
      </c>
      <c r="BC190" s="37">
        <f t="shared" si="81"/>
        <v>69.877399999999994</v>
      </c>
      <c r="BD190" s="37">
        <f t="shared" si="81"/>
        <v>139.75479999999999</v>
      </c>
      <c r="BE190" s="34">
        <f t="shared" si="88"/>
        <v>398.63219999999995</v>
      </c>
      <c r="BF190" s="34">
        <f t="shared" si="89"/>
        <v>1084.06512</v>
      </c>
      <c r="BG190" s="115" t="s">
        <v>1555</v>
      </c>
      <c r="BH190" s="115" t="s">
        <v>1548</v>
      </c>
      <c r="BI190" s="38" t="s">
        <v>1549</v>
      </c>
      <c r="BJ190" s="97" t="s">
        <v>1550</v>
      </c>
      <c r="BK190" s="97"/>
      <c r="BL190" s="38" t="s">
        <v>1551</v>
      </c>
      <c r="BM190" s="38">
        <v>1547424911</v>
      </c>
      <c r="BN190" s="39"/>
    </row>
    <row r="191" spans="1:66" ht="39.950000000000003" customHeight="1" x14ac:dyDescent="0.25">
      <c r="A191" s="91">
        <v>92700185</v>
      </c>
      <c r="B191" s="42">
        <v>28</v>
      </c>
      <c r="C191" s="93" t="s">
        <v>1552</v>
      </c>
      <c r="D191" s="93"/>
      <c r="E191" s="94" t="s">
        <v>1553</v>
      </c>
      <c r="F191" s="77" t="s">
        <v>1545</v>
      </c>
      <c r="G191" s="77" t="s">
        <v>1546</v>
      </c>
      <c r="H191" s="48" t="s">
        <v>315</v>
      </c>
      <c r="I191" s="40" t="s">
        <v>316</v>
      </c>
      <c r="J191" s="40" t="s">
        <v>1556</v>
      </c>
      <c r="K191" s="40" t="s">
        <v>1506</v>
      </c>
      <c r="L191" s="40" t="s">
        <v>329</v>
      </c>
      <c r="M191" s="103"/>
      <c r="N191" s="103">
        <v>45352</v>
      </c>
      <c r="O191" s="105"/>
      <c r="P191" s="95"/>
      <c r="Q191" s="88" t="s">
        <v>69</v>
      </c>
      <c r="R191" s="112"/>
      <c r="S191" s="97" t="s">
        <v>70</v>
      </c>
      <c r="T191" s="77">
        <v>21</v>
      </c>
      <c r="U191" s="77" t="s">
        <v>71</v>
      </c>
      <c r="V191" s="47">
        <f t="shared" ca="1" si="69"/>
        <v>28</v>
      </c>
      <c r="W191" s="98">
        <v>11732000</v>
      </c>
      <c r="X191" s="47">
        <v>170</v>
      </c>
      <c r="Y191" s="31">
        <f t="shared" si="70"/>
        <v>252.25933333333333</v>
      </c>
      <c r="Z191" s="31">
        <f t="shared" si="71"/>
        <v>3783.89</v>
      </c>
      <c r="AA191" s="32">
        <v>7567.78</v>
      </c>
      <c r="AB191" s="32">
        <v>284</v>
      </c>
      <c r="AC191" s="32"/>
      <c r="AD191" s="32"/>
      <c r="AE191" s="32"/>
      <c r="AF191" s="31"/>
      <c r="AG191" s="31"/>
      <c r="AH191" s="31"/>
      <c r="AI191" s="32">
        <v>10000</v>
      </c>
      <c r="AJ191" s="33">
        <f t="shared" si="85"/>
        <v>17851.78</v>
      </c>
      <c r="AK191" s="54">
        <v>0</v>
      </c>
      <c r="AL191" s="31">
        <f t="shared" si="72"/>
        <v>491.90570000000002</v>
      </c>
      <c r="AM191" s="31">
        <f t="shared" si="72"/>
        <v>983.81140000000005</v>
      </c>
      <c r="AN191" s="34">
        <f t="shared" si="86"/>
        <v>983.81140000000005</v>
      </c>
      <c r="AO191" s="35">
        <f t="shared" si="87"/>
        <v>16867.9686</v>
      </c>
      <c r="AP191" s="34">
        <f t="shared" si="75"/>
        <v>11603.929333333333</v>
      </c>
      <c r="AQ191" s="34">
        <f t="shared" si="76"/>
        <v>15333.333333333332</v>
      </c>
      <c r="AR191" s="34">
        <f t="shared" si="77"/>
        <v>1570.356</v>
      </c>
      <c r="AS191" s="34"/>
      <c r="AT191" s="34"/>
      <c r="AU191" s="59"/>
      <c r="AV191" s="59"/>
      <c r="AW191" s="38"/>
      <c r="AX191" s="29"/>
      <c r="AY191" s="34">
        <f t="shared" si="78"/>
        <v>3140.712</v>
      </c>
      <c r="AZ191" s="31">
        <v>0.26</v>
      </c>
      <c r="BA191" s="32">
        <f t="shared" si="79"/>
        <v>983.81140000000005</v>
      </c>
      <c r="BB191" s="32">
        <f t="shared" si="80"/>
        <v>1967.6228000000001</v>
      </c>
      <c r="BC191" s="37">
        <f t="shared" si="81"/>
        <v>75.677800000000005</v>
      </c>
      <c r="BD191" s="37">
        <f t="shared" si="81"/>
        <v>151.35560000000001</v>
      </c>
      <c r="BE191" s="34">
        <f t="shared" si="88"/>
        <v>535.5533999999999</v>
      </c>
      <c r="BF191" s="34">
        <f t="shared" si="89"/>
        <v>1437.8926399999998</v>
      </c>
      <c r="BG191" s="115" t="s">
        <v>1555</v>
      </c>
      <c r="BH191" s="115" t="s">
        <v>1548</v>
      </c>
      <c r="BI191" s="38" t="s">
        <v>1549</v>
      </c>
      <c r="BJ191" s="97" t="s">
        <v>1550</v>
      </c>
      <c r="BK191" s="97"/>
      <c r="BL191" s="38" t="s">
        <v>1551</v>
      </c>
      <c r="BM191" s="38">
        <v>1547424911</v>
      </c>
      <c r="BN191" s="39"/>
    </row>
    <row r="192" spans="1:66" ht="39.950000000000003" hidden="1" customHeight="1" x14ac:dyDescent="0.25">
      <c r="A192" s="91" t="s">
        <v>1557</v>
      </c>
      <c r="B192" s="92">
        <v>4</v>
      </c>
      <c r="C192" s="93" t="s">
        <v>1558</v>
      </c>
      <c r="D192" s="93" t="s">
        <v>1559</v>
      </c>
      <c r="E192" s="94" t="s">
        <v>1560</v>
      </c>
      <c r="F192" s="77" t="s">
        <v>1561</v>
      </c>
      <c r="G192" s="77" t="s">
        <v>1562</v>
      </c>
      <c r="H192" s="88" t="s">
        <v>84</v>
      </c>
      <c r="I192" s="40" t="s">
        <v>1403</v>
      </c>
      <c r="J192" s="40" t="s">
        <v>1397</v>
      </c>
      <c r="K192" s="40" t="s">
        <v>501</v>
      </c>
      <c r="L192" s="40" t="s">
        <v>11</v>
      </c>
      <c r="M192" s="103">
        <v>44866</v>
      </c>
      <c r="N192" s="103"/>
      <c r="O192" s="105">
        <v>45214</v>
      </c>
      <c r="P192" s="95"/>
      <c r="Q192" s="88" t="s">
        <v>69</v>
      </c>
      <c r="R192" s="112"/>
      <c r="S192" s="97" t="s">
        <v>70</v>
      </c>
      <c r="T192" s="77">
        <v>13</v>
      </c>
      <c r="U192" s="77" t="s">
        <v>305</v>
      </c>
      <c r="V192" s="47">
        <f t="shared" ca="1" si="69"/>
        <v>32</v>
      </c>
      <c r="W192" s="98">
        <v>11737400</v>
      </c>
      <c r="X192" s="77">
        <v>185</v>
      </c>
      <c r="Y192" s="31">
        <f t="shared" si="70"/>
        <v>232.92466666666667</v>
      </c>
      <c r="Z192" s="31">
        <f t="shared" si="71"/>
        <v>3493.87</v>
      </c>
      <c r="AA192" s="32">
        <v>6987.74</v>
      </c>
      <c r="AB192" s="32">
        <v>284</v>
      </c>
      <c r="AC192" s="32"/>
      <c r="AD192" s="32"/>
      <c r="AE192" s="32"/>
      <c r="AF192" s="31"/>
      <c r="AG192" s="31"/>
      <c r="AH192" s="31"/>
      <c r="AI192" s="32">
        <v>11283.15</v>
      </c>
      <c r="AJ192" s="33">
        <f t="shared" si="85"/>
        <v>18554.89</v>
      </c>
      <c r="AK192" s="54">
        <v>0</v>
      </c>
      <c r="AL192" s="31">
        <f t="shared" si="72"/>
        <v>454.20310000000001</v>
      </c>
      <c r="AM192" s="31">
        <f t="shared" si="72"/>
        <v>908.40620000000001</v>
      </c>
      <c r="AN192" s="34">
        <f t="shared" si="86"/>
        <v>908.40620000000001</v>
      </c>
      <c r="AO192" s="35">
        <f t="shared" si="87"/>
        <v>17646.483799999998</v>
      </c>
      <c r="AP192" s="34">
        <f t="shared" si="75"/>
        <v>10714.534666666666</v>
      </c>
      <c r="AQ192" s="34">
        <f t="shared" si="76"/>
        <v>17300.829999999998</v>
      </c>
      <c r="AR192" s="34">
        <f t="shared" si="77"/>
        <v>1454.348</v>
      </c>
      <c r="AS192" s="34"/>
      <c r="AT192" s="34"/>
      <c r="AU192" s="59"/>
      <c r="AV192" s="59"/>
      <c r="AW192" s="38"/>
      <c r="AX192" s="29"/>
      <c r="AY192" s="34">
        <f t="shared" si="78"/>
        <v>2908.6959999999999</v>
      </c>
      <c r="AZ192" s="31">
        <v>0.26</v>
      </c>
      <c r="BA192" s="32">
        <f t="shared" si="79"/>
        <v>908.40620000000001</v>
      </c>
      <c r="BB192" s="32">
        <f t="shared" si="80"/>
        <v>1816.8124</v>
      </c>
      <c r="BC192" s="37">
        <f t="shared" si="81"/>
        <v>69.877399999999994</v>
      </c>
      <c r="BD192" s="37">
        <f t="shared" si="81"/>
        <v>139.75479999999999</v>
      </c>
      <c r="BE192" s="34">
        <f t="shared" si="88"/>
        <v>556.64670000000001</v>
      </c>
      <c r="BF192" s="34">
        <f t="shared" si="89"/>
        <v>1484.3685199999995</v>
      </c>
      <c r="BG192" s="115" t="s">
        <v>1563</v>
      </c>
      <c r="BH192" s="115" t="s">
        <v>1564</v>
      </c>
      <c r="BI192" s="38" t="s">
        <v>1565</v>
      </c>
      <c r="BJ192" s="97" t="s">
        <v>1566</v>
      </c>
      <c r="BK192" s="97"/>
      <c r="BL192" s="38" t="s">
        <v>166</v>
      </c>
      <c r="BM192" s="38" t="s">
        <v>1567</v>
      </c>
      <c r="BN192" s="39"/>
    </row>
    <row r="193" spans="1:66" ht="39.950000000000003" hidden="1" customHeight="1" x14ac:dyDescent="0.25">
      <c r="A193" s="91" t="s">
        <v>1568</v>
      </c>
      <c r="B193" s="92">
        <v>74</v>
      </c>
      <c r="C193" s="93" t="s">
        <v>1569</v>
      </c>
      <c r="D193" s="93" t="s">
        <v>1570</v>
      </c>
      <c r="E193" s="94" t="s">
        <v>1571</v>
      </c>
      <c r="F193" s="77" t="s">
        <v>1572</v>
      </c>
      <c r="G193" s="77" t="s">
        <v>1573</v>
      </c>
      <c r="H193" s="88" t="s">
        <v>315</v>
      </c>
      <c r="I193" s="40" t="s">
        <v>316</v>
      </c>
      <c r="J193" s="40" t="s">
        <v>1534</v>
      </c>
      <c r="K193" s="40" t="s">
        <v>1534</v>
      </c>
      <c r="L193" s="40" t="s">
        <v>11</v>
      </c>
      <c r="M193" s="103">
        <v>44942</v>
      </c>
      <c r="N193" s="103"/>
      <c r="O193" s="105">
        <v>45322</v>
      </c>
      <c r="P193" s="95"/>
      <c r="Q193" s="88" t="s">
        <v>69</v>
      </c>
      <c r="R193" s="112"/>
      <c r="S193" s="97" t="s">
        <v>148</v>
      </c>
      <c r="T193" s="77">
        <v>1</v>
      </c>
      <c r="U193" s="77" t="s">
        <v>243</v>
      </c>
      <c r="V193" s="47">
        <f t="shared" ca="1" si="69"/>
        <v>29</v>
      </c>
      <c r="W193" s="98">
        <v>10538000</v>
      </c>
      <c r="X193" s="77">
        <v>185</v>
      </c>
      <c r="Y193" s="31">
        <f t="shared" si="70"/>
        <v>232.92466666666667</v>
      </c>
      <c r="Z193" s="31">
        <f t="shared" si="71"/>
        <v>3493.87</v>
      </c>
      <c r="AA193" s="32">
        <v>6987.74</v>
      </c>
      <c r="AB193" s="32">
        <v>284</v>
      </c>
      <c r="AC193" s="32"/>
      <c r="AD193" s="32"/>
      <c r="AE193" s="32"/>
      <c r="AF193" s="31"/>
      <c r="AG193" s="31"/>
      <c r="AH193" s="31"/>
      <c r="AI193" s="32">
        <v>10000</v>
      </c>
      <c r="AJ193" s="33">
        <f t="shared" si="85"/>
        <v>17271.739999999998</v>
      </c>
      <c r="AK193" s="54">
        <v>0</v>
      </c>
      <c r="AL193" s="31">
        <f t="shared" si="72"/>
        <v>454.20310000000001</v>
      </c>
      <c r="AM193" s="31">
        <f t="shared" si="72"/>
        <v>908.40620000000001</v>
      </c>
      <c r="AN193" s="34">
        <f t="shared" si="86"/>
        <v>908.40620000000001</v>
      </c>
      <c r="AO193" s="35">
        <f t="shared" si="87"/>
        <v>16363.333799999999</v>
      </c>
      <c r="AP193" s="34">
        <f t="shared" si="75"/>
        <v>10714.534666666666</v>
      </c>
      <c r="AQ193" s="34">
        <f t="shared" si="76"/>
        <v>15333.333333333332</v>
      </c>
      <c r="AR193" s="34">
        <f t="shared" si="77"/>
        <v>1454.348</v>
      </c>
      <c r="AS193" s="34"/>
      <c r="AT193" s="34"/>
      <c r="AU193" s="59"/>
      <c r="AV193" s="59"/>
      <c r="AW193" s="38"/>
      <c r="AX193" s="29"/>
      <c r="AY193" s="34">
        <f t="shared" si="78"/>
        <v>2908.6959999999999</v>
      </c>
      <c r="AZ193" s="31">
        <v>0.26</v>
      </c>
      <c r="BA193" s="32">
        <f t="shared" si="79"/>
        <v>908.40620000000001</v>
      </c>
      <c r="BB193" s="32">
        <f t="shared" si="80"/>
        <v>1816.8124</v>
      </c>
      <c r="BC193" s="37">
        <f t="shared" si="81"/>
        <v>69.877399999999994</v>
      </c>
      <c r="BD193" s="37">
        <f t="shared" si="81"/>
        <v>139.75479999999999</v>
      </c>
      <c r="BE193" s="34">
        <f t="shared" si="88"/>
        <v>518.15219999999988</v>
      </c>
      <c r="BF193" s="34">
        <f t="shared" si="89"/>
        <v>1386.8491199999996</v>
      </c>
      <c r="BG193" s="115" t="s">
        <v>1574</v>
      </c>
      <c r="BH193" s="115" t="s">
        <v>1575</v>
      </c>
      <c r="BI193" s="38" t="s">
        <v>1576</v>
      </c>
      <c r="BJ193" s="97" t="s">
        <v>1577</v>
      </c>
      <c r="BK193" s="97" t="s">
        <v>1578</v>
      </c>
      <c r="BL193" s="38" t="s">
        <v>1579</v>
      </c>
      <c r="BM193" s="38" t="s">
        <v>1580</v>
      </c>
      <c r="BN193" s="39"/>
    </row>
    <row r="194" spans="1:66" ht="39.950000000000003" hidden="1" customHeight="1" x14ac:dyDescent="0.25">
      <c r="A194" s="91" t="s">
        <v>1581</v>
      </c>
      <c r="B194" s="92">
        <v>56</v>
      </c>
      <c r="C194" s="93" t="s">
        <v>1582</v>
      </c>
      <c r="D194" s="44" t="s">
        <v>1583</v>
      </c>
      <c r="E194" s="94" t="s">
        <v>1584</v>
      </c>
      <c r="F194" s="77" t="s">
        <v>1585</v>
      </c>
      <c r="G194" s="77" t="s">
        <v>1586</v>
      </c>
      <c r="H194" s="88" t="s">
        <v>315</v>
      </c>
      <c r="I194" s="40" t="s">
        <v>316</v>
      </c>
      <c r="J194" s="40" t="s">
        <v>86</v>
      </c>
      <c r="K194" s="40" t="s">
        <v>938</v>
      </c>
      <c r="L194" s="40" t="s">
        <v>320</v>
      </c>
      <c r="M194" s="103">
        <v>44958</v>
      </c>
      <c r="N194" s="103"/>
      <c r="O194" s="105"/>
      <c r="P194" s="95"/>
      <c r="Q194" s="88" t="s">
        <v>69</v>
      </c>
      <c r="R194" s="112"/>
      <c r="S194" s="97" t="s">
        <v>70</v>
      </c>
      <c r="T194" s="77">
        <v>11</v>
      </c>
      <c r="U194" s="77" t="s">
        <v>175</v>
      </c>
      <c r="V194" s="47">
        <f t="shared" ca="1" si="69"/>
        <v>29</v>
      </c>
      <c r="W194" s="98">
        <v>11791900</v>
      </c>
      <c r="X194" s="77">
        <v>192</v>
      </c>
      <c r="Y194" s="31">
        <f t="shared" si="70"/>
        <v>232.92466666666667</v>
      </c>
      <c r="Z194" s="31">
        <f t="shared" si="71"/>
        <v>3493.87</v>
      </c>
      <c r="AA194" s="32">
        <v>6987.74</v>
      </c>
      <c r="AB194" s="32">
        <v>284</v>
      </c>
      <c r="AC194" s="32"/>
      <c r="AD194" s="32"/>
      <c r="AE194" s="32"/>
      <c r="AF194" s="31"/>
      <c r="AG194" s="31"/>
      <c r="AH194" s="31"/>
      <c r="AI194" s="32">
        <v>6016</v>
      </c>
      <c r="AJ194" s="33">
        <f t="shared" si="85"/>
        <v>13287.74</v>
      </c>
      <c r="AK194" s="54">
        <v>0</v>
      </c>
      <c r="AL194" s="31">
        <f t="shared" si="72"/>
        <v>454.20310000000001</v>
      </c>
      <c r="AM194" s="31">
        <f t="shared" si="72"/>
        <v>908.40620000000001</v>
      </c>
      <c r="AN194" s="34">
        <f t="shared" si="86"/>
        <v>908.40620000000001</v>
      </c>
      <c r="AO194" s="35">
        <f t="shared" si="87"/>
        <v>12379.3338</v>
      </c>
      <c r="AP194" s="34">
        <f t="shared" si="75"/>
        <v>10714.534666666666</v>
      </c>
      <c r="AQ194" s="34">
        <f t="shared" si="76"/>
        <v>9224.5333333333328</v>
      </c>
      <c r="AR194" s="34">
        <f t="shared" si="77"/>
        <v>1454.348</v>
      </c>
      <c r="AS194" s="34"/>
      <c r="AT194" s="34"/>
      <c r="AU194" s="59"/>
      <c r="AV194" s="59"/>
      <c r="AW194" s="38"/>
      <c r="AX194" s="29"/>
      <c r="AY194" s="34">
        <f t="shared" si="78"/>
        <v>2908.6959999999999</v>
      </c>
      <c r="AZ194" s="31">
        <v>0.26</v>
      </c>
      <c r="BA194" s="32">
        <f t="shared" si="79"/>
        <v>908.40620000000001</v>
      </c>
      <c r="BB194" s="32">
        <f t="shared" si="80"/>
        <v>1816.8124</v>
      </c>
      <c r="BC194" s="37">
        <f t="shared" si="81"/>
        <v>69.877399999999994</v>
      </c>
      <c r="BD194" s="37">
        <f t="shared" si="81"/>
        <v>139.75479999999999</v>
      </c>
      <c r="BE194" s="34">
        <f t="shared" si="88"/>
        <v>398.63219999999995</v>
      </c>
      <c r="BF194" s="34">
        <f t="shared" si="89"/>
        <v>1084.06512</v>
      </c>
      <c r="BG194" s="115" t="s">
        <v>1587</v>
      </c>
      <c r="BH194" s="115" t="s">
        <v>1588</v>
      </c>
      <c r="BI194" s="38">
        <v>2331194531</v>
      </c>
      <c r="BJ194" s="97" t="s">
        <v>1589</v>
      </c>
      <c r="BK194" s="97" t="s">
        <v>1590</v>
      </c>
      <c r="BL194" s="38" t="s">
        <v>1591</v>
      </c>
      <c r="BM194" s="38" t="s">
        <v>1592</v>
      </c>
      <c r="BN194" s="39"/>
    </row>
    <row r="195" spans="1:66" ht="39.950000000000003" hidden="1" customHeight="1" x14ac:dyDescent="0.25">
      <c r="A195" s="91" t="s">
        <v>1581</v>
      </c>
      <c r="B195" s="92">
        <v>30</v>
      </c>
      <c r="C195" s="44" t="s">
        <v>1583</v>
      </c>
      <c r="D195" s="93" t="s">
        <v>1593</v>
      </c>
      <c r="E195" s="94" t="s">
        <v>1584</v>
      </c>
      <c r="F195" s="77" t="s">
        <v>1585</v>
      </c>
      <c r="G195" s="77" t="s">
        <v>1586</v>
      </c>
      <c r="H195" s="88" t="s">
        <v>315</v>
      </c>
      <c r="I195" s="40" t="s">
        <v>316</v>
      </c>
      <c r="J195" s="40" t="s">
        <v>86</v>
      </c>
      <c r="K195" s="40" t="s">
        <v>938</v>
      </c>
      <c r="L195" s="40" t="s">
        <v>11</v>
      </c>
      <c r="M195" s="103"/>
      <c r="N195" s="103">
        <v>45658</v>
      </c>
      <c r="O195" s="103">
        <v>45915</v>
      </c>
      <c r="P195" s="95"/>
      <c r="Q195" s="88" t="s">
        <v>69</v>
      </c>
      <c r="R195" s="112"/>
      <c r="S195" s="97" t="s">
        <v>70</v>
      </c>
      <c r="T195" s="77">
        <v>11</v>
      </c>
      <c r="U195" s="77" t="s">
        <v>175</v>
      </c>
      <c r="V195" s="47">
        <f t="shared" ca="1" si="69"/>
        <v>29</v>
      </c>
      <c r="W195" s="98">
        <v>11791900</v>
      </c>
      <c r="X195" s="77">
        <v>192</v>
      </c>
      <c r="Y195" s="31">
        <f t="shared" si="70"/>
        <v>232.92466666666667</v>
      </c>
      <c r="Z195" s="31">
        <f t="shared" si="71"/>
        <v>3493.87</v>
      </c>
      <c r="AA195" s="32">
        <v>6987.74</v>
      </c>
      <c r="AB195" s="32">
        <v>284</v>
      </c>
      <c r="AC195" s="32"/>
      <c r="AD195" s="32"/>
      <c r="AE195" s="32"/>
      <c r="AF195" s="31"/>
      <c r="AG195" s="31"/>
      <c r="AH195" s="31"/>
      <c r="AI195" s="32">
        <v>6016</v>
      </c>
      <c r="AJ195" s="33">
        <f t="shared" si="85"/>
        <v>13287.74</v>
      </c>
      <c r="AK195" s="54">
        <v>0</v>
      </c>
      <c r="AL195" s="31">
        <f t="shared" si="72"/>
        <v>454.20310000000001</v>
      </c>
      <c r="AM195" s="31">
        <f t="shared" si="72"/>
        <v>908.40620000000001</v>
      </c>
      <c r="AN195" s="34">
        <f t="shared" si="86"/>
        <v>908.40620000000001</v>
      </c>
      <c r="AO195" s="35">
        <f t="shared" si="87"/>
        <v>12379.3338</v>
      </c>
      <c r="AP195" s="34">
        <f t="shared" si="75"/>
        <v>10714.534666666666</v>
      </c>
      <c r="AQ195" s="34">
        <f t="shared" si="76"/>
        <v>9224.5333333333328</v>
      </c>
      <c r="AR195" s="34">
        <f t="shared" si="77"/>
        <v>1454.348</v>
      </c>
      <c r="AS195" s="34"/>
      <c r="AT195" s="34"/>
      <c r="AU195" s="59"/>
      <c r="AV195" s="59"/>
      <c r="AW195" s="38"/>
      <c r="AX195" s="29"/>
      <c r="AY195" s="34">
        <f t="shared" si="78"/>
        <v>2908.6959999999999</v>
      </c>
      <c r="AZ195" s="31">
        <v>0.26</v>
      </c>
      <c r="BA195" s="32">
        <f t="shared" si="79"/>
        <v>908.40620000000001</v>
      </c>
      <c r="BB195" s="32">
        <f t="shared" si="80"/>
        <v>1816.8124</v>
      </c>
      <c r="BC195" s="37">
        <f t="shared" si="81"/>
        <v>69.877399999999994</v>
      </c>
      <c r="BD195" s="37">
        <f t="shared" si="81"/>
        <v>139.75479999999999</v>
      </c>
      <c r="BE195" s="34">
        <f t="shared" si="88"/>
        <v>398.63219999999995</v>
      </c>
      <c r="BF195" s="34">
        <f t="shared" si="89"/>
        <v>1084.06512</v>
      </c>
      <c r="BG195" s="115" t="s">
        <v>1587</v>
      </c>
      <c r="BH195" s="115" t="s">
        <v>1588</v>
      </c>
      <c r="BI195" s="38">
        <v>2331194531</v>
      </c>
      <c r="BJ195" s="97" t="s">
        <v>1589</v>
      </c>
      <c r="BK195" s="97" t="s">
        <v>1590</v>
      </c>
      <c r="BL195" s="38" t="s">
        <v>1591</v>
      </c>
      <c r="BM195" s="38" t="s">
        <v>1592</v>
      </c>
      <c r="BN195" s="39"/>
    </row>
    <row r="196" spans="1:66" ht="39.950000000000003" hidden="1" customHeight="1" x14ac:dyDescent="0.25">
      <c r="A196" s="91" t="s">
        <v>1594</v>
      </c>
      <c r="B196" s="92">
        <v>80</v>
      </c>
      <c r="C196" s="93" t="s">
        <v>1273</v>
      </c>
      <c r="D196" s="44" t="s">
        <v>1595</v>
      </c>
      <c r="E196" s="94" t="s">
        <v>1596</v>
      </c>
      <c r="F196" s="77" t="s">
        <v>1597</v>
      </c>
      <c r="G196" s="77" t="s">
        <v>1598</v>
      </c>
      <c r="H196" s="88" t="s">
        <v>315</v>
      </c>
      <c r="I196" s="40" t="s">
        <v>316</v>
      </c>
      <c r="J196" s="40" t="s">
        <v>68</v>
      </c>
      <c r="K196" s="40" t="s">
        <v>1183</v>
      </c>
      <c r="L196" s="40" t="s">
        <v>11</v>
      </c>
      <c r="M196" s="103">
        <v>44958</v>
      </c>
      <c r="N196" s="103"/>
      <c r="O196" s="105">
        <v>45657</v>
      </c>
      <c r="P196" s="95"/>
      <c r="Q196" s="88" t="s">
        <v>69</v>
      </c>
      <c r="R196" s="112"/>
      <c r="S196" s="97" t="s">
        <v>70</v>
      </c>
      <c r="T196" s="77">
        <v>10</v>
      </c>
      <c r="U196" s="77" t="s">
        <v>71</v>
      </c>
      <c r="V196" s="47">
        <f t="shared" ca="1" si="69"/>
        <v>32</v>
      </c>
      <c r="W196" s="98">
        <v>11790900</v>
      </c>
      <c r="X196" s="77">
        <v>190</v>
      </c>
      <c r="Y196" s="31">
        <f t="shared" si="70"/>
        <v>232.92466666666667</v>
      </c>
      <c r="Z196" s="31">
        <f t="shared" si="71"/>
        <v>3493.87</v>
      </c>
      <c r="AA196" s="32">
        <v>6987.74</v>
      </c>
      <c r="AB196" s="32">
        <v>284</v>
      </c>
      <c r="AC196" s="32"/>
      <c r="AD196" s="32"/>
      <c r="AE196" s="32"/>
      <c r="AF196" s="31"/>
      <c r="AG196" s="31"/>
      <c r="AH196" s="31"/>
      <c r="AI196" s="32">
        <v>10984</v>
      </c>
      <c r="AJ196" s="33">
        <f t="shared" si="85"/>
        <v>18255.739999999998</v>
      </c>
      <c r="AK196" s="54">
        <v>0</v>
      </c>
      <c r="AL196" s="31">
        <f t="shared" si="72"/>
        <v>454.20310000000001</v>
      </c>
      <c r="AM196" s="31">
        <f t="shared" si="72"/>
        <v>908.40620000000001</v>
      </c>
      <c r="AN196" s="34">
        <f t="shared" si="86"/>
        <v>908.40620000000001</v>
      </c>
      <c r="AO196" s="35">
        <f t="shared" si="87"/>
        <v>17347.333799999997</v>
      </c>
      <c r="AP196" s="34">
        <f t="shared" si="75"/>
        <v>10714.534666666666</v>
      </c>
      <c r="AQ196" s="34">
        <f t="shared" si="76"/>
        <v>16842.133333333331</v>
      </c>
      <c r="AR196" s="34">
        <f t="shared" si="77"/>
        <v>1454.348</v>
      </c>
      <c r="AS196" s="34"/>
      <c r="AT196" s="34"/>
      <c r="AU196" s="59"/>
      <c r="AV196" s="59"/>
      <c r="AW196" s="38"/>
      <c r="AX196" s="29"/>
      <c r="AY196" s="34">
        <f t="shared" si="78"/>
        <v>2908.6959999999999</v>
      </c>
      <c r="AZ196" s="31">
        <v>0.26</v>
      </c>
      <c r="BA196" s="32">
        <f t="shared" si="79"/>
        <v>908.40620000000001</v>
      </c>
      <c r="BB196" s="32">
        <f t="shared" si="80"/>
        <v>1816.8124</v>
      </c>
      <c r="BC196" s="37">
        <f t="shared" si="81"/>
        <v>69.877399999999994</v>
      </c>
      <c r="BD196" s="37">
        <f t="shared" si="81"/>
        <v>139.75479999999999</v>
      </c>
      <c r="BE196" s="34">
        <f t="shared" si="88"/>
        <v>547.67219999999998</v>
      </c>
      <c r="BF196" s="34">
        <f t="shared" si="89"/>
        <v>1461.6331199999997</v>
      </c>
      <c r="BG196" s="115" t="s">
        <v>1599</v>
      </c>
      <c r="BH196" s="115" t="s">
        <v>1600</v>
      </c>
      <c r="BI196" s="38">
        <v>2221508636</v>
      </c>
      <c r="BJ196" s="97" t="s">
        <v>1601</v>
      </c>
      <c r="BK196" s="97"/>
      <c r="BL196" s="38" t="s">
        <v>1602</v>
      </c>
      <c r="BM196" s="38" t="s">
        <v>1603</v>
      </c>
      <c r="BN196" s="39"/>
    </row>
    <row r="197" spans="1:66" s="6" customFormat="1" ht="39.950000000000003" hidden="1" customHeight="1" x14ac:dyDescent="0.25">
      <c r="A197" s="91" t="s">
        <v>1604</v>
      </c>
      <c r="B197" s="92">
        <v>35</v>
      </c>
      <c r="C197" s="93" t="s">
        <v>1273</v>
      </c>
      <c r="D197" s="44" t="s">
        <v>1605</v>
      </c>
      <c r="E197" s="106" t="s">
        <v>1606</v>
      </c>
      <c r="F197" s="29" t="s">
        <v>1607</v>
      </c>
      <c r="G197" s="29" t="s">
        <v>1608</v>
      </c>
      <c r="H197" s="88" t="s">
        <v>84</v>
      </c>
      <c r="I197" s="40" t="s">
        <v>1609</v>
      </c>
      <c r="J197" s="40" t="s">
        <v>67</v>
      </c>
      <c r="K197" s="40" t="s">
        <v>688</v>
      </c>
      <c r="L197" s="40" t="s">
        <v>11</v>
      </c>
      <c r="M197" s="96">
        <v>45078</v>
      </c>
      <c r="N197" s="96">
        <v>45322</v>
      </c>
      <c r="O197" s="105"/>
      <c r="P197" s="95"/>
      <c r="Q197" s="88" t="s">
        <v>69</v>
      </c>
      <c r="R197" s="88"/>
      <c r="S197" s="97" t="s">
        <v>148</v>
      </c>
      <c r="T197" s="77">
        <v>29</v>
      </c>
      <c r="U197" s="77" t="s">
        <v>103</v>
      </c>
      <c r="V197" s="47">
        <f t="shared" ca="1" si="69"/>
        <v>36</v>
      </c>
      <c r="W197" s="98">
        <v>11917300</v>
      </c>
      <c r="X197" s="77"/>
      <c r="Y197" s="31">
        <f t="shared" si="70"/>
        <v>248.92999999999998</v>
      </c>
      <c r="Z197" s="31">
        <f t="shared" si="71"/>
        <v>3733.95</v>
      </c>
      <c r="AA197" s="32">
        <v>7467.9</v>
      </c>
      <c r="AB197" s="32">
        <v>284</v>
      </c>
      <c r="AC197" s="99"/>
      <c r="AD197" s="99"/>
      <c r="AE197" s="100"/>
      <c r="AF197" s="101"/>
      <c r="AG197" s="99"/>
      <c r="AH197" s="99"/>
      <c r="AI197" s="32">
        <v>11283.15</v>
      </c>
      <c r="AJ197" s="33">
        <f t="shared" si="85"/>
        <v>19035.05</v>
      </c>
      <c r="AK197" s="54">
        <v>0</v>
      </c>
      <c r="AL197" s="31">
        <f t="shared" si="72"/>
        <v>485.4135</v>
      </c>
      <c r="AM197" s="31">
        <f t="shared" si="72"/>
        <v>970.827</v>
      </c>
      <c r="AN197" s="34">
        <f t="shared" si="86"/>
        <v>970.827</v>
      </c>
      <c r="AO197" s="35">
        <f t="shared" si="87"/>
        <v>18064.222999999998</v>
      </c>
      <c r="AP197" s="34">
        <f t="shared" si="75"/>
        <v>11450.779999999999</v>
      </c>
      <c r="AQ197" s="34">
        <f t="shared" si="76"/>
        <v>17300.829999999998</v>
      </c>
      <c r="AR197" s="34">
        <f t="shared" si="77"/>
        <v>1550.3799999999999</v>
      </c>
      <c r="AS197" s="34"/>
      <c r="AT197" s="34"/>
      <c r="AU197" s="34"/>
      <c r="AV197" s="99"/>
      <c r="AW197" s="99"/>
      <c r="AX197" s="99"/>
      <c r="AY197" s="34">
        <f t="shared" si="78"/>
        <v>3100.7599999999998</v>
      </c>
      <c r="AZ197" s="31">
        <v>0.26</v>
      </c>
      <c r="BA197" s="32">
        <f t="shared" si="79"/>
        <v>970.827</v>
      </c>
      <c r="BB197" s="32">
        <f t="shared" si="80"/>
        <v>1941.654</v>
      </c>
      <c r="BC197" s="37">
        <f t="shared" si="81"/>
        <v>74.679000000000002</v>
      </c>
      <c r="BD197" s="37">
        <f t="shared" si="81"/>
        <v>149.358</v>
      </c>
      <c r="BE197" s="34">
        <f t="shared" si="88"/>
        <v>571.05149999999992</v>
      </c>
      <c r="BF197" s="34">
        <f t="shared" si="89"/>
        <v>1526.6225999999999</v>
      </c>
      <c r="BG197" s="59" t="s">
        <v>1610</v>
      </c>
      <c r="BH197" s="59" t="s">
        <v>1611</v>
      </c>
      <c r="BI197" s="38">
        <v>2227112186</v>
      </c>
      <c r="BJ197" s="39" t="s">
        <v>1612</v>
      </c>
      <c r="BK197" s="39" t="s">
        <v>1613</v>
      </c>
      <c r="BL197" s="39" t="s">
        <v>1614</v>
      </c>
      <c r="BM197" s="102" t="s">
        <v>1615</v>
      </c>
      <c r="BN197" s="39"/>
    </row>
    <row r="198" spans="1:66" s="6" customFormat="1" ht="39.950000000000003" hidden="1" customHeight="1" x14ac:dyDescent="0.25">
      <c r="A198" s="91" t="s">
        <v>1604</v>
      </c>
      <c r="B198" s="92">
        <v>74</v>
      </c>
      <c r="C198" s="44" t="s">
        <v>1605</v>
      </c>
      <c r="D198" s="93" t="s">
        <v>1616</v>
      </c>
      <c r="E198" s="106" t="s">
        <v>1606</v>
      </c>
      <c r="F198" s="29" t="s">
        <v>1607</v>
      </c>
      <c r="G198" s="29" t="s">
        <v>1608</v>
      </c>
      <c r="H198" s="88" t="s">
        <v>315</v>
      </c>
      <c r="I198" s="40" t="s">
        <v>316</v>
      </c>
      <c r="J198" s="40" t="s">
        <v>1534</v>
      </c>
      <c r="K198" s="40" t="s">
        <v>1534</v>
      </c>
      <c r="L198" s="40" t="s">
        <v>11</v>
      </c>
      <c r="M198" s="96"/>
      <c r="N198" s="96">
        <v>45323</v>
      </c>
      <c r="O198" s="105">
        <v>45382</v>
      </c>
      <c r="P198" s="95"/>
      <c r="Q198" s="88" t="s">
        <v>69</v>
      </c>
      <c r="R198" s="88"/>
      <c r="S198" s="97" t="s">
        <v>148</v>
      </c>
      <c r="T198" s="77">
        <v>29</v>
      </c>
      <c r="U198" s="77" t="s">
        <v>103</v>
      </c>
      <c r="V198" s="47">
        <f t="shared" ca="1" si="69"/>
        <v>36</v>
      </c>
      <c r="W198" s="98">
        <v>11917300</v>
      </c>
      <c r="X198" s="77">
        <v>185</v>
      </c>
      <c r="Y198" s="31">
        <f t="shared" si="70"/>
        <v>248.92999999999998</v>
      </c>
      <c r="Z198" s="31">
        <f t="shared" si="71"/>
        <v>3733.95</v>
      </c>
      <c r="AA198" s="32">
        <v>7467.9</v>
      </c>
      <c r="AB198" s="32">
        <v>284</v>
      </c>
      <c r="AC198" s="99"/>
      <c r="AD198" s="99"/>
      <c r="AE198" s="100"/>
      <c r="AF198" s="101"/>
      <c r="AG198" s="99"/>
      <c r="AH198" s="99"/>
      <c r="AI198" s="32">
        <v>10000</v>
      </c>
      <c r="AJ198" s="33">
        <f t="shared" si="85"/>
        <v>17751.900000000001</v>
      </c>
      <c r="AK198" s="54">
        <v>0</v>
      </c>
      <c r="AL198" s="31">
        <f t="shared" si="72"/>
        <v>485.4135</v>
      </c>
      <c r="AM198" s="31">
        <f t="shared" si="72"/>
        <v>970.827</v>
      </c>
      <c r="AN198" s="34">
        <f t="shared" si="86"/>
        <v>970.827</v>
      </c>
      <c r="AO198" s="35">
        <f t="shared" si="87"/>
        <v>16781.073</v>
      </c>
      <c r="AP198" s="34">
        <f t="shared" si="75"/>
        <v>11450.779999999999</v>
      </c>
      <c r="AQ198" s="34">
        <f t="shared" si="76"/>
        <v>15333.333333333332</v>
      </c>
      <c r="AR198" s="34">
        <f t="shared" si="77"/>
        <v>1550.3799999999999</v>
      </c>
      <c r="AS198" s="34"/>
      <c r="AT198" s="34"/>
      <c r="AU198" s="34"/>
      <c r="AV198" s="99"/>
      <c r="AW198" s="99"/>
      <c r="AX198" s="99"/>
      <c r="AY198" s="34">
        <f t="shared" si="78"/>
        <v>3100.7599999999998</v>
      </c>
      <c r="AZ198" s="31">
        <v>0.26</v>
      </c>
      <c r="BA198" s="32">
        <f t="shared" si="79"/>
        <v>970.827</v>
      </c>
      <c r="BB198" s="32">
        <f t="shared" si="80"/>
        <v>1941.654</v>
      </c>
      <c r="BC198" s="37">
        <f t="shared" si="81"/>
        <v>74.679000000000002</v>
      </c>
      <c r="BD198" s="37">
        <f t="shared" si="81"/>
        <v>149.358</v>
      </c>
      <c r="BE198" s="34">
        <f t="shared" si="88"/>
        <v>532.55700000000002</v>
      </c>
      <c r="BF198" s="34">
        <f t="shared" si="89"/>
        <v>1429.1032</v>
      </c>
      <c r="BG198" s="59" t="s">
        <v>1610</v>
      </c>
      <c r="BH198" s="59" t="s">
        <v>1611</v>
      </c>
      <c r="BI198" s="38">
        <v>2227112186</v>
      </c>
      <c r="BJ198" s="39" t="s">
        <v>1612</v>
      </c>
      <c r="BK198" s="39" t="s">
        <v>1613</v>
      </c>
      <c r="BL198" s="39" t="s">
        <v>1614</v>
      </c>
      <c r="BM198" s="102" t="s">
        <v>1615</v>
      </c>
      <c r="BN198" s="39"/>
    </row>
    <row r="199" spans="1:66" ht="39.950000000000003" hidden="1" customHeight="1" x14ac:dyDescent="0.25">
      <c r="A199" s="91" t="s">
        <v>1617</v>
      </c>
      <c r="B199" s="92">
        <v>4</v>
      </c>
      <c r="C199" s="93" t="s">
        <v>1558</v>
      </c>
      <c r="D199" s="44" t="s">
        <v>1618</v>
      </c>
      <c r="E199" s="94" t="s">
        <v>1619</v>
      </c>
      <c r="F199" s="95" t="s">
        <v>1620</v>
      </c>
      <c r="G199" s="95" t="s">
        <v>1621</v>
      </c>
      <c r="H199" s="88" t="s">
        <v>84</v>
      </c>
      <c r="I199" s="40" t="s">
        <v>1403</v>
      </c>
      <c r="J199" s="40" t="s">
        <v>1397</v>
      </c>
      <c r="K199" s="40" t="s">
        <v>501</v>
      </c>
      <c r="L199" s="40" t="s">
        <v>11</v>
      </c>
      <c r="M199" s="103">
        <v>45261</v>
      </c>
      <c r="N199" s="116"/>
      <c r="O199" s="105">
        <v>45657</v>
      </c>
      <c r="P199" s="29"/>
      <c r="Q199" s="116" t="s">
        <v>69</v>
      </c>
      <c r="R199" s="116"/>
      <c r="S199" s="97" t="s">
        <v>70</v>
      </c>
      <c r="T199" s="38">
        <v>6</v>
      </c>
      <c r="U199" s="38" t="s">
        <v>116</v>
      </c>
      <c r="V199" s="47">
        <f t="shared" ca="1" si="69"/>
        <v>48</v>
      </c>
      <c r="W199" s="98">
        <v>12103800</v>
      </c>
      <c r="X199" s="77">
        <v>185</v>
      </c>
      <c r="Y199" s="31">
        <f t="shared" si="70"/>
        <v>248.92999999999998</v>
      </c>
      <c r="Z199" s="31">
        <f t="shared" si="71"/>
        <v>3733.95</v>
      </c>
      <c r="AA199" s="32">
        <v>7467.9</v>
      </c>
      <c r="AB199" s="32">
        <v>284</v>
      </c>
      <c r="AC199" s="99"/>
      <c r="AD199" s="99"/>
      <c r="AE199" s="99"/>
      <c r="AF199" s="104"/>
      <c r="AG199" s="99"/>
      <c r="AH199" s="99"/>
      <c r="AI199" s="32">
        <v>11283.15</v>
      </c>
      <c r="AJ199" s="33">
        <f t="shared" si="85"/>
        <v>19035.05</v>
      </c>
      <c r="AK199" s="54">
        <v>0</v>
      </c>
      <c r="AL199" s="31">
        <f t="shared" si="72"/>
        <v>485.4135</v>
      </c>
      <c r="AM199" s="31">
        <f t="shared" si="72"/>
        <v>970.827</v>
      </c>
      <c r="AN199" s="34">
        <f t="shared" si="86"/>
        <v>970.827</v>
      </c>
      <c r="AO199" s="35">
        <f t="shared" si="87"/>
        <v>18064.222999999998</v>
      </c>
      <c r="AP199" s="34">
        <f t="shared" si="75"/>
        <v>11450.779999999999</v>
      </c>
      <c r="AQ199" s="34">
        <f t="shared" si="76"/>
        <v>17300.829999999998</v>
      </c>
      <c r="AR199" s="34">
        <f t="shared" si="77"/>
        <v>1550.3799999999999</v>
      </c>
      <c r="AS199" s="34"/>
      <c r="AT199" s="34"/>
      <c r="AU199" s="34"/>
      <c r="AV199" s="99"/>
      <c r="AW199" s="99"/>
      <c r="AX199" s="99"/>
      <c r="AY199" s="34">
        <f t="shared" si="78"/>
        <v>3100.7599999999998</v>
      </c>
      <c r="AZ199" s="31">
        <v>0.26</v>
      </c>
      <c r="BA199" s="32">
        <f t="shared" si="79"/>
        <v>970.827</v>
      </c>
      <c r="BB199" s="32">
        <f t="shared" si="80"/>
        <v>1941.654</v>
      </c>
      <c r="BC199" s="37">
        <f t="shared" si="81"/>
        <v>74.679000000000002</v>
      </c>
      <c r="BD199" s="37">
        <f t="shared" si="81"/>
        <v>149.358</v>
      </c>
      <c r="BE199" s="34">
        <f t="shared" si="88"/>
        <v>571.05149999999992</v>
      </c>
      <c r="BF199" s="34">
        <f t="shared" si="89"/>
        <v>1526.6225999999999</v>
      </c>
      <c r="BG199" s="59" t="s">
        <v>1622</v>
      </c>
      <c r="BH199" s="59" t="s">
        <v>1623</v>
      </c>
      <c r="BI199" s="38">
        <v>9512214444</v>
      </c>
      <c r="BJ199" s="39" t="s">
        <v>1624</v>
      </c>
      <c r="BK199" s="39" t="s">
        <v>1625</v>
      </c>
      <c r="BL199" s="39" t="s">
        <v>1626</v>
      </c>
      <c r="BM199" s="102" t="s">
        <v>1627</v>
      </c>
      <c r="BN199" s="39"/>
    </row>
    <row r="200" spans="1:66" ht="39.950000000000003" hidden="1" customHeight="1" x14ac:dyDescent="0.25">
      <c r="A200" s="91" t="s">
        <v>1628</v>
      </c>
      <c r="B200" s="92">
        <v>54</v>
      </c>
      <c r="C200" s="44" t="s">
        <v>1629</v>
      </c>
      <c r="D200" s="44" t="s">
        <v>1630</v>
      </c>
      <c r="E200" s="39" t="s">
        <v>1631</v>
      </c>
      <c r="F200" s="29" t="s">
        <v>1632</v>
      </c>
      <c r="G200" s="29" t="s">
        <v>1633</v>
      </c>
      <c r="H200" s="88" t="s">
        <v>315</v>
      </c>
      <c r="I200" s="40" t="s">
        <v>316</v>
      </c>
      <c r="J200" s="117" t="s">
        <v>87</v>
      </c>
      <c r="K200" s="117" t="s">
        <v>68</v>
      </c>
      <c r="L200" s="29" t="s">
        <v>11</v>
      </c>
      <c r="M200" s="103">
        <v>45323</v>
      </c>
      <c r="N200" s="116"/>
      <c r="O200" s="105">
        <v>45657</v>
      </c>
      <c r="P200" s="29"/>
      <c r="Q200" s="116" t="s">
        <v>69</v>
      </c>
      <c r="R200" s="116"/>
      <c r="S200" s="97" t="s">
        <v>70</v>
      </c>
      <c r="T200" s="38">
        <v>29</v>
      </c>
      <c r="U200" s="38" t="s">
        <v>71</v>
      </c>
      <c r="V200" s="47">
        <f t="shared" ca="1" si="69"/>
        <v>36</v>
      </c>
      <c r="W200" s="98">
        <v>12112100</v>
      </c>
      <c r="X200" s="77">
        <v>193</v>
      </c>
      <c r="Y200" s="31">
        <f t="shared" si="70"/>
        <v>248.92999999999998</v>
      </c>
      <c r="Z200" s="31">
        <f t="shared" si="71"/>
        <v>3733.95</v>
      </c>
      <c r="AA200" s="32">
        <v>7467.9</v>
      </c>
      <c r="AB200" s="32">
        <v>284</v>
      </c>
      <c r="AC200" s="77"/>
      <c r="AD200" s="31"/>
      <c r="AE200" s="31"/>
      <c r="AF200" s="32"/>
      <c r="AG200" s="32"/>
      <c r="AH200" s="77"/>
      <c r="AI200" s="31">
        <v>6016</v>
      </c>
      <c r="AJ200" s="33">
        <f t="shared" si="85"/>
        <v>13767.9</v>
      </c>
      <c r="AK200" s="54">
        <v>0</v>
      </c>
      <c r="AL200" s="31">
        <f t="shared" si="72"/>
        <v>485.4135</v>
      </c>
      <c r="AM200" s="31">
        <f t="shared" si="72"/>
        <v>970.827</v>
      </c>
      <c r="AN200" s="34">
        <f t="shared" si="86"/>
        <v>970.827</v>
      </c>
      <c r="AO200" s="35">
        <f t="shared" si="87"/>
        <v>12797.073</v>
      </c>
      <c r="AP200" s="36">
        <f t="shared" si="75"/>
        <v>11450.779999999999</v>
      </c>
      <c r="AQ200" s="34">
        <f t="shared" si="76"/>
        <v>9224.5333333333328</v>
      </c>
      <c r="AR200" s="34">
        <f t="shared" si="77"/>
        <v>1550.3799999999999</v>
      </c>
      <c r="AS200" s="36"/>
      <c r="AT200" s="36"/>
      <c r="AU200" s="36"/>
      <c r="AV200" s="116"/>
      <c r="AW200" s="116"/>
      <c r="AX200" s="116"/>
      <c r="AY200" s="34">
        <f t="shared" si="78"/>
        <v>3100.7599999999998</v>
      </c>
      <c r="AZ200" s="31">
        <v>0.26</v>
      </c>
      <c r="BA200" s="32">
        <f t="shared" si="79"/>
        <v>970.827</v>
      </c>
      <c r="BB200" s="32">
        <f t="shared" si="80"/>
        <v>1941.654</v>
      </c>
      <c r="BC200" s="37">
        <f t="shared" si="81"/>
        <v>74.679000000000002</v>
      </c>
      <c r="BD200" s="37">
        <f t="shared" si="81"/>
        <v>149.358</v>
      </c>
      <c r="BE200" s="34">
        <f t="shared" si="88"/>
        <v>413.03699999999998</v>
      </c>
      <c r="BF200" s="34">
        <f t="shared" si="89"/>
        <v>1126.3191999999999</v>
      </c>
      <c r="BG200" s="59" t="s">
        <v>1622</v>
      </c>
      <c r="BH200" s="59" t="s">
        <v>1634</v>
      </c>
      <c r="BI200" s="38">
        <v>2226350309</v>
      </c>
      <c r="BJ200" s="39" t="s">
        <v>1635</v>
      </c>
      <c r="BK200" s="39" t="s">
        <v>1635</v>
      </c>
      <c r="BL200" s="39" t="s">
        <v>744</v>
      </c>
      <c r="BM200" s="102" t="s">
        <v>1636</v>
      </c>
      <c r="BN200" s="39"/>
    </row>
    <row r="201" spans="1:66" ht="39.950000000000003" hidden="1" customHeight="1" x14ac:dyDescent="0.25">
      <c r="A201" s="122" t="s">
        <v>1637</v>
      </c>
      <c r="B201" s="92">
        <v>35</v>
      </c>
      <c r="C201" s="44" t="s">
        <v>1638</v>
      </c>
      <c r="D201" s="44" t="s">
        <v>1639</v>
      </c>
      <c r="E201" s="39" t="s">
        <v>1640</v>
      </c>
      <c r="F201" s="29" t="s">
        <v>1641</v>
      </c>
      <c r="G201" s="29" t="s">
        <v>1642</v>
      </c>
      <c r="H201" s="88" t="s">
        <v>84</v>
      </c>
      <c r="I201" s="40" t="s">
        <v>1609</v>
      </c>
      <c r="J201" s="40" t="s">
        <v>67</v>
      </c>
      <c r="K201" s="40" t="s">
        <v>688</v>
      </c>
      <c r="L201" s="29" t="s">
        <v>11</v>
      </c>
      <c r="M201" s="103">
        <v>45323</v>
      </c>
      <c r="N201" s="116"/>
      <c r="O201" s="105">
        <v>45657</v>
      </c>
      <c r="P201" s="29"/>
      <c r="Q201" s="116" t="s">
        <v>69</v>
      </c>
      <c r="R201" s="116"/>
      <c r="S201" s="97" t="s">
        <v>148</v>
      </c>
      <c r="T201" s="38">
        <v>20</v>
      </c>
      <c r="U201" s="38" t="s">
        <v>103</v>
      </c>
      <c r="V201" s="47">
        <f t="shared" ca="1" si="69"/>
        <v>39</v>
      </c>
      <c r="W201" s="98">
        <v>12112000</v>
      </c>
      <c r="X201" s="77">
        <v>185</v>
      </c>
      <c r="Y201" s="31">
        <f t="shared" si="70"/>
        <v>248.92999999999998</v>
      </c>
      <c r="Z201" s="31">
        <f t="shared" si="71"/>
        <v>3733.95</v>
      </c>
      <c r="AA201" s="32">
        <v>7467.9</v>
      </c>
      <c r="AB201" s="32">
        <v>284</v>
      </c>
      <c r="AC201" s="77"/>
      <c r="AD201" s="31"/>
      <c r="AE201" s="31"/>
      <c r="AF201" s="32"/>
      <c r="AG201" s="32"/>
      <c r="AH201" s="77"/>
      <c r="AI201" s="32">
        <v>11283.15</v>
      </c>
      <c r="AJ201" s="33">
        <f t="shared" si="85"/>
        <v>19035.05</v>
      </c>
      <c r="AK201" s="54">
        <v>0</v>
      </c>
      <c r="AL201" s="31">
        <f t="shared" si="72"/>
        <v>485.4135</v>
      </c>
      <c r="AM201" s="31">
        <f t="shared" si="72"/>
        <v>970.827</v>
      </c>
      <c r="AN201" s="34">
        <f t="shared" si="86"/>
        <v>970.827</v>
      </c>
      <c r="AO201" s="35">
        <f t="shared" si="87"/>
        <v>18064.222999999998</v>
      </c>
      <c r="AP201" s="36">
        <f t="shared" si="75"/>
        <v>11450.779999999999</v>
      </c>
      <c r="AQ201" s="34">
        <f t="shared" si="76"/>
        <v>17300.829999999998</v>
      </c>
      <c r="AR201" s="34">
        <f t="shared" si="77"/>
        <v>1550.3799999999999</v>
      </c>
      <c r="AS201" s="36"/>
      <c r="AT201" s="36"/>
      <c r="AU201" s="36"/>
      <c r="AV201" s="116"/>
      <c r="AW201" s="116"/>
      <c r="AX201" s="116"/>
      <c r="AY201" s="34">
        <f t="shared" si="78"/>
        <v>3100.7599999999998</v>
      </c>
      <c r="AZ201" s="31">
        <v>0.26</v>
      </c>
      <c r="BA201" s="32">
        <f t="shared" si="79"/>
        <v>970.827</v>
      </c>
      <c r="BB201" s="32">
        <f t="shared" si="80"/>
        <v>1941.654</v>
      </c>
      <c r="BC201" s="37">
        <f t="shared" si="81"/>
        <v>74.679000000000002</v>
      </c>
      <c r="BD201" s="37">
        <f t="shared" si="81"/>
        <v>149.358</v>
      </c>
      <c r="BE201" s="34">
        <f t="shared" si="88"/>
        <v>571.05149999999992</v>
      </c>
      <c r="BF201" s="34">
        <f t="shared" si="89"/>
        <v>1526.6225999999999</v>
      </c>
      <c r="BG201" s="59" t="s">
        <v>1643</v>
      </c>
      <c r="BH201" s="59" t="s">
        <v>1644</v>
      </c>
      <c r="BI201" s="38">
        <v>2226992976</v>
      </c>
      <c r="BJ201" s="39" t="s">
        <v>1645</v>
      </c>
      <c r="BK201" s="39" t="s">
        <v>1645</v>
      </c>
      <c r="BL201" s="39" t="s">
        <v>1646</v>
      </c>
      <c r="BM201" s="102" t="s">
        <v>1647</v>
      </c>
      <c r="BN201" s="39"/>
    </row>
    <row r="202" spans="1:66" ht="39.950000000000003" hidden="1" customHeight="1" x14ac:dyDescent="0.25">
      <c r="A202" s="122">
        <v>92700194</v>
      </c>
      <c r="B202" s="92">
        <v>55</v>
      </c>
      <c r="C202" s="44" t="s">
        <v>1648</v>
      </c>
      <c r="D202" s="44" t="s">
        <v>1649</v>
      </c>
      <c r="E202" s="39" t="s">
        <v>1650</v>
      </c>
      <c r="F202" s="29" t="s">
        <v>1651</v>
      </c>
      <c r="G202" s="29" t="s">
        <v>1652</v>
      </c>
      <c r="H202" s="88" t="s">
        <v>315</v>
      </c>
      <c r="I202" s="40" t="s">
        <v>316</v>
      </c>
      <c r="J202" s="40" t="s">
        <v>1397</v>
      </c>
      <c r="K202" s="40" t="s">
        <v>1534</v>
      </c>
      <c r="L202" s="29" t="s">
        <v>320</v>
      </c>
      <c r="M202" s="103">
        <v>45352</v>
      </c>
      <c r="N202" s="116"/>
      <c r="O202" s="105"/>
      <c r="P202" s="29"/>
      <c r="Q202" s="116" t="s">
        <v>69</v>
      </c>
      <c r="R202" s="116"/>
      <c r="S202" s="97" t="s">
        <v>148</v>
      </c>
      <c r="T202" s="38">
        <v>12</v>
      </c>
      <c r="U202" s="38" t="s">
        <v>175</v>
      </c>
      <c r="V202" s="47">
        <f t="shared" ca="1" si="69"/>
        <v>27</v>
      </c>
      <c r="W202" s="98">
        <v>12196700</v>
      </c>
      <c r="X202" s="77">
        <v>185</v>
      </c>
      <c r="Y202" s="31">
        <f t="shared" si="70"/>
        <v>248.92999999999998</v>
      </c>
      <c r="Z202" s="31">
        <f t="shared" si="71"/>
        <v>3733.95</v>
      </c>
      <c r="AA202" s="32">
        <v>7467.9</v>
      </c>
      <c r="AB202" s="32">
        <v>284</v>
      </c>
      <c r="AC202" s="77"/>
      <c r="AD202" s="31"/>
      <c r="AE202" s="31"/>
      <c r="AF202" s="32"/>
      <c r="AG202" s="32"/>
      <c r="AH202" s="77"/>
      <c r="AI202" s="31">
        <v>6016</v>
      </c>
      <c r="AJ202" s="33">
        <f t="shared" si="85"/>
        <v>13767.9</v>
      </c>
      <c r="AK202" s="54">
        <v>0</v>
      </c>
      <c r="AL202" s="31">
        <f t="shared" si="72"/>
        <v>485.4135</v>
      </c>
      <c r="AM202" s="31">
        <f t="shared" si="72"/>
        <v>970.827</v>
      </c>
      <c r="AN202" s="34">
        <f t="shared" si="86"/>
        <v>970.827</v>
      </c>
      <c r="AO202" s="35">
        <f t="shared" si="87"/>
        <v>12797.073</v>
      </c>
      <c r="AP202" s="36">
        <f t="shared" si="75"/>
        <v>11450.779999999999</v>
      </c>
      <c r="AQ202" s="34">
        <f t="shared" si="76"/>
        <v>9224.5333333333328</v>
      </c>
      <c r="AR202" s="34">
        <f t="shared" si="77"/>
        <v>1550.3799999999999</v>
      </c>
      <c r="AS202" s="36"/>
      <c r="AT202" s="36"/>
      <c r="AU202" s="36"/>
      <c r="AV202" s="116"/>
      <c r="AW202" s="116"/>
      <c r="AX202" s="116"/>
      <c r="AY202" s="34">
        <f t="shared" si="78"/>
        <v>3100.7599999999998</v>
      </c>
      <c r="AZ202" s="31">
        <v>0.26</v>
      </c>
      <c r="BA202" s="31">
        <f t="shared" si="79"/>
        <v>970.827</v>
      </c>
      <c r="BB202" s="32">
        <f t="shared" si="80"/>
        <v>1941.654</v>
      </c>
      <c r="BC202" s="37">
        <f t="shared" si="81"/>
        <v>74.679000000000002</v>
      </c>
      <c r="BD202" s="37">
        <f t="shared" si="81"/>
        <v>149.358</v>
      </c>
      <c r="BE202" s="34">
        <f t="shared" si="88"/>
        <v>413.03699999999998</v>
      </c>
      <c r="BF202" s="34">
        <f t="shared" si="89"/>
        <v>1126.3191999999999</v>
      </c>
      <c r="BG202" s="59" t="s">
        <v>1653</v>
      </c>
      <c r="BH202" s="59" t="s">
        <v>1654</v>
      </c>
      <c r="BI202" s="38">
        <v>2224362794</v>
      </c>
      <c r="BJ202" s="39" t="s">
        <v>1655</v>
      </c>
      <c r="BK202" s="39" t="s">
        <v>1655</v>
      </c>
      <c r="BL202" s="39" t="s">
        <v>1656</v>
      </c>
      <c r="BM202" s="102" t="s">
        <v>1657</v>
      </c>
      <c r="BN202" s="39"/>
    </row>
    <row r="203" spans="1:66" ht="39.950000000000003" hidden="1" customHeight="1" x14ac:dyDescent="0.25">
      <c r="A203" s="122">
        <v>92700194</v>
      </c>
      <c r="B203" s="92">
        <v>55</v>
      </c>
      <c r="C203" s="44" t="s">
        <v>1649</v>
      </c>
      <c r="D203" s="44" t="s">
        <v>1658</v>
      </c>
      <c r="E203" s="39" t="s">
        <v>1650</v>
      </c>
      <c r="F203" s="29" t="s">
        <v>1651</v>
      </c>
      <c r="G203" s="29" t="s">
        <v>1652</v>
      </c>
      <c r="H203" s="88" t="s">
        <v>315</v>
      </c>
      <c r="I203" s="40" t="s">
        <v>316</v>
      </c>
      <c r="J203" s="40" t="s">
        <v>450</v>
      </c>
      <c r="K203" s="40" t="s">
        <v>1659</v>
      </c>
      <c r="L203" s="29" t="s">
        <v>10</v>
      </c>
      <c r="M203" s="96"/>
      <c r="N203" s="96">
        <v>45658</v>
      </c>
      <c r="O203" s="105"/>
      <c r="P203" s="29"/>
      <c r="Q203" s="116" t="s">
        <v>69</v>
      </c>
      <c r="R203" s="116"/>
      <c r="S203" s="97" t="s">
        <v>148</v>
      </c>
      <c r="T203" s="38">
        <v>12</v>
      </c>
      <c r="U203" s="38" t="s">
        <v>175</v>
      </c>
      <c r="V203" s="47">
        <f t="shared" ca="1" si="69"/>
        <v>27</v>
      </c>
      <c r="W203" s="98"/>
      <c r="X203" s="77">
        <v>185</v>
      </c>
      <c r="Y203" s="31">
        <f t="shared" si="70"/>
        <v>248.92999999999998</v>
      </c>
      <c r="Z203" s="31">
        <f t="shared" si="71"/>
        <v>3733.95</v>
      </c>
      <c r="AA203" s="32">
        <v>7467.9</v>
      </c>
      <c r="AB203" s="32">
        <v>284</v>
      </c>
      <c r="AC203" s="77"/>
      <c r="AD203" s="31"/>
      <c r="AE203" s="31"/>
      <c r="AF203" s="32"/>
      <c r="AG203" s="32"/>
      <c r="AH203" s="77"/>
      <c r="AI203" s="31">
        <v>6016</v>
      </c>
      <c r="AJ203" s="33">
        <f t="shared" si="85"/>
        <v>13767.9</v>
      </c>
      <c r="AK203" s="54">
        <v>0</v>
      </c>
      <c r="AL203" s="31">
        <f t="shared" si="72"/>
        <v>485.4135</v>
      </c>
      <c r="AM203" s="31">
        <f t="shared" si="72"/>
        <v>970.827</v>
      </c>
      <c r="AN203" s="34">
        <f t="shared" si="86"/>
        <v>970.827</v>
      </c>
      <c r="AO203" s="35">
        <f t="shared" si="87"/>
        <v>12797.073</v>
      </c>
      <c r="AP203" s="36">
        <f t="shared" si="75"/>
        <v>11450.779999999999</v>
      </c>
      <c r="AQ203" s="34">
        <f t="shared" si="76"/>
        <v>9224.5333333333328</v>
      </c>
      <c r="AR203" s="34">
        <f t="shared" si="77"/>
        <v>1550.3799999999999</v>
      </c>
      <c r="AS203" s="36"/>
      <c r="AT203" s="36"/>
      <c r="AU203" s="36"/>
      <c r="AV203" s="116"/>
      <c r="AW203" s="116"/>
      <c r="AX203" s="116"/>
      <c r="AY203" s="34">
        <f t="shared" si="78"/>
        <v>3100.7599999999998</v>
      </c>
      <c r="AZ203" s="31">
        <v>0.26</v>
      </c>
      <c r="BA203" s="31">
        <f t="shared" si="79"/>
        <v>970.827</v>
      </c>
      <c r="BB203" s="32">
        <f t="shared" si="80"/>
        <v>1941.654</v>
      </c>
      <c r="BC203" s="37">
        <f t="shared" si="81"/>
        <v>74.679000000000002</v>
      </c>
      <c r="BD203" s="37">
        <f t="shared" si="81"/>
        <v>149.358</v>
      </c>
      <c r="BE203" s="34">
        <f t="shared" si="88"/>
        <v>413.03699999999998</v>
      </c>
      <c r="BF203" s="34">
        <f t="shared" si="89"/>
        <v>1126.3191999999999</v>
      </c>
      <c r="BG203" s="59" t="s">
        <v>1653</v>
      </c>
      <c r="BH203" s="59" t="s">
        <v>1654</v>
      </c>
      <c r="BI203" s="38">
        <v>2224362794</v>
      </c>
      <c r="BJ203" s="39" t="s">
        <v>1655</v>
      </c>
      <c r="BK203" s="39" t="s">
        <v>1655</v>
      </c>
      <c r="BL203" s="39" t="s">
        <v>1656</v>
      </c>
      <c r="BM203" s="102" t="s">
        <v>1657</v>
      </c>
      <c r="BN203" s="39"/>
    </row>
    <row r="204" spans="1:66" ht="39.950000000000003" hidden="1" customHeight="1" x14ac:dyDescent="0.25">
      <c r="A204" s="122">
        <v>92700194</v>
      </c>
      <c r="B204" s="92">
        <v>49</v>
      </c>
      <c r="C204" s="44" t="s">
        <v>1658</v>
      </c>
      <c r="D204" s="77" t="s">
        <v>1660</v>
      </c>
      <c r="E204" s="39" t="s">
        <v>1650</v>
      </c>
      <c r="F204" s="29" t="s">
        <v>1651</v>
      </c>
      <c r="G204" s="29" t="s">
        <v>1652</v>
      </c>
      <c r="H204" s="88" t="s">
        <v>84</v>
      </c>
      <c r="I204" s="40" t="s">
        <v>931</v>
      </c>
      <c r="J204" s="40" t="s">
        <v>450</v>
      </c>
      <c r="K204" s="40" t="s">
        <v>322</v>
      </c>
      <c r="L204" s="29" t="s">
        <v>320</v>
      </c>
      <c r="M204" s="96"/>
      <c r="N204" s="96">
        <v>45673</v>
      </c>
      <c r="O204" s="105"/>
      <c r="P204" s="29"/>
      <c r="Q204" s="116" t="s">
        <v>69</v>
      </c>
      <c r="R204" s="116"/>
      <c r="S204" s="97" t="s">
        <v>148</v>
      </c>
      <c r="T204" s="38">
        <v>12</v>
      </c>
      <c r="U204" s="38" t="s">
        <v>175</v>
      </c>
      <c r="V204" s="47">
        <f t="shared" ca="1" si="69"/>
        <v>27</v>
      </c>
      <c r="W204" s="98"/>
      <c r="X204" s="77">
        <v>185</v>
      </c>
      <c r="Y204" s="31">
        <f t="shared" si="70"/>
        <v>248.92999999999998</v>
      </c>
      <c r="Z204" s="31">
        <f t="shared" si="71"/>
        <v>3733.95</v>
      </c>
      <c r="AA204" s="32">
        <v>7467.9</v>
      </c>
      <c r="AB204" s="32">
        <v>284</v>
      </c>
      <c r="AC204" s="77"/>
      <c r="AD204" s="31"/>
      <c r="AE204" s="31"/>
      <c r="AF204" s="32"/>
      <c r="AG204" s="32"/>
      <c r="AH204" s="77"/>
      <c r="AI204" s="31">
        <v>6016</v>
      </c>
      <c r="AJ204" s="33">
        <f t="shared" ref="AJ204:AJ205" si="90">SUM(AA204:AI204)</f>
        <v>13767.9</v>
      </c>
      <c r="AK204" s="54">
        <v>0</v>
      </c>
      <c r="AL204" s="31">
        <f t="shared" si="72"/>
        <v>485.4135</v>
      </c>
      <c r="AM204" s="31">
        <f t="shared" si="72"/>
        <v>970.827</v>
      </c>
      <c r="AN204" s="34">
        <f t="shared" si="86"/>
        <v>970.827</v>
      </c>
      <c r="AO204" s="35">
        <f t="shared" si="87"/>
        <v>12797.073</v>
      </c>
      <c r="AP204" s="36">
        <f t="shared" si="75"/>
        <v>11450.779999999999</v>
      </c>
      <c r="AQ204" s="34">
        <f t="shared" si="76"/>
        <v>9224.5333333333328</v>
      </c>
      <c r="AR204" s="34">
        <f t="shared" si="77"/>
        <v>1550.3799999999999</v>
      </c>
      <c r="AS204" s="36"/>
      <c r="AT204" s="36"/>
      <c r="AU204" s="36"/>
      <c r="AV204" s="116"/>
      <c r="AW204" s="116"/>
      <c r="AX204" s="116"/>
      <c r="AY204" s="34">
        <f t="shared" si="78"/>
        <v>3100.7599999999998</v>
      </c>
      <c r="AZ204" s="31">
        <v>0.26</v>
      </c>
      <c r="BA204" s="31">
        <f t="shared" si="79"/>
        <v>970.827</v>
      </c>
      <c r="BB204" s="32">
        <f t="shared" si="80"/>
        <v>1941.654</v>
      </c>
      <c r="BC204" s="37">
        <f t="shared" si="81"/>
        <v>74.679000000000002</v>
      </c>
      <c r="BD204" s="37">
        <f t="shared" si="81"/>
        <v>149.358</v>
      </c>
      <c r="BE204" s="34">
        <f t="shared" si="88"/>
        <v>413.03699999999998</v>
      </c>
      <c r="BF204" s="34">
        <f t="shared" si="89"/>
        <v>1126.3191999999999</v>
      </c>
      <c r="BG204" s="59" t="s">
        <v>1653</v>
      </c>
      <c r="BH204" s="59" t="s">
        <v>1654</v>
      </c>
      <c r="BI204" s="38">
        <v>2224362794</v>
      </c>
      <c r="BJ204" s="39" t="s">
        <v>1655</v>
      </c>
      <c r="BK204" s="39" t="s">
        <v>1655</v>
      </c>
      <c r="BL204" s="39" t="s">
        <v>1656</v>
      </c>
      <c r="BM204" s="102" t="s">
        <v>1657</v>
      </c>
      <c r="BN204" s="39"/>
    </row>
    <row r="205" spans="1:66" ht="39.950000000000003" customHeight="1" x14ac:dyDescent="0.25">
      <c r="A205" s="122">
        <v>92700194</v>
      </c>
      <c r="B205" s="42">
        <v>43</v>
      </c>
      <c r="C205" s="77" t="s">
        <v>1660</v>
      </c>
      <c r="D205" s="38"/>
      <c r="E205" s="39" t="s">
        <v>1650</v>
      </c>
      <c r="F205" s="29" t="s">
        <v>1651</v>
      </c>
      <c r="G205" s="29" t="s">
        <v>1652</v>
      </c>
      <c r="H205" s="48" t="s">
        <v>84</v>
      </c>
      <c r="I205" s="40" t="s">
        <v>1661</v>
      </c>
      <c r="J205" s="40" t="s">
        <v>130</v>
      </c>
      <c r="K205" s="40" t="s">
        <v>129</v>
      </c>
      <c r="L205" s="29" t="s">
        <v>329</v>
      </c>
      <c r="M205" s="96"/>
      <c r="N205" s="96">
        <v>45901</v>
      </c>
      <c r="O205" s="105"/>
      <c r="P205" s="29"/>
      <c r="Q205" s="116" t="s">
        <v>69</v>
      </c>
      <c r="R205" s="116"/>
      <c r="S205" s="97" t="s">
        <v>148</v>
      </c>
      <c r="T205" s="38">
        <v>12</v>
      </c>
      <c r="U205" s="38" t="s">
        <v>175</v>
      </c>
      <c r="V205" s="47">
        <f t="shared" ca="1" si="69"/>
        <v>27</v>
      </c>
      <c r="W205" s="98"/>
      <c r="X205" s="47">
        <v>184</v>
      </c>
      <c r="Y205" s="31">
        <f t="shared" si="70"/>
        <v>248.92999999999998</v>
      </c>
      <c r="Z205" s="31">
        <f t="shared" si="71"/>
        <v>3733.95</v>
      </c>
      <c r="AA205" s="32">
        <v>7467.9</v>
      </c>
      <c r="AB205" s="32">
        <v>284</v>
      </c>
      <c r="AC205" s="77"/>
      <c r="AD205" s="31"/>
      <c r="AE205" s="31"/>
      <c r="AF205" s="32"/>
      <c r="AG205" s="32"/>
      <c r="AH205" s="77"/>
      <c r="AI205" s="31">
        <v>6016</v>
      </c>
      <c r="AJ205" s="33">
        <f t="shared" si="90"/>
        <v>13767.9</v>
      </c>
      <c r="AK205" s="54">
        <v>0</v>
      </c>
      <c r="AL205" s="31">
        <f t="shared" si="72"/>
        <v>485.4135</v>
      </c>
      <c r="AM205" s="31">
        <f t="shared" si="72"/>
        <v>970.827</v>
      </c>
      <c r="AN205" s="34">
        <f t="shared" si="86"/>
        <v>970.827</v>
      </c>
      <c r="AO205" s="35">
        <f t="shared" si="87"/>
        <v>12797.073</v>
      </c>
      <c r="AP205" s="36">
        <f t="shared" si="75"/>
        <v>11450.779999999999</v>
      </c>
      <c r="AQ205" s="34">
        <f t="shared" si="76"/>
        <v>9224.5333333333328</v>
      </c>
      <c r="AR205" s="34">
        <f t="shared" si="77"/>
        <v>1550.3799999999999</v>
      </c>
      <c r="AS205" s="36"/>
      <c r="AT205" s="36"/>
      <c r="AU205" s="36"/>
      <c r="AV205" s="116"/>
      <c r="AW205" s="116"/>
      <c r="AX205" s="116"/>
      <c r="AY205" s="34">
        <f t="shared" si="78"/>
        <v>3100.7599999999998</v>
      </c>
      <c r="AZ205" s="31">
        <v>0.26</v>
      </c>
      <c r="BA205" s="31">
        <f t="shared" si="79"/>
        <v>970.827</v>
      </c>
      <c r="BB205" s="32">
        <f t="shared" si="80"/>
        <v>1941.654</v>
      </c>
      <c r="BC205" s="37">
        <f t="shared" si="81"/>
        <v>74.679000000000002</v>
      </c>
      <c r="BD205" s="37">
        <f t="shared" si="81"/>
        <v>149.358</v>
      </c>
      <c r="BE205" s="34">
        <f t="shared" si="88"/>
        <v>413.03699999999998</v>
      </c>
      <c r="BF205" s="34">
        <f t="shared" si="89"/>
        <v>1126.3191999999999</v>
      </c>
      <c r="BG205" s="59" t="s">
        <v>1653</v>
      </c>
      <c r="BH205" s="59" t="s">
        <v>1654</v>
      </c>
      <c r="BI205" s="38">
        <v>2224362794</v>
      </c>
      <c r="BJ205" s="39" t="s">
        <v>1655</v>
      </c>
      <c r="BK205" s="39" t="s">
        <v>1655</v>
      </c>
      <c r="BL205" s="39" t="s">
        <v>1656</v>
      </c>
      <c r="BM205" s="102" t="s">
        <v>1657</v>
      </c>
      <c r="BN205" s="39"/>
    </row>
    <row r="206" spans="1:66" ht="39.950000000000003" hidden="1" customHeight="1" x14ac:dyDescent="0.25">
      <c r="A206" s="122">
        <v>92700195</v>
      </c>
      <c r="B206" s="92">
        <v>74</v>
      </c>
      <c r="C206" s="44" t="s">
        <v>1662</v>
      </c>
      <c r="D206" s="102" t="s">
        <v>1663</v>
      </c>
      <c r="E206" s="39" t="s">
        <v>1664</v>
      </c>
      <c r="F206" s="29" t="s">
        <v>1665</v>
      </c>
      <c r="G206" s="29" t="s">
        <v>1666</v>
      </c>
      <c r="H206" s="88" t="s">
        <v>315</v>
      </c>
      <c r="I206" s="40" t="s">
        <v>316</v>
      </c>
      <c r="J206" s="40" t="s">
        <v>1397</v>
      </c>
      <c r="K206" s="40" t="s">
        <v>1534</v>
      </c>
      <c r="L206" s="29" t="s">
        <v>11</v>
      </c>
      <c r="M206" s="103">
        <v>45383</v>
      </c>
      <c r="N206" s="116"/>
      <c r="O206" s="105">
        <v>45639</v>
      </c>
      <c r="P206" s="29"/>
      <c r="Q206" s="116" t="s">
        <v>69</v>
      </c>
      <c r="R206" s="116"/>
      <c r="S206" s="97" t="s">
        <v>70</v>
      </c>
      <c r="T206" s="38">
        <v>11</v>
      </c>
      <c r="U206" s="38" t="s">
        <v>88</v>
      </c>
      <c r="V206" s="47">
        <f t="shared" ca="1" si="69"/>
        <v>34</v>
      </c>
      <c r="W206" s="98"/>
      <c r="X206" s="77">
        <v>185</v>
      </c>
      <c r="Y206" s="31">
        <f t="shared" si="70"/>
        <v>248.92999999999998</v>
      </c>
      <c r="Z206" s="31">
        <f t="shared" si="71"/>
        <v>3733.95</v>
      </c>
      <c r="AA206" s="32">
        <v>7467.9</v>
      </c>
      <c r="AB206" s="32">
        <v>284</v>
      </c>
      <c r="AC206" s="77"/>
      <c r="AD206" s="31"/>
      <c r="AE206" s="31"/>
      <c r="AF206" s="32"/>
      <c r="AG206" s="32"/>
      <c r="AH206" s="77"/>
      <c r="AI206" s="31">
        <v>10000</v>
      </c>
      <c r="AJ206" s="33">
        <f t="shared" ref="AJ206:AJ215" si="91">SUM(AA206:AI206)</f>
        <v>17751.900000000001</v>
      </c>
      <c r="AK206" s="54">
        <v>0</v>
      </c>
      <c r="AL206" s="31">
        <f t="shared" si="72"/>
        <v>485.4135</v>
      </c>
      <c r="AM206" s="31">
        <f t="shared" si="72"/>
        <v>970.827</v>
      </c>
      <c r="AN206" s="34">
        <f t="shared" si="86"/>
        <v>970.827</v>
      </c>
      <c r="AO206" s="35">
        <f t="shared" si="87"/>
        <v>16781.073</v>
      </c>
      <c r="AP206" s="36">
        <f t="shared" si="75"/>
        <v>11450.779999999999</v>
      </c>
      <c r="AQ206" s="34">
        <f t="shared" si="76"/>
        <v>15333.333333333332</v>
      </c>
      <c r="AR206" s="34">
        <f t="shared" si="77"/>
        <v>1550.3799999999999</v>
      </c>
      <c r="AS206" s="36"/>
      <c r="AT206" s="36"/>
      <c r="AU206" s="36"/>
      <c r="AV206" s="116"/>
      <c r="AW206" s="116"/>
      <c r="AX206" s="116"/>
      <c r="AY206" s="34">
        <f t="shared" si="78"/>
        <v>3100.7599999999998</v>
      </c>
      <c r="AZ206" s="31">
        <v>0.26</v>
      </c>
      <c r="BA206" s="31">
        <f t="shared" si="79"/>
        <v>970.827</v>
      </c>
      <c r="BB206" s="32">
        <f t="shared" si="80"/>
        <v>1941.654</v>
      </c>
      <c r="BC206" s="37">
        <f t="shared" si="81"/>
        <v>74.679000000000002</v>
      </c>
      <c r="BD206" s="37">
        <f t="shared" si="81"/>
        <v>149.358</v>
      </c>
      <c r="BE206" s="34">
        <f t="shared" si="88"/>
        <v>532.55700000000002</v>
      </c>
      <c r="BF206" s="34">
        <f t="shared" si="89"/>
        <v>1429.1032</v>
      </c>
      <c r="BG206" s="59" t="s">
        <v>1667</v>
      </c>
      <c r="BH206" s="59" t="s">
        <v>1668</v>
      </c>
      <c r="BI206" s="38">
        <v>2212677636</v>
      </c>
      <c r="BJ206" s="39" t="s">
        <v>1669</v>
      </c>
      <c r="BK206" s="39" t="s">
        <v>1669</v>
      </c>
      <c r="BL206" s="39" t="s">
        <v>1670</v>
      </c>
      <c r="BM206" s="102" t="s">
        <v>1671</v>
      </c>
      <c r="BN206" s="39"/>
    </row>
    <row r="207" spans="1:66" ht="39.950000000000003" hidden="1" customHeight="1" x14ac:dyDescent="0.25">
      <c r="A207" s="122">
        <v>92700196</v>
      </c>
      <c r="B207" s="92">
        <v>45</v>
      </c>
      <c r="C207" s="44" t="s">
        <v>1672</v>
      </c>
      <c r="D207" s="44" t="s">
        <v>1673</v>
      </c>
      <c r="E207" s="39" t="s">
        <v>1674</v>
      </c>
      <c r="F207" s="29" t="s">
        <v>1675</v>
      </c>
      <c r="G207" s="29" t="s">
        <v>1676</v>
      </c>
      <c r="H207" s="88" t="s">
        <v>315</v>
      </c>
      <c r="I207" s="40" t="s">
        <v>316</v>
      </c>
      <c r="J207" s="40" t="s">
        <v>491</v>
      </c>
      <c r="K207" s="117" t="s">
        <v>1556</v>
      </c>
      <c r="L207" s="29" t="s">
        <v>11</v>
      </c>
      <c r="M207" s="103">
        <v>45398</v>
      </c>
      <c r="N207" s="116"/>
      <c r="O207" s="105">
        <v>45657</v>
      </c>
      <c r="P207" s="29"/>
      <c r="Q207" s="116" t="s">
        <v>69</v>
      </c>
      <c r="R207" s="116"/>
      <c r="S207" s="97" t="s">
        <v>148</v>
      </c>
      <c r="T207" s="38">
        <v>2</v>
      </c>
      <c r="U207" s="38" t="s">
        <v>463</v>
      </c>
      <c r="V207" s="47">
        <f t="shared" ca="1" si="69"/>
        <v>40</v>
      </c>
      <c r="W207" s="98"/>
      <c r="X207" s="77">
        <v>169</v>
      </c>
      <c r="Y207" s="31">
        <f t="shared" si="70"/>
        <v>248.92999999999998</v>
      </c>
      <c r="Z207" s="31">
        <f t="shared" si="71"/>
        <v>3733.95</v>
      </c>
      <c r="AA207" s="32">
        <v>7467.9</v>
      </c>
      <c r="AB207" s="32">
        <v>284</v>
      </c>
      <c r="AC207" s="77"/>
      <c r="AD207" s="31"/>
      <c r="AE207" s="31"/>
      <c r="AF207" s="32"/>
      <c r="AG207" s="32"/>
      <c r="AH207" s="77"/>
      <c r="AI207" s="31">
        <v>6016</v>
      </c>
      <c r="AJ207" s="33">
        <f t="shared" si="91"/>
        <v>13767.9</v>
      </c>
      <c r="AK207" s="54">
        <v>0</v>
      </c>
      <c r="AL207" s="31">
        <f t="shared" si="72"/>
        <v>485.4135</v>
      </c>
      <c r="AM207" s="31">
        <f t="shared" si="72"/>
        <v>970.827</v>
      </c>
      <c r="AN207" s="34">
        <f t="shared" si="86"/>
        <v>970.827</v>
      </c>
      <c r="AO207" s="35">
        <f t="shared" si="87"/>
        <v>12797.073</v>
      </c>
      <c r="AP207" s="36">
        <f t="shared" si="75"/>
        <v>11450.779999999999</v>
      </c>
      <c r="AQ207" s="34">
        <f t="shared" si="76"/>
        <v>9224.5333333333328</v>
      </c>
      <c r="AR207" s="34">
        <f t="shared" si="77"/>
        <v>1550.3799999999999</v>
      </c>
      <c r="AS207" s="36"/>
      <c r="AT207" s="36"/>
      <c r="AU207" s="36"/>
      <c r="AV207" s="116"/>
      <c r="AW207" s="116"/>
      <c r="AX207" s="116"/>
      <c r="AY207" s="34">
        <f t="shared" si="78"/>
        <v>3100.7599999999998</v>
      </c>
      <c r="AZ207" s="31">
        <v>0.26</v>
      </c>
      <c r="BA207" s="31">
        <f t="shared" si="79"/>
        <v>970.827</v>
      </c>
      <c r="BB207" s="32">
        <f t="shared" si="80"/>
        <v>1941.654</v>
      </c>
      <c r="BC207" s="37">
        <f t="shared" si="81"/>
        <v>74.679000000000002</v>
      </c>
      <c r="BD207" s="37">
        <f t="shared" si="81"/>
        <v>149.358</v>
      </c>
      <c r="BE207" s="34">
        <f t="shared" si="88"/>
        <v>413.03699999999998</v>
      </c>
      <c r="BF207" s="34">
        <f t="shared" si="89"/>
        <v>1126.3191999999999</v>
      </c>
      <c r="BG207" s="29"/>
      <c r="BH207" s="59" t="s">
        <v>1677</v>
      </c>
      <c r="BI207" s="38">
        <v>2381322463</v>
      </c>
      <c r="BJ207" s="39" t="s">
        <v>1678</v>
      </c>
      <c r="BK207" s="39" t="s">
        <v>1678</v>
      </c>
      <c r="BL207" s="39" t="s">
        <v>1679</v>
      </c>
      <c r="BM207" s="102" t="s">
        <v>1680</v>
      </c>
      <c r="BN207" s="39"/>
    </row>
    <row r="208" spans="1:66" ht="39.950000000000003" hidden="1" customHeight="1" x14ac:dyDescent="0.25">
      <c r="A208" s="122">
        <v>92700197</v>
      </c>
      <c r="B208" s="92">
        <v>60</v>
      </c>
      <c r="C208" s="44" t="s">
        <v>1681</v>
      </c>
      <c r="D208" s="44" t="s">
        <v>1682</v>
      </c>
      <c r="E208" s="39" t="s">
        <v>1683</v>
      </c>
      <c r="F208" s="29" t="s">
        <v>1684</v>
      </c>
      <c r="G208" s="29" t="s">
        <v>1685</v>
      </c>
      <c r="H208" s="88" t="s">
        <v>315</v>
      </c>
      <c r="I208" s="40" t="s">
        <v>316</v>
      </c>
      <c r="J208" s="40" t="s">
        <v>68</v>
      </c>
      <c r="K208" s="40" t="s">
        <v>996</v>
      </c>
      <c r="L208" s="29" t="s">
        <v>11</v>
      </c>
      <c r="M208" s="103">
        <v>45505</v>
      </c>
      <c r="N208" s="116"/>
      <c r="O208" s="105">
        <v>45565</v>
      </c>
      <c r="P208" s="29"/>
      <c r="Q208" s="116" t="s">
        <v>69</v>
      </c>
      <c r="R208" s="116"/>
      <c r="S208" s="97" t="s">
        <v>148</v>
      </c>
      <c r="T208" s="38">
        <v>30</v>
      </c>
      <c r="U208" s="38" t="s">
        <v>305</v>
      </c>
      <c r="V208" s="47">
        <f t="shared" ca="1" si="69"/>
        <v>40</v>
      </c>
      <c r="W208" s="98"/>
      <c r="X208" s="77">
        <v>190</v>
      </c>
      <c r="Y208" s="31">
        <f>AA208/30</f>
        <v>248.92999999999998</v>
      </c>
      <c r="Z208" s="31">
        <f>AA208/2</f>
        <v>3733.95</v>
      </c>
      <c r="AA208" s="32">
        <v>7467.9</v>
      </c>
      <c r="AB208" s="32">
        <v>284</v>
      </c>
      <c r="AC208" s="77"/>
      <c r="AD208" s="31"/>
      <c r="AE208" s="31"/>
      <c r="AF208" s="32"/>
      <c r="AG208" s="32"/>
      <c r="AH208" s="77"/>
      <c r="AI208" s="31">
        <v>10000</v>
      </c>
      <c r="AJ208" s="33">
        <f t="shared" si="91"/>
        <v>17751.900000000001</v>
      </c>
      <c r="AK208" s="54">
        <v>0</v>
      </c>
      <c r="AL208" s="31">
        <f t="shared" si="72"/>
        <v>485.4135</v>
      </c>
      <c r="AM208" s="31">
        <f t="shared" si="72"/>
        <v>970.827</v>
      </c>
      <c r="AN208" s="34">
        <f>AK208+AM208</f>
        <v>970.827</v>
      </c>
      <c r="AO208" s="35">
        <f>AJ208-AN208</f>
        <v>16781.073</v>
      </c>
      <c r="AP208" s="36">
        <f t="shared" si="75"/>
        <v>11450.779999999999</v>
      </c>
      <c r="AQ208" s="34">
        <f t="shared" si="76"/>
        <v>15333.333333333332</v>
      </c>
      <c r="AR208" s="34">
        <f t="shared" si="77"/>
        <v>1550.3799999999999</v>
      </c>
      <c r="AS208" s="36"/>
      <c r="AT208" s="36"/>
      <c r="AU208" s="36"/>
      <c r="AV208" s="116"/>
      <c r="AW208" s="116"/>
      <c r="AX208" s="116"/>
      <c r="AY208" s="34">
        <f t="shared" si="78"/>
        <v>3100.7599999999998</v>
      </c>
      <c r="AZ208" s="31">
        <v>0.26</v>
      </c>
      <c r="BA208" s="31">
        <f t="shared" si="79"/>
        <v>970.827</v>
      </c>
      <c r="BB208" s="32">
        <f t="shared" si="80"/>
        <v>1941.654</v>
      </c>
      <c r="BC208" s="37">
        <f t="shared" si="81"/>
        <v>74.679000000000002</v>
      </c>
      <c r="BD208" s="37">
        <f t="shared" si="81"/>
        <v>149.358</v>
      </c>
      <c r="BE208" s="34">
        <f>AJ208*3%</f>
        <v>532.55700000000002</v>
      </c>
      <c r="BF208" s="34">
        <f>(AJ208+AP208+AQ208+AY208)*3%</f>
        <v>1429.1032</v>
      </c>
      <c r="BG208" s="29"/>
      <c r="BH208" s="59" t="s">
        <v>1686</v>
      </c>
      <c r="BI208" s="38">
        <v>2331108915</v>
      </c>
      <c r="BJ208" s="39" t="s">
        <v>1687</v>
      </c>
      <c r="BK208" s="39" t="s">
        <v>1688</v>
      </c>
      <c r="BL208" s="39" t="s">
        <v>1689</v>
      </c>
      <c r="BM208" s="102" t="s">
        <v>1690</v>
      </c>
      <c r="BN208" s="39"/>
    </row>
    <row r="209" spans="1:66" ht="39.950000000000003" hidden="1" customHeight="1" x14ac:dyDescent="0.25">
      <c r="A209" s="122">
        <v>92700198</v>
      </c>
      <c r="B209" s="92">
        <v>60</v>
      </c>
      <c r="C209" s="44" t="s">
        <v>1691</v>
      </c>
      <c r="D209" s="44" t="s">
        <v>1692</v>
      </c>
      <c r="E209" s="39" t="s">
        <v>1693</v>
      </c>
      <c r="F209" s="29" t="s">
        <v>1694</v>
      </c>
      <c r="G209" s="29" t="s">
        <v>1695</v>
      </c>
      <c r="H209" s="88" t="s">
        <v>315</v>
      </c>
      <c r="I209" s="40" t="s">
        <v>316</v>
      </c>
      <c r="J209" s="40" t="s">
        <v>68</v>
      </c>
      <c r="K209" s="40" t="s">
        <v>996</v>
      </c>
      <c r="L209" s="29" t="s">
        <v>11</v>
      </c>
      <c r="M209" s="103">
        <v>45581</v>
      </c>
      <c r="N209" s="116"/>
      <c r="O209" s="105">
        <v>45657</v>
      </c>
      <c r="P209" s="29"/>
      <c r="Q209" s="116" t="s">
        <v>69</v>
      </c>
      <c r="R209" s="116"/>
      <c r="S209" s="97" t="s">
        <v>148</v>
      </c>
      <c r="T209" s="38">
        <v>30</v>
      </c>
      <c r="U209" s="38" t="s">
        <v>305</v>
      </c>
      <c r="V209" s="47">
        <f t="shared" ca="1" si="69"/>
        <v>37</v>
      </c>
      <c r="W209" s="98"/>
      <c r="X209" s="77">
        <v>190</v>
      </c>
      <c r="Y209" s="31">
        <f t="shared" ref="Y209:Y239" si="92">AA209/30</f>
        <v>492.46</v>
      </c>
      <c r="Z209" s="31">
        <f>AA209/2</f>
        <v>7386.9</v>
      </c>
      <c r="AA209" s="32">
        <v>14773.8</v>
      </c>
      <c r="AB209" s="32">
        <v>284</v>
      </c>
      <c r="AC209" s="77"/>
      <c r="AD209" s="31"/>
      <c r="AE209" s="31"/>
      <c r="AF209" s="32"/>
      <c r="AG209" s="32"/>
      <c r="AH209" s="77"/>
      <c r="AI209" s="31">
        <v>10000</v>
      </c>
      <c r="AJ209" s="33">
        <f t="shared" si="91"/>
        <v>25057.8</v>
      </c>
      <c r="AK209" s="54">
        <v>0</v>
      </c>
      <c r="AL209" s="31">
        <f t="shared" si="72"/>
        <v>960.29700000000003</v>
      </c>
      <c r="AM209" s="31">
        <f t="shared" si="72"/>
        <v>1920.5940000000001</v>
      </c>
      <c r="AN209" s="34">
        <f t="shared" ref="AN209:AN212" si="93">AK209+AM209</f>
        <v>1920.5940000000001</v>
      </c>
      <c r="AO209" s="35">
        <f t="shared" ref="AO209:AO212" si="94">AJ209-AN209</f>
        <v>23137.205999999998</v>
      </c>
      <c r="AP209" s="36">
        <f t="shared" si="75"/>
        <v>22653.16</v>
      </c>
      <c r="AQ209" s="34">
        <f t="shared" si="76"/>
        <v>15333.333333333332</v>
      </c>
      <c r="AR209" s="34">
        <f t="shared" si="77"/>
        <v>3011.5599999999995</v>
      </c>
      <c r="AS209" s="36"/>
      <c r="AT209" s="36"/>
      <c r="AU209" s="36"/>
      <c r="AV209" s="116"/>
      <c r="AW209" s="116"/>
      <c r="AX209" s="116"/>
      <c r="AY209" s="34">
        <f t="shared" si="78"/>
        <v>6023.119999999999</v>
      </c>
      <c r="AZ209" s="31">
        <v>0.26</v>
      </c>
      <c r="BA209" s="31">
        <f t="shared" si="79"/>
        <v>1920.5940000000001</v>
      </c>
      <c r="BB209" s="32">
        <f t="shared" si="80"/>
        <v>3841.1880000000001</v>
      </c>
      <c r="BC209" s="37">
        <f t="shared" si="81"/>
        <v>147.738</v>
      </c>
      <c r="BD209" s="37">
        <f t="shared" si="81"/>
        <v>295.476</v>
      </c>
      <c r="BE209" s="34">
        <f t="shared" ref="BE209:BE258" si="95">AJ209*3%</f>
        <v>751.73399999999992</v>
      </c>
      <c r="BF209" s="34">
        <f t="shared" ref="BF209:BF260" si="96">(AJ209+AP209+AQ209+AY209)*3%</f>
        <v>2072.0223999999998</v>
      </c>
      <c r="BG209" s="29"/>
      <c r="BH209" s="59" t="s">
        <v>1696</v>
      </c>
      <c r="BI209" s="38">
        <v>2229277793</v>
      </c>
      <c r="BJ209" s="39" t="s">
        <v>1697</v>
      </c>
      <c r="BK209" s="39" t="s">
        <v>1698</v>
      </c>
      <c r="BL209" s="39" t="s">
        <v>1699</v>
      </c>
      <c r="BM209" s="102" t="s">
        <v>1700</v>
      </c>
      <c r="BN209" s="39"/>
    </row>
    <row r="210" spans="1:66" ht="25.5" x14ac:dyDescent="0.25">
      <c r="A210" s="122">
        <v>92700199</v>
      </c>
      <c r="B210" s="42">
        <v>11</v>
      </c>
      <c r="C210" s="44" t="s">
        <v>1701</v>
      </c>
      <c r="D210" s="102"/>
      <c r="E210" s="39" t="s">
        <v>1702</v>
      </c>
      <c r="F210" s="29" t="s">
        <v>1703</v>
      </c>
      <c r="G210" s="29" t="s">
        <v>1704</v>
      </c>
      <c r="H210" s="48" t="s">
        <v>349</v>
      </c>
      <c r="I210" s="40" t="s">
        <v>1705</v>
      </c>
      <c r="J210" s="117" t="s">
        <v>147</v>
      </c>
      <c r="K210" s="117" t="s">
        <v>147</v>
      </c>
      <c r="L210" s="29" t="s">
        <v>329</v>
      </c>
      <c r="M210" s="103">
        <v>45640</v>
      </c>
      <c r="N210" s="116"/>
      <c r="O210" s="105"/>
      <c r="P210" s="29"/>
      <c r="Q210" s="116" t="s">
        <v>69</v>
      </c>
      <c r="R210" s="116"/>
      <c r="S210" s="97" t="s">
        <v>148</v>
      </c>
      <c r="T210" s="38">
        <v>9</v>
      </c>
      <c r="U210" s="38" t="s">
        <v>243</v>
      </c>
      <c r="V210" s="47">
        <f t="shared" ca="1" si="69"/>
        <v>42</v>
      </c>
      <c r="W210" s="97"/>
      <c r="X210" s="47">
        <v>167</v>
      </c>
      <c r="Y210" s="31">
        <f t="shared" si="92"/>
        <v>734.99</v>
      </c>
      <c r="Z210" s="31">
        <f t="shared" ref="Z210:Z239" si="97">AA210/2</f>
        <v>11024.85</v>
      </c>
      <c r="AA210" s="32">
        <v>22049.7</v>
      </c>
      <c r="AB210" s="32">
        <v>270</v>
      </c>
      <c r="AC210" s="77"/>
      <c r="AD210" s="31"/>
      <c r="AE210" s="31"/>
      <c r="AF210" s="32"/>
      <c r="AG210" s="32"/>
      <c r="AH210" s="77"/>
      <c r="AI210" s="31">
        <v>39180</v>
      </c>
      <c r="AJ210" s="33">
        <f t="shared" si="91"/>
        <v>61499.7</v>
      </c>
      <c r="AK210" s="54">
        <v>0</v>
      </c>
      <c r="AL210" s="31">
        <f t="shared" si="72"/>
        <v>1433.2305000000001</v>
      </c>
      <c r="AM210" s="31">
        <f t="shared" si="72"/>
        <v>2866.4610000000002</v>
      </c>
      <c r="AN210" s="34">
        <f t="shared" si="93"/>
        <v>2866.4610000000002</v>
      </c>
      <c r="AO210" s="35">
        <f t="shared" si="94"/>
        <v>58633.238999999994</v>
      </c>
      <c r="AP210" s="36">
        <f t="shared" si="75"/>
        <v>33809.54</v>
      </c>
      <c r="AQ210" s="34">
        <f t="shared" si="76"/>
        <v>60076</v>
      </c>
      <c r="AR210" s="34">
        <f t="shared" si="77"/>
        <v>4463.9400000000005</v>
      </c>
      <c r="AS210" s="36"/>
      <c r="AT210" s="36"/>
      <c r="AU210" s="36"/>
      <c r="AV210" s="116"/>
      <c r="AW210" s="116"/>
      <c r="AX210" s="116"/>
      <c r="AY210" s="34">
        <f t="shared" si="78"/>
        <v>8927.880000000001</v>
      </c>
      <c r="AZ210" s="31">
        <v>0.26</v>
      </c>
      <c r="BA210" s="31">
        <f t="shared" si="79"/>
        <v>2866.4610000000002</v>
      </c>
      <c r="BB210" s="32">
        <f t="shared" si="80"/>
        <v>5732.9220000000005</v>
      </c>
      <c r="BC210" s="37">
        <f t="shared" si="81"/>
        <v>220.49700000000001</v>
      </c>
      <c r="BD210" s="37">
        <f t="shared" si="81"/>
        <v>440.99400000000003</v>
      </c>
      <c r="BE210" s="34">
        <f t="shared" si="95"/>
        <v>1844.9909999999998</v>
      </c>
      <c r="BF210" s="34">
        <f t="shared" si="96"/>
        <v>4929.3935999999994</v>
      </c>
      <c r="BG210" s="59" t="s">
        <v>1706</v>
      </c>
      <c r="BH210" s="59" t="s">
        <v>1707</v>
      </c>
      <c r="BI210" s="38">
        <v>2382077329</v>
      </c>
      <c r="BJ210" s="39"/>
      <c r="BK210" s="39" t="s">
        <v>1708</v>
      </c>
      <c r="BL210" s="39" t="s">
        <v>1709</v>
      </c>
      <c r="BM210" s="102"/>
      <c r="BN210" s="39"/>
    </row>
    <row r="211" spans="1:66" ht="25.5" x14ac:dyDescent="0.25">
      <c r="A211" s="122">
        <v>92700200</v>
      </c>
      <c r="B211" s="42">
        <v>47</v>
      </c>
      <c r="C211" s="44" t="s">
        <v>1710</v>
      </c>
      <c r="D211" s="102"/>
      <c r="E211" s="39" t="s">
        <v>1711</v>
      </c>
      <c r="F211" s="29" t="s">
        <v>1712</v>
      </c>
      <c r="G211" s="29" t="s">
        <v>1713</v>
      </c>
      <c r="H211" s="48" t="s">
        <v>140</v>
      </c>
      <c r="I211" s="40" t="s">
        <v>906</v>
      </c>
      <c r="J211" s="40" t="s">
        <v>449</v>
      </c>
      <c r="K211" s="40" t="s">
        <v>322</v>
      </c>
      <c r="L211" s="29" t="s">
        <v>329</v>
      </c>
      <c r="M211" s="103">
        <v>45640</v>
      </c>
      <c r="N211" s="116"/>
      <c r="O211" s="105"/>
      <c r="P211" s="29"/>
      <c r="Q211" s="116" t="s">
        <v>69</v>
      </c>
      <c r="R211" s="116"/>
      <c r="S211" s="97" t="s">
        <v>148</v>
      </c>
      <c r="T211" s="38">
        <v>20</v>
      </c>
      <c r="U211" s="38" t="s">
        <v>400</v>
      </c>
      <c r="V211" s="47">
        <f t="shared" ca="1" si="69"/>
        <v>25</v>
      </c>
      <c r="W211" s="97">
        <v>12519700</v>
      </c>
      <c r="X211" s="47">
        <v>186</v>
      </c>
      <c r="Y211" s="31">
        <f t="shared" si="92"/>
        <v>492.46</v>
      </c>
      <c r="Z211" s="31">
        <f t="shared" si="97"/>
        <v>7386.9</v>
      </c>
      <c r="AA211" s="32">
        <v>14773.8</v>
      </c>
      <c r="AB211" s="32">
        <v>284</v>
      </c>
      <c r="AC211" s="77"/>
      <c r="AD211" s="31"/>
      <c r="AE211" s="31"/>
      <c r="AF211" s="32"/>
      <c r="AG211" s="32"/>
      <c r="AH211" s="77"/>
      <c r="AI211" s="31">
        <v>26400</v>
      </c>
      <c r="AJ211" s="33">
        <f t="shared" si="91"/>
        <v>41457.800000000003</v>
      </c>
      <c r="AK211" s="54">
        <v>0</v>
      </c>
      <c r="AL211" s="31">
        <f t="shared" si="72"/>
        <v>960.29700000000003</v>
      </c>
      <c r="AM211" s="31">
        <f t="shared" si="72"/>
        <v>1920.5940000000001</v>
      </c>
      <c r="AN211" s="34">
        <f t="shared" si="93"/>
        <v>1920.5940000000001</v>
      </c>
      <c r="AO211" s="35">
        <f t="shared" si="94"/>
        <v>39537.206000000006</v>
      </c>
      <c r="AP211" s="36">
        <f t="shared" si="75"/>
        <v>22653.16</v>
      </c>
      <c r="AQ211" s="34">
        <f t="shared" si="76"/>
        <v>40480</v>
      </c>
      <c r="AR211" s="34">
        <f t="shared" si="77"/>
        <v>3011.5599999999995</v>
      </c>
      <c r="AS211" s="36"/>
      <c r="AT211" s="36"/>
      <c r="AU211" s="36"/>
      <c r="AV211" s="116"/>
      <c r="AW211" s="116"/>
      <c r="AX211" s="116"/>
      <c r="AY211" s="34">
        <f t="shared" si="78"/>
        <v>6023.119999999999</v>
      </c>
      <c r="AZ211" s="31">
        <v>0.26</v>
      </c>
      <c r="BA211" s="31">
        <f t="shared" si="79"/>
        <v>1920.5940000000001</v>
      </c>
      <c r="BB211" s="32">
        <f t="shared" si="80"/>
        <v>3841.1880000000001</v>
      </c>
      <c r="BC211" s="37">
        <f t="shared" si="81"/>
        <v>147.738</v>
      </c>
      <c r="BD211" s="37">
        <f t="shared" si="81"/>
        <v>295.476</v>
      </c>
      <c r="BE211" s="34">
        <f t="shared" si="95"/>
        <v>1243.7340000000002</v>
      </c>
      <c r="BF211" s="34">
        <f t="shared" si="96"/>
        <v>3318.4223999999999</v>
      </c>
      <c r="BG211" s="59" t="s">
        <v>1714</v>
      </c>
      <c r="BH211" s="59" t="s">
        <v>1715</v>
      </c>
      <c r="BI211" s="38">
        <v>2214253517</v>
      </c>
      <c r="BJ211" s="39" t="s">
        <v>1716</v>
      </c>
      <c r="BK211" s="39" t="s">
        <v>1717</v>
      </c>
      <c r="BL211" s="39" t="s">
        <v>1718</v>
      </c>
      <c r="BM211" s="102" t="s">
        <v>1719</v>
      </c>
      <c r="BN211" s="39"/>
    </row>
    <row r="212" spans="1:66" ht="38.25" hidden="1" x14ac:dyDescent="0.25">
      <c r="A212" s="122">
        <v>92700201</v>
      </c>
      <c r="B212" s="92">
        <v>32</v>
      </c>
      <c r="C212" s="102" t="s">
        <v>1720</v>
      </c>
      <c r="D212" s="102" t="s">
        <v>1721</v>
      </c>
      <c r="E212" s="39" t="s">
        <v>1722</v>
      </c>
      <c r="F212" s="29" t="s">
        <v>1723</v>
      </c>
      <c r="G212" s="29" t="s">
        <v>1724</v>
      </c>
      <c r="H212" s="48" t="s">
        <v>140</v>
      </c>
      <c r="I212" s="30" t="s">
        <v>1725</v>
      </c>
      <c r="J212" s="30" t="s">
        <v>67</v>
      </c>
      <c r="K212" s="30" t="s">
        <v>478</v>
      </c>
      <c r="L212" s="29" t="s">
        <v>11</v>
      </c>
      <c r="M212" s="103">
        <v>45640</v>
      </c>
      <c r="N212" s="116"/>
      <c r="O212" s="103">
        <v>45580</v>
      </c>
      <c r="P212" s="29"/>
      <c r="Q212" s="116" t="s">
        <v>69</v>
      </c>
      <c r="R212" s="116"/>
      <c r="S212" s="97" t="s">
        <v>70</v>
      </c>
      <c r="T212" s="38">
        <v>7</v>
      </c>
      <c r="U212" s="38" t="s">
        <v>88</v>
      </c>
      <c r="V212" s="47">
        <f t="shared" ca="1" si="69"/>
        <v>34</v>
      </c>
      <c r="W212" s="97">
        <v>12519800</v>
      </c>
      <c r="X212" s="38"/>
      <c r="Y212" s="31">
        <f t="shared" si="92"/>
        <v>492.46</v>
      </c>
      <c r="Z212" s="31">
        <f t="shared" si="97"/>
        <v>7386.9</v>
      </c>
      <c r="AA212" s="32">
        <v>14773.8</v>
      </c>
      <c r="AB212" s="32">
        <v>284</v>
      </c>
      <c r="AC212" s="116"/>
      <c r="AD212" s="116"/>
      <c r="AE212" s="116"/>
      <c r="AF212" s="116"/>
      <c r="AG212" s="116"/>
      <c r="AH212" s="116"/>
      <c r="AI212" s="31">
        <v>26400</v>
      </c>
      <c r="AJ212" s="33">
        <f t="shared" si="91"/>
        <v>41457.800000000003</v>
      </c>
      <c r="AK212" s="54">
        <v>0</v>
      </c>
      <c r="AL212" s="31">
        <f t="shared" si="72"/>
        <v>960.29700000000003</v>
      </c>
      <c r="AM212" s="31">
        <f t="shared" si="72"/>
        <v>1920.5940000000001</v>
      </c>
      <c r="AN212" s="34">
        <f t="shared" si="93"/>
        <v>1920.5940000000001</v>
      </c>
      <c r="AO212" s="35">
        <f t="shared" si="94"/>
        <v>39537.206000000006</v>
      </c>
      <c r="AP212" s="36">
        <f t="shared" si="75"/>
        <v>22653.16</v>
      </c>
      <c r="AQ212" s="34">
        <f t="shared" si="76"/>
        <v>40480</v>
      </c>
      <c r="AR212" s="34">
        <f t="shared" si="77"/>
        <v>3011.5599999999995</v>
      </c>
      <c r="AS212" s="36"/>
      <c r="AT212" s="36"/>
      <c r="AU212" s="36"/>
      <c r="AV212" s="116"/>
      <c r="AW212" s="116"/>
      <c r="AX212" s="116"/>
      <c r="AY212" s="34">
        <f t="shared" si="78"/>
        <v>6023.119999999999</v>
      </c>
      <c r="AZ212" s="31">
        <v>0.26</v>
      </c>
      <c r="BA212" s="31">
        <f t="shared" si="79"/>
        <v>1920.5940000000001</v>
      </c>
      <c r="BB212" s="32">
        <f t="shared" si="80"/>
        <v>3841.1880000000001</v>
      </c>
      <c r="BC212" s="37">
        <f t="shared" si="81"/>
        <v>147.738</v>
      </c>
      <c r="BD212" s="37">
        <f t="shared" si="81"/>
        <v>295.476</v>
      </c>
      <c r="BE212" s="34">
        <f t="shared" si="95"/>
        <v>1243.7340000000002</v>
      </c>
      <c r="BF212" s="34">
        <f t="shared" si="96"/>
        <v>3318.4223999999999</v>
      </c>
      <c r="BG212" s="59" t="s">
        <v>1726</v>
      </c>
      <c r="BH212" s="59" t="s">
        <v>1727</v>
      </c>
      <c r="BI212" s="38">
        <v>2223396505</v>
      </c>
      <c r="BJ212" s="39" t="s">
        <v>1728</v>
      </c>
      <c r="BK212" s="39" t="s">
        <v>1729</v>
      </c>
      <c r="BL212" s="39" t="s">
        <v>1730</v>
      </c>
      <c r="BM212" s="102" t="s">
        <v>1731</v>
      </c>
      <c r="BN212" s="39"/>
    </row>
    <row r="213" spans="1:66" ht="25.5" x14ac:dyDescent="0.25">
      <c r="A213" s="122">
        <v>92700202</v>
      </c>
      <c r="B213" s="42">
        <v>23</v>
      </c>
      <c r="C213" s="44" t="s">
        <v>1732</v>
      </c>
      <c r="D213" s="102"/>
      <c r="E213" s="39" t="s">
        <v>1733</v>
      </c>
      <c r="F213" s="29" t="s">
        <v>1734</v>
      </c>
      <c r="G213" s="29" t="s">
        <v>1735</v>
      </c>
      <c r="H213" s="48" t="s">
        <v>140</v>
      </c>
      <c r="I213" s="118" t="s">
        <v>1736</v>
      </c>
      <c r="J213" s="40" t="s">
        <v>399</v>
      </c>
      <c r="K213" s="40"/>
      <c r="L213" s="29" t="s">
        <v>329</v>
      </c>
      <c r="M213" s="103">
        <v>45658</v>
      </c>
      <c r="N213" s="116"/>
      <c r="O213" s="38"/>
      <c r="P213" s="29"/>
      <c r="Q213" s="116" t="s">
        <v>69</v>
      </c>
      <c r="R213" s="116"/>
      <c r="S213" s="97" t="s">
        <v>148</v>
      </c>
      <c r="T213" s="38">
        <v>13</v>
      </c>
      <c r="U213" s="38" t="s">
        <v>175</v>
      </c>
      <c r="V213" s="47">
        <f t="shared" ca="1" si="69"/>
        <v>46</v>
      </c>
      <c r="W213" s="97">
        <v>12519900</v>
      </c>
      <c r="X213" s="47">
        <v>174</v>
      </c>
      <c r="Y213" s="31">
        <f t="shared" si="92"/>
        <v>492.46</v>
      </c>
      <c r="Z213" s="31">
        <f t="shared" si="97"/>
        <v>7386.9</v>
      </c>
      <c r="AA213" s="32">
        <v>14773.8</v>
      </c>
      <c r="AB213" s="32">
        <v>284</v>
      </c>
      <c r="AC213" s="77"/>
      <c r="AD213" s="31"/>
      <c r="AE213" s="31"/>
      <c r="AF213" s="32"/>
      <c r="AG213" s="32"/>
      <c r="AH213" s="77"/>
      <c r="AI213" s="31">
        <v>26400</v>
      </c>
      <c r="AJ213" s="33">
        <f t="shared" si="91"/>
        <v>41457.800000000003</v>
      </c>
      <c r="AK213" s="54">
        <v>0</v>
      </c>
      <c r="AL213" s="31">
        <f>Z213*13%</f>
        <v>960.29700000000003</v>
      </c>
      <c r="AM213" s="31">
        <f>AA213*13%</f>
        <v>1920.5940000000001</v>
      </c>
      <c r="AN213" s="34">
        <f>AK213+AM213</f>
        <v>1920.5940000000001</v>
      </c>
      <c r="AO213" s="35">
        <f>AJ213-AN213</f>
        <v>39537.206000000006</v>
      </c>
      <c r="AP213" s="36">
        <f>+(AA213+AF213)/30*46</f>
        <v>22653.16</v>
      </c>
      <c r="AQ213" s="34">
        <f t="shared" si="76"/>
        <v>40480</v>
      </c>
      <c r="AR213" s="34">
        <f t="shared" si="77"/>
        <v>3011.5599999999995</v>
      </c>
      <c r="AS213" s="36"/>
      <c r="AT213" s="36"/>
      <c r="AU213" s="36"/>
      <c r="AV213" s="116"/>
      <c r="AW213" s="116"/>
      <c r="AX213" s="116"/>
      <c r="AY213" s="34">
        <f>+(AA213+AB213+AC213+AD213+AF213)/30*12</f>
        <v>6023.119999999999</v>
      </c>
      <c r="AZ213" s="31">
        <v>0.26</v>
      </c>
      <c r="BA213" s="31">
        <f t="shared" si="79"/>
        <v>1920.5940000000001</v>
      </c>
      <c r="BB213" s="32">
        <f t="shared" si="80"/>
        <v>3841.1880000000001</v>
      </c>
      <c r="BC213" s="37">
        <f>Z213*2%</f>
        <v>147.738</v>
      </c>
      <c r="BD213" s="37">
        <f>AA213*2%</f>
        <v>295.476</v>
      </c>
      <c r="BE213" s="34">
        <f t="shared" si="95"/>
        <v>1243.7340000000002</v>
      </c>
      <c r="BF213" s="34">
        <f t="shared" si="96"/>
        <v>3318.4223999999999</v>
      </c>
      <c r="BG213" s="59" t="s">
        <v>1737</v>
      </c>
      <c r="BH213" s="59" t="s">
        <v>1738</v>
      </c>
      <c r="BI213" s="38">
        <v>2381009656</v>
      </c>
      <c r="BJ213" s="39" t="s">
        <v>1739</v>
      </c>
      <c r="BK213" s="39" t="s">
        <v>1740</v>
      </c>
      <c r="BL213" s="39" t="s">
        <v>1741</v>
      </c>
      <c r="BM213" s="102" t="s">
        <v>1742</v>
      </c>
      <c r="BN213" s="39"/>
    </row>
    <row r="214" spans="1:66" ht="28.5" customHeight="1" x14ac:dyDescent="0.2">
      <c r="A214" s="122">
        <v>92700203</v>
      </c>
      <c r="B214" s="42">
        <v>19</v>
      </c>
      <c r="C214" s="44" t="s">
        <v>1743</v>
      </c>
      <c r="D214" s="102"/>
      <c r="E214" s="39" t="s">
        <v>1744</v>
      </c>
      <c r="F214" s="119" t="s">
        <v>1745</v>
      </c>
      <c r="G214" s="119" t="s">
        <v>1746</v>
      </c>
      <c r="H214" s="48" t="s">
        <v>267</v>
      </c>
      <c r="I214" s="30" t="s">
        <v>1747</v>
      </c>
      <c r="J214" s="30" t="s">
        <v>327</v>
      </c>
      <c r="K214" s="30" t="s">
        <v>327</v>
      </c>
      <c r="L214" s="29" t="s">
        <v>329</v>
      </c>
      <c r="M214" s="103">
        <v>45658</v>
      </c>
      <c r="N214" s="116"/>
      <c r="O214" s="38"/>
      <c r="P214" s="29"/>
      <c r="Q214" s="116" t="s">
        <v>69</v>
      </c>
      <c r="R214" s="116"/>
      <c r="S214" s="38" t="s">
        <v>70</v>
      </c>
      <c r="T214" s="38">
        <v>14</v>
      </c>
      <c r="U214" s="38" t="s">
        <v>337</v>
      </c>
      <c r="V214" s="47">
        <f t="shared" ca="1" si="69"/>
        <v>47</v>
      </c>
      <c r="W214" s="97">
        <v>10040300</v>
      </c>
      <c r="X214" s="47">
        <v>171</v>
      </c>
      <c r="Y214" s="31">
        <f t="shared" si="92"/>
        <v>280.75</v>
      </c>
      <c r="Z214" s="31">
        <f t="shared" si="97"/>
        <v>4211.25</v>
      </c>
      <c r="AA214" s="32">
        <v>8422.5</v>
      </c>
      <c r="AB214" s="32">
        <v>284</v>
      </c>
      <c r="AC214" s="116"/>
      <c r="AD214" s="116"/>
      <c r="AE214" s="116"/>
      <c r="AF214" s="116"/>
      <c r="AG214" s="116"/>
      <c r="AH214" s="116"/>
      <c r="AI214" s="32">
        <v>18000</v>
      </c>
      <c r="AJ214" s="33">
        <f t="shared" si="91"/>
        <v>26706.5</v>
      </c>
      <c r="AK214" s="54">
        <v>0</v>
      </c>
      <c r="AL214" s="31">
        <f>Z214*13%</f>
        <v>547.46249999999998</v>
      </c>
      <c r="AM214" s="116"/>
      <c r="AN214" s="116"/>
      <c r="AO214" s="116"/>
      <c r="AP214" s="36"/>
      <c r="AQ214" s="34">
        <f t="shared" si="76"/>
        <v>27600</v>
      </c>
      <c r="AR214" s="34">
        <f t="shared" si="77"/>
        <v>1741.2999999999997</v>
      </c>
      <c r="AS214" s="36"/>
      <c r="AT214" s="36"/>
      <c r="AU214" s="36"/>
      <c r="AV214" s="116"/>
      <c r="AW214" s="116"/>
      <c r="AX214" s="116"/>
      <c r="AY214" s="36"/>
      <c r="AZ214" s="38">
        <v>0.26</v>
      </c>
      <c r="BA214" s="31">
        <f t="shared" si="79"/>
        <v>1094.925</v>
      </c>
      <c r="BB214" s="32">
        <f t="shared" si="80"/>
        <v>2189.85</v>
      </c>
      <c r="BC214" s="37">
        <f t="shared" ref="BC214:BD229" si="98">Z214*2%</f>
        <v>84.225000000000009</v>
      </c>
      <c r="BD214" s="37">
        <f t="shared" si="98"/>
        <v>168.45000000000002</v>
      </c>
      <c r="BE214" s="34">
        <f t="shared" si="95"/>
        <v>801.19499999999994</v>
      </c>
      <c r="BF214" s="34">
        <f t="shared" si="96"/>
        <v>1629.1949999999999</v>
      </c>
      <c r="BG214" s="59" t="s">
        <v>1748</v>
      </c>
      <c r="BH214" s="59" t="s">
        <v>1749</v>
      </c>
      <c r="BI214" s="38">
        <v>2381356217</v>
      </c>
      <c r="BJ214" s="39" t="s">
        <v>1750</v>
      </c>
      <c r="BK214" s="39" t="s">
        <v>1751</v>
      </c>
      <c r="BL214" s="39" t="s">
        <v>1752</v>
      </c>
      <c r="BM214" s="102" t="s">
        <v>1753</v>
      </c>
      <c r="BN214" s="39"/>
    </row>
    <row r="215" spans="1:66" ht="25.5" hidden="1" x14ac:dyDescent="0.25">
      <c r="A215" s="122">
        <v>92700204</v>
      </c>
      <c r="B215" s="92">
        <v>13</v>
      </c>
      <c r="C215" s="44" t="s">
        <v>1754</v>
      </c>
      <c r="D215" s="44" t="s">
        <v>1755</v>
      </c>
      <c r="E215" s="39" t="s">
        <v>1756</v>
      </c>
      <c r="F215" s="29" t="s">
        <v>1757</v>
      </c>
      <c r="G215" s="29" t="s">
        <v>1758</v>
      </c>
      <c r="H215" s="88" t="s">
        <v>65</v>
      </c>
      <c r="I215" s="40" t="s">
        <v>693</v>
      </c>
      <c r="J215" s="40" t="s">
        <v>147</v>
      </c>
      <c r="K215" s="30"/>
      <c r="L215" s="29" t="s">
        <v>10</v>
      </c>
      <c r="M215" s="103">
        <v>45658</v>
      </c>
      <c r="N215" s="116"/>
      <c r="O215" s="38"/>
      <c r="P215" s="29"/>
      <c r="Q215" s="116" t="s">
        <v>69</v>
      </c>
      <c r="R215" s="116"/>
      <c r="S215" s="97" t="s">
        <v>70</v>
      </c>
      <c r="T215" s="38">
        <v>29</v>
      </c>
      <c r="U215" s="38" t="s">
        <v>88</v>
      </c>
      <c r="V215" s="47">
        <f t="shared" ca="1" si="69"/>
        <v>46</v>
      </c>
      <c r="W215" s="97">
        <v>12520100</v>
      </c>
      <c r="X215" s="38"/>
      <c r="Y215" s="31">
        <f t="shared" si="92"/>
        <v>0</v>
      </c>
      <c r="Z215" s="31">
        <f t="shared" si="97"/>
        <v>0</v>
      </c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33">
        <f t="shared" si="91"/>
        <v>0</v>
      </c>
      <c r="AK215" s="54">
        <v>0</v>
      </c>
      <c r="AL215" s="31">
        <f>Z215*13%</f>
        <v>0</v>
      </c>
      <c r="AM215" s="31">
        <f>AA215*13%</f>
        <v>0</v>
      </c>
      <c r="AN215" s="34">
        <f>AK215+AM215</f>
        <v>0</v>
      </c>
      <c r="AO215" s="35">
        <f>AJ215-AN215</f>
        <v>0</v>
      </c>
      <c r="AP215" s="36">
        <f>+(AA215+AF215)/30*46</f>
        <v>0</v>
      </c>
      <c r="AQ215" s="34">
        <f t="shared" si="76"/>
        <v>0</v>
      </c>
      <c r="AR215" s="34">
        <f t="shared" si="77"/>
        <v>0</v>
      </c>
      <c r="AS215" s="36"/>
      <c r="AT215" s="36"/>
      <c r="AU215" s="36"/>
      <c r="AV215" s="116"/>
      <c r="AW215" s="116"/>
      <c r="AX215" s="116"/>
      <c r="AY215" s="36"/>
      <c r="AZ215" s="38"/>
      <c r="BA215" s="31">
        <f t="shared" si="79"/>
        <v>0</v>
      </c>
      <c r="BB215" s="32">
        <f t="shared" si="80"/>
        <v>0</v>
      </c>
      <c r="BC215" s="37">
        <f t="shared" si="98"/>
        <v>0</v>
      </c>
      <c r="BD215" s="37">
        <f t="shared" si="98"/>
        <v>0</v>
      </c>
      <c r="BE215" s="34">
        <f t="shared" si="95"/>
        <v>0</v>
      </c>
      <c r="BF215" s="34">
        <f t="shared" si="96"/>
        <v>0</v>
      </c>
      <c r="BG215" s="59" t="s">
        <v>1759</v>
      </c>
      <c r="BH215" s="59" t="s">
        <v>1760</v>
      </c>
      <c r="BI215" s="38">
        <v>9514136013</v>
      </c>
      <c r="BJ215" s="39"/>
      <c r="BK215" s="39" t="s">
        <v>1761</v>
      </c>
      <c r="BL215" s="39" t="s">
        <v>1762</v>
      </c>
      <c r="BM215" s="102" t="s">
        <v>1763</v>
      </c>
      <c r="BN215" s="39"/>
    </row>
    <row r="216" spans="1:66" ht="25.5" x14ac:dyDescent="0.25">
      <c r="A216" s="122">
        <v>92700204</v>
      </c>
      <c r="B216" s="42">
        <v>15</v>
      </c>
      <c r="C216" s="44" t="s">
        <v>1755</v>
      </c>
      <c r="D216" s="38"/>
      <c r="E216" s="39" t="s">
        <v>1756</v>
      </c>
      <c r="F216" s="29" t="s">
        <v>1757</v>
      </c>
      <c r="G216" s="29" t="s">
        <v>1758</v>
      </c>
      <c r="H216" s="48" t="s">
        <v>140</v>
      </c>
      <c r="I216" s="118" t="s">
        <v>1764</v>
      </c>
      <c r="J216" s="40" t="s">
        <v>147</v>
      </c>
      <c r="K216" s="40" t="s">
        <v>1765</v>
      </c>
      <c r="L216" s="29" t="s">
        <v>329</v>
      </c>
      <c r="M216" s="103">
        <v>45658</v>
      </c>
      <c r="N216" s="103">
        <v>45717</v>
      </c>
      <c r="O216" s="38"/>
      <c r="P216" s="29"/>
      <c r="Q216" s="116" t="s">
        <v>69</v>
      </c>
      <c r="R216" s="116"/>
      <c r="S216" s="97" t="s">
        <v>70</v>
      </c>
      <c r="T216" s="38">
        <v>29</v>
      </c>
      <c r="U216" s="38" t="s">
        <v>88</v>
      </c>
      <c r="V216" s="47">
        <f t="shared" ca="1" si="69"/>
        <v>46</v>
      </c>
      <c r="W216" s="97">
        <v>12520100</v>
      </c>
      <c r="X216" s="47">
        <v>168</v>
      </c>
      <c r="Y216" s="31">
        <f t="shared" si="92"/>
        <v>0</v>
      </c>
      <c r="Z216" s="31">
        <f t="shared" si="97"/>
        <v>0</v>
      </c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33">
        <f t="shared" ref="AJ216" si="99">SUM(AA216:AI216)</f>
        <v>0</v>
      </c>
      <c r="AK216" s="54">
        <v>0</v>
      </c>
      <c r="AL216" s="31">
        <f>Z216*13%</f>
        <v>0</v>
      </c>
      <c r="AM216" s="31">
        <f>AA216*13%</f>
        <v>0</v>
      </c>
      <c r="AN216" s="34">
        <f>AK216+AM216</f>
        <v>0</v>
      </c>
      <c r="AO216" s="35">
        <f>AJ216-AN216</f>
        <v>0</v>
      </c>
      <c r="AP216" s="36">
        <f>+(AA216+AF216)/30*46</f>
        <v>0</v>
      </c>
      <c r="AQ216" s="34">
        <f t="shared" si="76"/>
        <v>0</v>
      </c>
      <c r="AR216" s="34">
        <f t="shared" si="77"/>
        <v>0</v>
      </c>
      <c r="AS216" s="36"/>
      <c r="AT216" s="36"/>
      <c r="AU216" s="36"/>
      <c r="AV216" s="116"/>
      <c r="AW216" s="116"/>
      <c r="AX216" s="116"/>
      <c r="AY216" s="36"/>
      <c r="AZ216" s="38"/>
      <c r="BA216" s="31">
        <f t="shared" si="79"/>
        <v>0</v>
      </c>
      <c r="BB216" s="32">
        <f t="shared" si="80"/>
        <v>0</v>
      </c>
      <c r="BC216" s="37">
        <f t="shared" si="98"/>
        <v>0</v>
      </c>
      <c r="BD216" s="37">
        <f t="shared" si="98"/>
        <v>0</v>
      </c>
      <c r="BE216" s="34">
        <f t="shared" si="95"/>
        <v>0</v>
      </c>
      <c r="BF216" s="34">
        <f t="shared" si="96"/>
        <v>0</v>
      </c>
      <c r="BG216" s="59" t="s">
        <v>1759</v>
      </c>
      <c r="BH216" s="59" t="s">
        <v>1760</v>
      </c>
      <c r="BI216" s="38">
        <v>9514136013</v>
      </c>
      <c r="BJ216" s="39"/>
      <c r="BK216" s="39" t="s">
        <v>1761</v>
      </c>
      <c r="BL216" s="39" t="s">
        <v>1762</v>
      </c>
      <c r="BM216" s="102" t="s">
        <v>1763</v>
      </c>
      <c r="BN216" s="39"/>
    </row>
    <row r="217" spans="1:66" ht="25.5" hidden="1" x14ac:dyDescent="0.25">
      <c r="A217" s="122">
        <v>92700205</v>
      </c>
      <c r="B217" s="92">
        <v>51</v>
      </c>
      <c r="C217" s="44" t="s">
        <v>1766</v>
      </c>
      <c r="D217" s="44" t="s">
        <v>1767</v>
      </c>
      <c r="E217" s="39" t="s">
        <v>1768</v>
      </c>
      <c r="F217" s="29" t="s">
        <v>1769</v>
      </c>
      <c r="G217" s="29" t="s">
        <v>1770</v>
      </c>
      <c r="H217" s="88" t="s">
        <v>140</v>
      </c>
      <c r="I217" s="118" t="s">
        <v>1771</v>
      </c>
      <c r="J217" s="40" t="s">
        <v>86</v>
      </c>
      <c r="K217" s="30"/>
      <c r="L217" s="29" t="s">
        <v>10</v>
      </c>
      <c r="M217" s="103">
        <v>45658</v>
      </c>
      <c r="N217" s="116"/>
      <c r="O217" s="38"/>
      <c r="P217" s="29"/>
      <c r="Q217" s="116" t="s">
        <v>69</v>
      </c>
      <c r="R217" s="116"/>
      <c r="S217" s="97" t="s">
        <v>70</v>
      </c>
      <c r="T217" s="38">
        <v>10</v>
      </c>
      <c r="U217" s="38" t="s">
        <v>175</v>
      </c>
      <c r="V217" s="47">
        <f t="shared" ca="1" si="69"/>
        <v>32</v>
      </c>
      <c r="W217" s="97">
        <v>12520200</v>
      </c>
      <c r="X217" s="38"/>
      <c r="Y217" s="31">
        <f t="shared" si="92"/>
        <v>0</v>
      </c>
      <c r="Z217" s="31">
        <f t="shared" si="97"/>
        <v>0</v>
      </c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33">
        <f t="shared" ref="AJ217" si="100">SUM(AA217:AI217)</f>
        <v>0</v>
      </c>
      <c r="AK217" s="54">
        <v>0</v>
      </c>
      <c r="AL217" s="31">
        <f>Z217*13%</f>
        <v>0</v>
      </c>
      <c r="AM217" s="31">
        <f>AA217*13%</f>
        <v>0</v>
      </c>
      <c r="AN217" s="34">
        <f>AK217+AM217</f>
        <v>0</v>
      </c>
      <c r="AO217" s="116"/>
      <c r="AP217" s="36">
        <f>+(AA217+AF217)/30*46</f>
        <v>0</v>
      </c>
      <c r="AQ217" s="34">
        <f t="shared" si="76"/>
        <v>0</v>
      </c>
      <c r="AR217" s="34">
        <f t="shared" si="77"/>
        <v>0</v>
      </c>
      <c r="AS217" s="36"/>
      <c r="AT217" s="36"/>
      <c r="AU217" s="36"/>
      <c r="AV217" s="116"/>
      <c r="AW217" s="116"/>
      <c r="AX217" s="116"/>
      <c r="AY217" s="36"/>
      <c r="AZ217" s="38"/>
      <c r="BA217" s="31">
        <f t="shared" si="79"/>
        <v>0</v>
      </c>
      <c r="BB217" s="32">
        <f t="shared" si="80"/>
        <v>0</v>
      </c>
      <c r="BC217" s="37">
        <f t="shared" si="98"/>
        <v>0</v>
      </c>
      <c r="BD217" s="37">
        <f t="shared" si="98"/>
        <v>0</v>
      </c>
      <c r="BE217" s="34">
        <f t="shared" si="95"/>
        <v>0</v>
      </c>
      <c r="BF217" s="34">
        <f t="shared" si="96"/>
        <v>0</v>
      </c>
      <c r="BG217" s="59" t="s">
        <v>1772</v>
      </c>
      <c r="BH217" s="59" t="s">
        <v>1773</v>
      </c>
      <c r="BI217" s="38">
        <v>5535019760</v>
      </c>
      <c r="BJ217" s="39" t="s">
        <v>1774</v>
      </c>
      <c r="BK217" s="39" t="s">
        <v>1775</v>
      </c>
      <c r="BL217" s="39" t="s">
        <v>1776</v>
      </c>
      <c r="BM217" s="102" t="s">
        <v>1777</v>
      </c>
      <c r="BN217" s="39"/>
    </row>
    <row r="218" spans="1:66" ht="25.5" x14ac:dyDescent="0.25">
      <c r="A218" s="122">
        <v>92700205</v>
      </c>
      <c r="B218" s="42">
        <v>16</v>
      </c>
      <c r="C218" s="44" t="s">
        <v>1767</v>
      </c>
      <c r="D218" s="38"/>
      <c r="E218" s="39" t="s">
        <v>1768</v>
      </c>
      <c r="F218" s="29" t="s">
        <v>1769</v>
      </c>
      <c r="G218" s="29" t="s">
        <v>1770</v>
      </c>
      <c r="H218" s="48" t="s">
        <v>65</v>
      </c>
      <c r="I218" s="40" t="s">
        <v>693</v>
      </c>
      <c r="J218" s="40" t="s">
        <v>86</v>
      </c>
      <c r="K218" s="40" t="s">
        <v>86</v>
      </c>
      <c r="L218" s="29" t="s">
        <v>329</v>
      </c>
      <c r="M218" s="38"/>
      <c r="N218" s="103">
        <v>45689</v>
      </c>
      <c r="O218" s="38"/>
      <c r="P218" s="29"/>
      <c r="Q218" s="116" t="s">
        <v>69</v>
      </c>
      <c r="R218" s="116"/>
      <c r="S218" s="97" t="s">
        <v>70</v>
      </c>
      <c r="T218" s="38">
        <v>10</v>
      </c>
      <c r="U218" s="38" t="s">
        <v>175</v>
      </c>
      <c r="V218" s="47">
        <f t="shared" ca="1" si="69"/>
        <v>32</v>
      </c>
      <c r="W218" s="97">
        <v>12520200</v>
      </c>
      <c r="X218" s="47">
        <v>191</v>
      </c>
      <c r="Y218" s="31">
        <f t="shared" si="92"/>
        <v>0</v>
      </c>
      <c r="Z218" s="31">
        <f t="shared" si="97"/>
        <v>0</v>
      </c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33">
        <f t="shared" ref="AJ218" si="101">SUM(AA218:AI218)</f>
        <v>0</v>
      </c>
      <c r="AK218" s="54">
        <v>0</v>
      </c>
      <c r="AL218" s="31">
        <f>Z218*13%</f>
        <v>0</v>
      </c>
      <c r="AM218" s="31">
        <f>AA218*13%</f>
        <v>0</v>
      </c>
      <c r="AN218" s="34">
        <f>AK218+AM218</f>
        <v>0</v>
      </c>
      <c r="AO218" s="116"/>
      <c r="AP218" s="36">
        <f>+(AA218+AF218)/30*46</f>
        <v>0</v>
      </c>
      <c r="AQ218" s="34">
        <f t="shared" si="76"/>
        <v>0</v>
      </c>
      <c r="AR218" s="34">
        <f t="shared" si="77"/>
        <v>0</v>
      </c>
      <c r="AS218" s="36"/>
      <c r="AT218" s="36"/>
      <c r="AU218" s="36"/>
      <c r="AV218" s="116"/>
      <c r="AW218" s="116"/>
      <c r="AX218" s="116"/>
      <c r="AY218" s="36"/>
      <c r="AZ218" s="38"/>
      <c r="BA218" s="31">
        <f t="shared" si="79"/>
        <v>0</v>
      </c>
      <c r="BB218" s="32">
        <f t="shared" si="80"/>
        <v>0</v>
      </c>
      <c r="BC218" s="37">
        <f t="shared" si="98"/>
        <v>0</v>
      </c>
      <c r="BD218" s="37">
        <f t="shared" si="98"/>
        <v>0</v>
      </c>
      <c r="BE218" s="34">
        <f t="shared" si="95"/>
        <v>0</v>
      </c>
      <c r="BF218" s="34">
        <f t="shared" si="96"/>
        <v>0</v>
      </c>
      <c r="BG218" s="59" t="s">
        <v>1772</v>
      </c>
      <c r="BH218" s="59" t="s">
        <v>1773</v>
      </c>
      <c r="BI218" s="38">
        <v>5535019760</v>
      </c>
      <c r="BJ218" s="39" t="s">
        <v>1774</v>
      </c>
      <c r="BK218" s="39" t="s">
        <v>1775</v>
      </c>
      <c r="BL218" s="39" t="s">
        <v>1776</v>
      </c>
      <c r="BM218" s="102" t="s">
        <v>1777</v>
      </c>
      <c r="BN218" s="39"/>
    </row>
    <row r="219" spans="1:66" ht="38.25" hidden="1" x14ac:dyDescent="0.25">
      <c r="A219" s="122">
        <v>92700206</v>
      </c>
      <c r="B219" s="92">
        <v>49</v>
      </c>
      <c r="C219" s="44" t="s">
        <v>1778</v>
      </c>
      <c r="D219" s="44" t="s">
        <v>1779</v>
      </c>
      <c r="E219" s="39" t="s">
        <v>1780</v>
      </c>
      <c r="F219" s="29" t="s">
        <v>1781</v>
      </c>
      <c r="G219" s="29" t="s">
        <v>1782</v>
      </c>
      <c r="H219" s="88" t="s">
        <v>84</v>
      </c>
      <c r="I219" s="40" t="s">
        <v>931</v>
      </c>
      <c r="J219" s="40" t="s">
        <v>322</v>
      </c>
      <c r="K219" s="40" t="s">
        <v>450</v>
      </c>
      <c r="L219" s="29" t="s">
        <v>320</v>
      </c>
      <c r="M219" s="103">
        <v>45658</v>
      </c>
      <c r="N219" s="116"/>
      <c r="O219" s="38"/>
      <c r="P219" s="29"/>
      <c r="Q219" s="116" t="s">
        <v>69</v>
      </c>
      <c r="R219" s="116"/>
      <c r="S219" s="97" t="s">
        <v>148</v>
      </c>
      <c r="T219" s="38">
        <v>18</v>
      </c>
      <c r="U219" s="38" t="s">
        <v>175</v>
      </c>
      <c r="V219" s="47">
        <f t="shared" ca="1" si="69"/>
        <v>28</v>
      </c>
      <c r="W219" s="97">
        <v>12520300</v>
      </c>
      <c r="X219" s="38"/>
      <c r="Y219" s="31">
        <f t="shared" si="92"/>
        <v>248.92999999999998</v>
      </c>
      <c r="Z219" s="31">
        <f t="shared" si="97"/>
        <v>3733.95</v>
      </c>
      <c r="AA219" s="32">
        <v>7467.9</v>
      </c>
      <c r="AB219" s="32">
        <v>284</v>
      </c>
      <c r="AC219" s="116"/>
      <c r="AD219" s="116"/>
      <c r="AE219" s="116"/>
      <c r="AF219" s="116"/>
      <c r="AG219" s="116"/>
      <c r="AH219" s="116"/>
      <c r="AI219" s="31">
        <v>10000</v>
      </c>
      <c r="AJ219" s="33">
        <f t="shared" ref="AJ219:AJ220" si="102">SUM(AA219:AI219)</f>
        <v>17751.900000000001</v>
      </c>
      <c r="AK219" s="54">
        <v>0</v>
      </c>
      <c r="AL219" s="31">
        <f t="shared" ref="AL219:AM234" si="103">Z219*13%</f>
        <v>485.4135</v>
      </c>
      <c r="AM219" s="31">
        <f t="shared" si="103"/>
        <v>970.827</v>
      </c>
      <c r="AN219" s="34">
        <f t="shared" ref="AN219:AN231" si="104">AK219+AM219</f>
        <v>970.827</v>
      </c>
      <c r="AO219" s="35">
        <f t="shared" ref="AO219:AO225" si="105">AJ219-AN219</f>
        <v>16781.073</v>
      </c>
      <c r="AP219" s="36">
        <f t="shared" ref="AP219:AP234" si="106">+(AA219+AF219)/30*46</f>
        <v>11450.779999999999</v>
      </c>
      <c r="AQ219" s="34">
        <f t="shared" si="76"/>
        <v>15333.333333333332</v>
      </c>
      <c r="AR219" s="34">
        <f t="shared" si="77"/>
        <v>1550.3799999999999</v>
      </c>
      <c r="AS219" s="36"/>
      <c r="AT219" s="36"/>
      <c r="AU219" s="36"/>
      <c r="AV219" s="116"/>
      <c r="AW219" s="116"/>
      <c r="AX219" s="116"/>
      <c r="AY219" s="34">
        <f t="shared" ref="AY219:AY224" si="107">+(AA219+AB219+AC219+AD219+AF219)/30*12</f>
        <v>3100.7599999999998</v>
      </c>
      <c r="AZ219" s="38"/>
      <c r="BA219" s="31">
        <f t="shared" si="79"/>
        <v>0</v>
      </c>
      <c r="BB219" s="32">
        <f t="shared" si="80"/>
        <v>0</v>
      </c>
      <c r="BC219" s="37">
        <f t="shared" si="98"/>
        <v>74.679000000000002</v>
      </c>
      <c r="BD219" s="37">
        <f t="shared" si="98"/>
        <v>149.358</v>
      </c>
      <c r="BE219" s="34">
        <f t="shared" si="95"/>
        <v>532.55700000000002</v>
      </c>
      <c r="BF219" s="34">
        <f t="shared" si="96"/>
        <v>1429.1032</v>
      </c>
      <c r="BG219" s="59" t="s">
        <v>1783</v>
      </c>
      <c r="BH219" s="59" t="s">
        <v>1784</v>
      </c>
      <c r="BI219" s="38">
        <v>2381063610</v>
      </c>
      <c r="BJ219" s="39" t="s">
        <v>1785</v>
      </c>
      <c r="BK219" s="39"/>
      <c r="BL219" s="39" t="s">
        <v>1786</v>
      </c>
      <c r="BM219" s="102" t="s">
        <v>1787</v>
      </c>
      <c r="BN219" s="39"/>
    </row>
    <row r="220" spans="1:66" ht="38.25" hidden="1" x14ac:dyDescent="0.25">
      <c r="A220" s="122">
        <v>92700206</v>
      </c>
      <c r="B220" s="92">
        <v>48</v>
      </c>
      <c r="C220" s="44" t="s">
        <v>1779</v>
      </c>
      <c r="D220" s="44" t="s">
        <v>1788</v>
      </c>
      <c r="E220" s="39" t="s">
        <v>1780</v>
      </c>
      <c r="F220" s="29" t="s">
        <v>1781</v>
      </c>
      <c r="G220" s="29" t="s">
        <v>1782</v>
      </c>
      <c r="H220" s="88" t="s">
        <v>84</v>
      </c>
      <c r="I220" s="40" t="s">
        <v>1789</v>
      </c>
      <c r="J220" s="40" t="s">
        <v>322</v>
      </c>
      <c r="K220" s="40" t="s">
        <v>323</v>
      </c>
      <c r="L220" s="29" t="s">
        <v>10</v>
      </c>
      <c r="M220" s="103">
        <v>45658</v>
      </c>
      <c r="N220" s="103">
        <v>45673</v>
      </c>
      <c r="O220" s="38"/>
      <c r="P220" s="29"/>
      <c r="Q220" s="116" t="s">
        <v>69</v>
      </c>
      <c r="R220" s="116"/>
      <c r="S220" s="97" t="s">
        <v>148</v>
      </c>
      <c r="T220" s="38">
        <v>18</v>
      </c>
      <c r="U220" s="38" t="s">
        <v>175</v>
      </c>
      <c r="V220" s="47">
        <f t="shared" ca="1" si="69"/>
        <v>28</v>
      </c>
      <c r="W220" s="97">
        <v>12520300</v>
      </c>
      <c r="X220" s="38"/>
      <c r="Y220" s="31">
        <f t="shared" si="92"/>
        <v>248.92999999999998</v>
      </c>
      <c r="Z220" s="31">
        <f t="shared" si="97"/>
        <v>3733.95</v>
      </c>
      <c r="AA220" s="32">
        <v>7467.9</v>
      </c>
      <c r="AB220" s="32">
        <v>284</v>
      </c>
      <c r="AC220" s="116"/>
      <c r="AD220" s="116"/>
      <c r="AE220" s="116"/>
      <c r="AF220" s="116"/>
      <c r="AG220" s="116"/>
      <c r="AH220" s="116"/>
      <c r="AI220" s="31">
        <v>10000</v>
      </c>
      <c r="AJ220" s="33">
        <f t="shared" si="102"/>
        <v>17751.900000000001</v>
      </c>
      <c r="AK220" s="54">
        <v>0</v>
      </c>
      <c r="AL220" s="31">
        <f t="shared" si="103"/>
        <v>485.4135</v>
      </c>
      <c r="AM220" s="31">
        <f t="shared" si="103"/>
        <v>970.827</v>
      </c>
      <c r="AN220" s="34">
        <f t="shared" si="104"/>
        <v>970.827</v>
      </c>
      <c r="AO220" s="35">
        <f t="shared" si="105"/>
        <v>16781.073</v>
      </c>
      <c r="AP220" s="36">
        <f t="shared" si="106"/>
        <v>11450.779999999999</v>
      </c>
      <c r="AQ220" s="34">
        <f t="shared" si="76"/>
        <v>15333.333333333332</v>
      </c>
      <c r="AR220" s="34">
        <f t="shared" si="77"/>
        <v>1550.3799999999999</v>
      </c>
      <c r="AS220" s="36"/>
      <c r="AT220" s="36"/>
      <c r="AU220" s="36"/>
      <c r="AV220" s="116"/>
      <c r="AW220" s="116"/>
      <c r="AX220" s="116"/>
      <c r="AY220" s="34">
        <f t="shared" si="107"/>
        <v>3100.7599999999998</v>
      </c>
      <c r="AZ220" s="38"/>
      <c r="BA220" s="31">
        <f t="shared" si="79"/>
        <v>0</v>
      </c>
      <c r="BB220" s="32">
        <f t="shared" si="80"/>
        <v>0</v>
      </c>
      <c r="BC220" s="37">
        <f t="shared" si="98"/>
        <v>74.679000000000002</v>
      </c>
      <c r="BD220" s="37">
        <f t="shared" si="98"/>
        <v>149.358</v>
      </c>
      <c r="BE220" s="34">
        <f t="shared" si="95"/>
        <v>532.55700000000002</v>
      </c>
      <c r="BF220" s="34">
        <f t="shared" si="96"/>
        <v>1429.1032</v>
      </c>
      <c r="BG220" s="59" t="s">
        <v>1783</v>
      </c>
      <c r="BH220" s="59" t="s">
        <v>1784</v>
      </c>
      <c r="BI220" s="38">
        <v>2381063610</v>
      </c>
      <c r="BJ220" s="39" t="s">
        <v>1785</v>
      </c>
      <c r="BK220" s="39"/>
      <c r="BL220" s="39" t="s">
        <v>1786</v>
      </c>
      <c r="BM220" s="102" t="s">
        <v>1787</v>
      </c>
      <c r="BN220" s="39"/>
    </row>
    <row r="221" spans="1:66" ht="25.5" x14ac:dyDescent="0.25">
      <c r="A221" s="122">
        <v>92700206</v>
      </c>
      <c r="B221" s="42">
        <v>13</v>
      </c>
      <c r="C221" s="44" t="s">
        <v>1788</v>
      </c>
      <c r="D221" s="38"/>
      <c r="E221" s="39" t="s">
        <v>1780</v>
      </c>
      <c r="F221" s="29" t="s">
        <v>1781</v>
      </c>
      <c r="G221" s="29" t="s">
        <v>1782</v>
      </c>
      <c r="H221" s="48" t="s">
        <v>65</v>
      </c>
      <c r="I221" s="40" t="s">
        <v>693</v>
      </c>
      <c r="J221" s="40" t="s">
        <v>147</v>
      </c>
      <c r="K221" s="40"/>
      <c r="L221" s="29" t="s">
        <v>329</v>
      </c>
      <c r="M221" s="103">
        <v>45658</v>
      </c>
      <c r="N221" s="103">
        <v>45854</v>
      </c>
      <c r="O221" s="38"/>
      <c r="P221" s="29"/>
      <c r="Q221" s="116" t="s">
        <v>69</v>
      </c>
      <c r="R221" s="116"/>
      <c r="S221" s="97" t="s">
        <v>148</v>
      </c>
      <c r="T221" s="38">
        <v>18</v>
      </c>
      <c r="U221" s="38" t="s">
        <v>175</v>
      </c>
      <c r="V221" s="47">
        <f t="shared" ca="1" si="69"/>
        <v>28</v>
      </c>
      <c r="W221" s="97">
        <v>12520300</v>
      </c>
      <c r="X221" s="47">
        <v>167</v>
      </c>
      <c r="Y221" s="31">
        <f t="shared" si="92"/>
        <v>248.92999999999998</v>
      </c>
      <c r="Z221" s="31">
        <f t="shared" si="97"/>
        <v>3733.95</v>
      </c>
      <c r="AA221" s="32">
        <v>7467.9</v>
      </c>
      <c r="AB221" s="32">
        <v>284</v>
      </c>
      <c r="AC221" s="116"/>
      <c r="AD221" s="116"/>
      <c r="AE221" s="116"/>
      <c r="AF221" s="116"/>
      <c r="AG221" s="116"/>
      <c r="AH221" s="116"/>
      <c r="AI221" s="31">
        <v>10000</v>
      </c>
      <c r="AJ221" s="33">
        <f t="shared" ref="AJ221" si="108">SUM(AA221:AI221)</f>
        <v>17751.900000000001</v>
      </c>
      <c r="AK221" s="54">
        <v>0</v>
      </c>
      <c r="AL221" s="31">
        <f t="shared" si="103"/>
        <v>485.4135</v>
      </c>
      <c r="AM221" s="31">
        <f t="shared" si="103"/>
        <v>970.827</v>
      </c>
      <c r="AN221" s="34">
        <f t="shared" si="104"/>
        <v>970.827</v>
      </c>
      <c r="AO221" s="35">
        <f t="shared" si="105"/>
        <v>16781.073</v>
      </c>
      <c r="AP221" s="36">
        <f t="shared" si="106"/>
        <v>11450.779999999999</v>
      </c>
      <c r="AQ221" s="34">
        <f t="shared" si="76"/>
        <v>15333.333333333332</v>
      </c>
      <c r="AR221" s="34">
        <f t="shared" si="77"/>
        <v>1550.3799999999999</v>
      </c>
      <c r="AS221" s="36"/>
      <c r="AT221" s="36"/>
      <c r="AU221" s="36"/>
      <c r="AV221" s="116"/>
      <c r="AW221" s="116"/>
      <c r="AX221" s="116"/>
      <c r="AY221" s="34">
        <f t="shared" si="107"/>
        <v>3100.7599999999998</v>
      </c>
      <c r="AZ221" s="38"/>
      <c r="BA221" s="31">
        <f t="shared" si="79"/>
        <v>0</v>
      </c>
      <c r="BB221" s="32">
        <f t="shared" si="80"/>
        <v>0</v>
      </c>
      <c r="BC221" s="37">
        <f t="shared" si="98"/>
        <v>74.679000000000002</v>
      </c>
      <c r="BD221" s="37">
        <f t="shared" si="98"/>
        <v>149.358</v>
      </c>
      <c r="BE221" s="34">
        <f t="shared" si="95"/>
        <v>532.55700000000002</v>
      </c>
      <c r="BF221" s="34">
        <f t="shared" si="96"/>
        <v>1429.1032</v>
      </c>
      <c r="BG221" s="59" t="s">
        <v>1783</v>
      </c>
      <c r="BH221" s="59" t="s">
        <v>1784</v>
      </c>
      <c r="BI221" s="38">
        <v>2381063610</v>
      </c>
      <c r="BJ221" s="39" t="s">
        <v>1785</v>
      </c>
      <c r="BK221" s="39"/>
      <c r="BL221" s="39" t="s">
        <v>1786</v>
      </c>
      <c r="BM221" s="102" t="s">
        <v>1787</v>
      </c>
      <c r="BN221" s="39"/>
    </row>
    <row r="222" spans="1:66" ht="38.25" hidden="1" x14ac:dyDescent="0.25">
      <c r="A222" s="122">
        <v>92700207</v>
      </c>
      <c r="B222" s="92">
        <v>48</v>
      </c>
      <c r="C222" s="44" t="s">
        <v>1790</v>
      </c>
      <c r="D222" s="44" t="s">
        <v>1791</v>
      </c>
      <c r="E222" s="39" t="s">
        <v>1792</v>
      </c>
      <c r="F222" s="29" t="s">
        <v>1793</v>
      </c>
      <c r="G222" s="29" t="s">
        <v>1794</v>
      </c>
      <c r="H222" s="88" t="s">
        <v>84</v>
      </c>
      <c r="I222" s="40" t="s">
        <v>931</v>
      </c>
      <c r="J222" s="40" t="s">
        <v>322</v>
      </c>
      <c r="K222" s="40" t="s">
        <v>450</v>
      </c>
      <c r="L222" s="29" t="s">
        <v>10</v>
      </c>
      <c r="M222" s="103">
        <v>45658</v>
      </c>
      <c r="N222" s="116"/>
      <c r="O222" s="38"/>
      <c r="P222" s="29"/>
      <c r="Q222" s="116" t="s">
        <v>69</v>
      </c>
      <c r="R222" s="116"/>
      <c r="S222" s="97" t="s">
        <v>70</v>
      </c>
      <c r="T222" s="38">
        <v>14</v>
      </c>
      <c r="U222" s="38" t="s">
        <v>71</v>
      </c>
      <c r="V222" s="47">
        <f t="shared" ca="1" si="69"/>
        <v>26</v>
      </c>
      <c r="W222" s="97"/>
      <c r="X222" s="38"/>
      <c r="Y222" s="31">
        <f t="shared" si="92"/>
        <v>0</v>
      </c>
      <c r="Z222" s="31">
        <f t="shared" si="97"/>
        <v>0</v>
      </c>
      <c r="AA222" s="32"/>
      <c r="AB222" s="32"/>
      <c r="AC222" s="116"/>
      <c r="AD222" s="116"/>
      <c r="AE222" s="116"/>
      <c r="AF222" s="116"/>
      <c r="AG222" s="116"/>
      <c r="AH222" s="116"/>
      <c r="AI222" s="31"/>
      <c r="AJ222" s="33">
        <f t="shared" ref="AJ222:AJ229" si="109">SUM(AA222:AI222)</f>
        <v>0</v>
      </c>
      <c r="AK222" s="54">
        <v>0</v>
      </c>
      <c r="AL222" s="31">
        <f t="shared" si="103"/>
        <v>0</v>
      </c>
      <c r="AM222" s="31">
        <f t="shared" si="103"/>
        <v>0</v>
      </c>
      <c r="AN222" s="34">
        <f t="shared" si="104"/>
        <v>0</v>
      </c>
      <c r="AO222" s="35">
        <f t="shared" si="105"/>
        <v>0</v>
      </c>
      <c r="AP222" s="36">
        <f t="shared" si="106"/>
        <v>0</v>
      </c>
      <c r="AQ222" s="34">
        <f t="shared" si="76"/>
        <v>0</v>
      </c>
      <c r="AR222" s="34">
        <f t="shared" si="77"/>
        <v>0</v>
      </c>
      <c r="AS222" s="36"/>
      <c r="AT222" s="36"/>
      <c r="AU222" s="36"/>
      <c r="AV222" s="116"/>
      <c r="AW222" s="116"/>
      <c r="AX222" s="116"/>
      <c r="AY222" s="34">
        <f t="shared" si="107"/>
        <v>0</v>
      </c>
      <c r="AZ222" s="38"/>
      <c r="BA222" s="31">
        <f t="shared" si="79"/>
        <v>0</v>
      </c>
      <c r="BB222" s="32">
        <f t="shared" si="80"/>
        <v>0</v>
      </c>
      <c r="BC222" s="37">
        <f t="shared" si="98"/>
        <v>0</v>
      </c>
      <c r="BD222" s="37">
        <f t="shared" si="98"/>
        <v>0</v>
      </c>
      <c r="BE222" s="34">
        <f t="shared" si="95"/>
        <v>0</v>
      </c>
      <c r="BF222" s="34">
        <f t="shared" si="96"/>
        <v>0</v>
      </c>
      <c r="BG222" s="29"/>
      <c r="BH222" s="59" t="s">
        <v>1795</v>
      </c>
      <c r="BI222" s="38">
        <v>2241135669</v>
      </c>
      <c r="BJ222" s="39" t="s">
        <v>1796</v>
      </c>
      <c r="BK222" s="39" t="s">
        <v>1797</v>
      </c>
      <c r="BL222" s="39" t="s">
        <v>1762</v>
      </c>
      <c r="BM222" s="102" t="s">
        <v>1798</v>
      </c>
      <c r="BN222" s="39"/>
    </row>
    <row r="223" spans="1:66" ht="38.25" hidden="1" x14ac:dyDescent="0.25">
      <c r="A223" s="122">
        <v>92700207</v>
      </c>
      <c r="B223" s="92">
        <v>59</v>
      </c>
      <c r="C223" s="44" t="s">
        <v>1791</v>
      </c>
      <c r="D223" s="44" t="s">
        <v>1799</v>
      </c>
      <c r="E223" s="39" t="s">
        <v>1792</v>
      </c>
      <c r="F223" s="29" t="s">
        <v>1793</v>
      </c>
      <c r="G223" s="29" t="s">
        <v>1794</v>
      </c>
      <c r="H223" s="88" t="s">
        <v>315</v>
      </c>
      <c r="I223" s="40" t="s">
        <v>930</v>
      </c>
      <c r="J223" s="40" t="s">
        <v>322</v>
      </c>
      <c r="K223" s="40" t="s">
        <v>323</v>
      </c>
      <c r="L223" s="29" t="s">
        <v>11</v>
      </c>
      <c r="M223" s="38"/>
      <c r="N223" s="103">
        <v>45673</v>
      </c>
      <c r="O223" s="103">
        <v>45688</v>
      </c>
      <c r="P223" s="29"/>
      <c r="Q223" s="116" t="s">
        <v>69</v>
      </c>
      <c r="R223" s="116"/>
      <c r="S223" s="97" t="s">
        <v>70</v>
      </c>
      <c r="T223" s="38">
        <v>14</v>
      </c>
      <c r="U223" s="38" t="s">
        <v>71</v>
      </c>
      <c r="V223" s="47">
        <f t="shared" ca="1" si="69"/>
        <v>26</v>
      </c>
      <c r="W223" s="97"/>
      <c r="X223" s="38"/>
      <c r="Y223" s="31">
        <f t="shared" si="92"/>
        <v>0</v>
      </c>
      <c r="Z223" s="31">
        <f t="shared" si="97"/>
        <v>0</v>
      </c>
      <c r="AA223" s="32"/>
      <c r="AB223" s="32"/>
      <c r="AC223" s="116"/>
      <c r="AD223" s="116"/>
      <c r="AE223" s="116"/>
      <c r="AF223" s="116"/>
      <c r="AG223" s="116"/>
      <c r="AH223" s="116"/>
      <c r="AI223" s="31"/>
      <c r="AJ223" s="33">
        <f t="shared" si="109"/>
        <v>0</v>
      </c>
      <c r="AK223" s="54">
        <v>0</v>
      </c>
      <c r="AL223" s="31">
        <f t="shared" si="103"/>
        <v>0</v>
      </c>
      <c r="AM223" s="31">
        <f t="shared" si="103"/>
        <v>0</v>
      </c>
      <c r="AN223" s="34">
        <f t="shared" si="104"/>
        <v>0</v>
      </c>
      <c r="AO223" s="35">
        <f t="shared" si="105"/>
        <v>0</v>
      </c>
      <c r="AP223" s="36">
        <f t="shared" si="106"/>
        <v>0</v>
      </c>
      <c r="AQ223" s="34">
        <f t="shared" si="76"/>
        <v>0</v>
      </c>
      <c r="AR223" s="34">
        <f t="shared" si="77"/>
        <v>0</v>
      </c>
      <c r="AS223" s="36"/>
      <c r="AT223" s="36"/>
      <c r="AU223" s="36"/>
      <c r="AV223" s="116"/>
      <c r="AW223" s="116"/>
      <c r="AX223" s="116"/>
      <c r="AY223" s="34">
        <f t="shared" si="107"/>
        <v>0</v>
      </c>
      <c r="AZ223" s="38"/>
      <c r="BA223" s="31">
        <f t="shared" si="79"/>
        <v>0</v>
      </c>
      <c r="BB223" s="32">
        <f t="shared" si="80"/>
        <v>0</v>
      </c>
      <c r="BC223" s="37">
        <f t="shared" si="98"/>
        <v>0</v>
      </c>
      <c r="BD223" s="37">
        <f t="shared" si="98"/>
        <v>0</v>
      </c>
      <c r="BE223" s="34">
        <f t="shared" si="95"/>
        <v>0</v>
      </c>
      <c r="BF223" s="34">
        <f t="shared" si="96"/>
        <v>0</v>
      </c>
      <c r="BG223" s="29"/>
      <c r="BH223" s="59" t="s">
        <v>1795</v>
      </c>
      <c r="BI223" s="38">
        <v>2241135669</v>
      </c>
      <c r="BJ223" s="39" t="s">
        <v>1796</v>
      </c>
      <c r="BK223" s="39" t="s">
        <v>1797</v>
      </c>
      <c r="BL223" s="39" t="s">
        <v>1762</v>
      </c>
      <c r="BM223" s="102" t="s">
        <v>1798</v>
      </c>
      <c r="BN223" s="39"/>
    </row>
    <row r="224" spans="1:66" ht="38.25" x14ac:dyDescent="0.25">
      <c r="A224" s="122">
        <v>92700208</v>
      </c>
      <c r="B224" s="42">
        <v>34</v>
      </c>
      <c r="C224" s="44" t="s">
        <v>1800</v>
      </c>
      <c r="D224" s="102"/>
      <c r="E224" s="39" t="s">
        <v>1801</v>
      </c>
      <c r="F224" s="29" t="s">
        <v>1802</v>
      </c>
      <c r="G224" s="29" t="s">
        <v>1803</v>
      </c>
      <c r="H224" s="48" t="s">
        <v>84</v>
      </c>
      <c r="I224" s="40" t="s">
        <v>1804</v>
      </c>
      <c r="J224" s="30" t="s">
        <v>478</v>
      </c>
      <c r="K224" s="40" t="s">
        <v>770</v>
      </c>
      <c r="L224" s="29" t="s">
        <v>329</v>
      </c>
      <c r="M224" s="103">
        <v>45658</v>
      </c>
      <c r="N224" s="116"/>
      <c r="O224" s="38"/>
      <c r="P224" s="29"/>
      <c r="Q224" s="116" t="s">
        <v>69</v>
      </c>
      <c r="R224" s="116"/>
      <c r="S224" s="97" t="s">
        <v>70</v>
      </c>
      <c r="T224" s="38">
        <v>22</v>
      </c>
      <c r="U224" s="38" t="s">
        <v>175</v>
      </c>
      <c r="V224" s="47">
        <f t="shared" ca="1" si="69"/>
        <v>35</v>
      </c>
      <c r="W224" s="97">
        <v>11580200</v>
      </c>
      <c r="X224" s="47">
        <v>179</v>
      </c>
      <c r="Y224" s="31">
        <f t="shared" si="92"/>
        <v>248.92999999999998</v>
      </c>
      <c r="Z224" s="31">
        <f t="shared" si="97"/>
        <v>3733.95</v>
      </c>
      <c r="AA224" s="32">
        <v>7467.9</v>
      </c>
      <c r="AB224" s="32">
        <v>284</v>
      </c>
      <c r="AC224" s="116"/>
      <c r="AD224" s="116"/>
      <c r="AE224" s="116"/>
      <c r="AF224" s="116"/>
      <c r="AG224" s="116"/>
      <c r="AH224" s="116"/>
      <c r="AI224" s="31">
        <v>11283.14</v>
      </c>
      <c r="AJ224" s="33">
        <f t="shared" si="109"/>
        <v>19035.04</v>
      </c>
      <c r="AK224" s="54">
        <v>0</v>
      </c>
      <c r="AL224" s="31">
        <f t="shared" si="103"/>
        <v>485.4135</v>
      </c>
      <c r="AM224" s="31">
        <f t="shared" si="103"/>
        <v>970.827</v>
      </c>
      <c r="AN224" s="34">
        <f t="shared" si="104"/>
        <v>970.827</v>
      </c>
      <c r="AO224" s="35">
        <f t="shared" si="105"/>
        <v>18064.213</v>
      </c>
      <c r="AP224" s="36">
        <f t="shared" si="106"/>
        <v>11450.779999999999</v>
      </c>
      <c r="AQ224" s="34">
        <f t="shared" si="76"/>
        <v>17300.814666666665</v>
      </c>
      <c r="AR224" s="34">
        <f t="shared" si="77"/>
        <v>1550.3799999999999</v>
      </c>
      <c r="AS224" s="36"/>
      <c r="AT224" s="36"/>
      <c r="AU224" s="36"/>
      <c r="AV224" s="116"/>
      <c r="AW224" s="116"/>
      <c r="AX224" s="116"/>
      <c r="AY224" s="34">
        <f t="shared" si="107"/>
        <v>3100.7599999999998</v>
      </c>
      <c r="AZ224" s="38"/>
      <c r="BA224" s="31">
        <f t="shared" si="79"/>
        <v>0</v>
      </c>
      <c r="BB224" s="32">
        <f t="shared" si="80"/>
        <v>0</v>
      </c>
      <c r="BC224" s="37">
        <f t="shared" si="98"/>
        <v>74.679000000000002</v>
      </c>
      <c r="BD224" s="37">
        <f t="shared" si="98"/>
        <v>149.358</v>
      </c>
      <c r="BE224" s="34">
        <f t="shared" si="95"/>
        <v>571.05119999999999</v>
      </c>
      <c r="BF224" s="34">
        <f t="shared" si="96"/>
        <v>1526.62184</v>
      </c>
      <c r="BG224" s="59" t="s">
        <v>1805</v>
      </c>
      <c r="BH224" s="59" t="s">
        <v>1806</v>
      </c>
      <c r="BI224" s="38">
        <v>2225311816</v>
      </c>
      <c r="BJ224" s="39" t="s">
        <v>1807</v>
      </c>
      <c r="BK224" s="39" t="s">
        <v>1808</v>
      </c>
      <c r="BL224" s="39" t="s">
        <v>1809</v>
      </c>
      <c r="BM224" s="102" t="s">
        <v>1810</v>
      </c>
      <c r="BN224" s="39"/>
    </row>
    <row r="225" spans="1:66" ht="38.25" x14ac:dyDescent="0.25">
      <c r="A225" s="122">
        <v>92700209</v>
      </c>
      <c r="B225" s="42">
        <v>27</v>
      </c>
      <c r="C225" s="44" t="s">
        <v>1811</v>
      </c>
      <c r="D225" s="102"/>
      <c r="E225" s="39" t="s">
        <v>1812</v>
      </c>
      <c r="F225" s="29" t="s">
        <v>1813</v>
      </c>
      <c r="G225" s="29" t="s">
        <v>1814</v>
      </c>
      <c r="H225" s="48" t="s">
        <v>84</v>
      </c>
      <c r="I225" s="40" t="s">
        <v>679</v>
      </c>
      <c r="J225" s="30" t="s">
        <v>399</v>
      </c>
      <c r="K225" s="40" t="s">
        <v>680</v>
      </c>
      <c r="L225" s="29" t="s">
        <v>329</v>
      </c>
      <c r="M225" s="103">
        <v>45658</v>
      </c>
      <c r="N225" s="116"/>
      <c r="O225" s="38"/>
      <c r="P225" s="29"/>
      <c r="Q225" s="116" t="s">
        <v>69</v>
      </c>
      <c r="R225" s="116"/>
      <c r="S225" s="97" t="s">
        <v>70</v>
      </c>
      <c r="T225" s="38">
        <v>24</v>
      </c>
      <c r="U225" s="38" t="s">
        <v>463</v>
      </c>
      <c r="V225" s="47">
        <f t="shared" ca="1" si="69"/>
        <v>31</v>
      </c>
      <c r="W225" s="97">
        <v>12520500</v>
      </c>
      <c r="X225" s="47">
        <v>177</v>
      </c>
      <c r="Y225" s="31">
        <f t="shared" si="92"/>
        <v>0</v>
      </c>
      <c r="Z225" s="31">
        <f t="shared" si="97"/>
        <v>0</v>
      </c>
      <c r="AA225" s="32"/>
      <c r="AB225" s="32"/>
      <c r="AC225" s="116"/>
      <c r="AD225" s="116"/>
      <c r="AE225" s="116"/>
      <c r="AF225" s="116"/>
      <c r="AG225" s="116"/>
      <c r="AH225" s="116"/>
      <c r="AI225" s="31"/>
      <c r="AJ225" s="33">
        <f t="shared" si="109"/>
        <v>0</v>
      </c>
      <c r="AK225" s="54">
        <v>0</v>
      </c>
      <c r="AL225" s="31">
        <f t="shared" si="103"/>
        <v>0</v>
      </c>
      <c r="AM225" s="31">
        <f t="shared" si="103"/>
        <v>0</v>
      </c>
      <c r="AN225" s="34">
        <f t="shared" si="104"/>
        <v>0</v>
      </c>
      <c r="AO225" s="35">
        <f t="shared" si="105"/>
        <v>0</v>
      </c>
      <c r="AP225" s="36">
        <f t="shared" si="106"/>
        <v>0</v>
      </c>
      <c r="AQ225" s="34">
        <f t="shared" si="76"/>
        <v>0</v>
      </c>
      <c r="AR225" s="34">
        <f t="shared" si="77"/>
        <v>0</v>
      </c>
      <c r="AS225" s="36"/>
      <c r="AT225" s="36"/>
      <c r="AU225" s="36"/>
      <c r="AV225" s="116"/>
      <c r="AW225" s="116"/>
      <c r="AX225" s="116"/>
      <c r="AY225" s="34"/>
      <c r="AZ225" s="38"/>
      <c r="BA225" s="31">
        <f t="shared" si="79"/>
        <v>0</v>
      </c>
      <c r="BB225" s="32">
        <f t="shared" si="80"/>
        <v>0</v>
      </c>
      <c r="BC225" s="37">
        <f t="shared" si="98"/>
        <v>0</v>
      </c>
      <c r="BD225" s="37">
        <f t="shared" si="98"/>
        <v>0</v>
      </c>
      <c r="BE225" s="34">
        <f t="shared" si="95"/>
        <v>0</v>
      </c>
      <c r="BF225" s="34">
        <f t="shared" si="96"/>
        <v>0</v>
      </c>
      <c r="BG225" s="59" t="s">
        <v>1815</v>
      </c>
      <c r="BH225" s="59" t="s">
        <v>1816</v>
      </c>
      <c r="BI225" s="38">
        <v>2223427630</v>
      </c>
      <c r="BJ225" s="39" t="s">
        <v>1817</v>
      </c>
      <c r="BK225" s="39" t="s">
        <v>1818</v>
      </c>
      <c r="BL225" s="39" t="s">
        <v>1819</v>
      </c>
      <c r="BM225" s="102" t="s">
        <v>1820</v>
      </c>
      <c r="BN225" s="39"/>
    </row>
    <row r="226" spans="1:66" ht="38.25" hidden="1" x14ac:dyDescent="0.25">
      <c r="A226" s="122">
        <v>92700210</v>
      </c>
      <c r="B226" s="92">
        <v>6</v>
      </c>
      <c r="C226" s="44" t="s">
        <v>1821</v>
      </c>
      <c r="D226" s="44" t="s">
        <v>1822</v>
      </c>
      <c r="E226" s="39" t="s">
        <v>1823</v>
      </c>
      <c r="F226" s="29" t="s">
        <v>1824</v>
      </c>
      <c r="G226" s="29" t="s">
        <v>1825</v>
      </c>
      <c r="H226" s="88" t="s">
        <v>315</v>
      </c>
      <c r="I226" s="40" t="s">
        <v>930</v>
      </c>
      <c r="J226" s="30" t="s">
        <v>399</v>
      </c>
      <c r="K226" s="40" t="s">
        <v>680</v>
      </c>
      <c r="L226" s="29" t="s">
        <v>320</v>
      </c>
      <c r="M226" s="103">
        <v>45658</v>
      </c>
      <c r="N226" s="116"/>
      <c r="O226" s="38"/>
      <c r="P226" s="29"/>
      <c r="Q226" s="116" t="s">
        <v>69</v>
      </c>
      <c r="R226" s="116"/>
      <c r="S226" s="97" t="s">
        <v>148</v>
      </c>
      <c r="T226" s="38">
        <v>24</v>
      </c>
      <c r="U226" s="38" t="s">
        <v>149</v>
      </c>
      <c r="V226" s="47">
        <f t="shared" ca="1" si="69"/>
        <v>30</v>
      </c>
      <c r="W226" s="97">
        <v>12555200</v>
      </c>
      <c r="X226" s="38"/>
      <c r="Y226" s="31">
        <f t="shared" si="92"/>
        <v>0</v>
      </c>
      <c r="Z226" s="31">
        <f t="shared" si="97"/>
        <v>0</v>
      </c>
      <c r="AA226" s="32"/>
      <c r="AB226" s="32"/>
      <c r="AC226" s="116"/>
      <c r="AD226" s="116"/>
      <c r="AE226" s="116"/>
      <c r="AF226" s="116"/>
      <c r="AG226" s="116"/>
      <c r="AH226" s="116"/>
      <c r="AI226" s="31"/>
      <c r="AJ226" s="33">
        <f t="shared" si="109"/>
        <v>0</v>
      </c>
      <c r="AK226" s="54">
        <v>0</v>
      </c>
      <c r="AL226" s="31">
        <f t="shared" si="103"/>
        <v>0</v>
      </c>
      <c r="AM226" s="31">
        <f t="shared" si="103"/>
        <v>0</v>
      </c>
      <c r="AN226" s="34">
        <f t="shared" si="104"/>
        <v>0</v>
      </c>
      <c r="AO226" s="35"/>
      <c r="AP226" s="36">
        <f t="shared" si="106"/>
        <v>0</v>
      </c>
      <c r="AQ226" s="34">
        <f t="shared" si="76"/>
        <v>0</v>
      </c>
      <c r="AR226" s="34">
        <f t="shared" si="77"/>
        <v>0</v>
      </c>
      <c r="AS226" s="36"/>
      <c r="AT226" s="36"/>
      <c r="AU226" s="36"/>
      <c r="AV226" s="116"/>
      <c r="AW226" s="116"/>
      <c r="AX226" s="116"/>
      <c r="AY226" s="34"/>
      <c r="AZ226" s="38"/>
      <c r="BA226" s="31">
        <f t="shared" si="79"/>
        <v>0</v>
      </c>
      <c r="BB226" s="32">
        <f t="shared" si="80"/>
        <v>0</v>
      </c>
      <c r="BC226" s="37">
        <f t="shared" si="98"/>
        <v>0</v>
      </c>
      <c r="BD226" s="37">
        <f t="shared" si="98"/>
        <v>0</v>
      </c>
      <c r="BE226" s="34">
        <f t="shared" si="95"/>
        <v>0</v>
      </c>
      <c r="BF226" s="34">
        <f t="shared" si="96"/>
        <v>0</v>
      </c>
      <c r="BG226" s="59" t="s">
        <v>1826</v>
      </c>
      <c r="BH226" s="59" t="s">
        <v>1827</v>
      </c>
      <c r="BI226" s="38">
        <v>2216050668</v>
      </c>
      <c r="BJ226" s="39" t="s">
        <v>1828</v>
      </c>
      <c r="BK226" s="39" t="s">
        <v>1829</v>
      </c>
      <c r="BL226" s="39" t="s">
        <v>1830</v>
      </c>
      <c r="BM226" s="102" t="s">
        <v>1831</v>
      </c>
      <c r="BN226" s="39"/>
    </row>
    <row r="227" spans="1:66" ht="38.25" x14ac:dyDescent="0.25">
      <c r="A227" s="122">
        <v>92700210</v>
      </c>
      <c r="B227" s="42">
        <v>74</v>
      </c>
      <c r="C227" s="44" t="s">
        <v>1822</v>
      </c>
      <c r="D227" s="38"/>
      <c r="E227" s="39" t="s">
        <v>1823</v>
      </c>
      <c r="F227" s="29" t="s">
        <v>1824</v>
      </c>
      <c r="G227" s="29" t="s">
        <v>1825</v>
      </c>
      <c r="H227" s="48" t="s">
        <v>315</v>
      </c>
      <c r="I227" s="40" t="s">
        <v>930</v>
      </c>
      <c r="J227" s="40" t="s">
        <v>129</v>
      </c>
      <c r="K227" s="40" t="s">
        <v>1534</v>
      </c>
      <c r="L227" s="29" t="s">
        <v>329</v>
      </c>
      <c r="M227" s="38"/>
      <c r="N227" s="103">
        <v>45717</v>
      </c>
      <c r="O227" s="38"/>
      <c r="P227" s="29"/>
      <c r="Q227" s="116" t="s">
        <v>69</v>
      </c>
      <c r="R227" s="116"/>
      <c r="S227" s="97" t="s">
        <v>148</v>
      </c>
      <c r="T227" s="38">
        <v>24</v>
      </c>
      <c r="U227" s="38" t="s">
        <v>149</v>
      </c>
      <c r="V227" s="47">
        <f t="shared" ca="1" si="69"/>
        <v>30</v>
      </c>
      <c r="W227" s="97">
        <v>12555200</v>
      </c>
      <c r="X227" s="47">
        <v>185</v>
      </c>
      <c r="Y227" s="31">
        <f t="shared" si="92"/>
        <v>0</v>
      </c>
      <c r="Z227" s="31">
        <f t="shared" si="97"/>
        <v>0</v>
      </c>
      <c r="AA227" s="32"/>
      <c r="AB227" s="32"/>
      <c r="AC227" s="116"/>
      <c r="AD227" s="116"/>
      <c r="AE227" s="116"/>
      <c r="AF227" s="116"/>
      <c r="AG227" s="116"/>
      <c r="AH227" s="116"/>
      <c r="AI227" s="31"/>
      <c r="AJ227" s="33">
        <f t="shared" si="109"/>
        <v>0</v>
      </c>
      <c r="AK227" s="54">
        <v>0</v>
      </c>
      <c r="AL227" s="31">
        <f t="shared" si="103"/>
        <v>0</v>
      </c>
      <c r="AM227" s="31">
        <f t="shared" si="103"/>
        <v>0</v>
      </c>
      <c r="AN227" s="34">
        <f t="shared" si="104"/>
        <v>0</v>
      </c>
      <c r="AO227" s="35"/>
      <c r="AP227" s="36">
        <f t="shared" si="106"/>
        <v>0</v>
      </c>
      <c r="AQ227" s="34">
        <f t="shared" si="76"/>
        <v>0</v>
      </c>
      <c r="AR227" s="34">
        <f t="shared" si="77"/>
        <v>0</v>
      </c>
      <c r="AS227" s="36"/>
      <c r="AT227" s="36"/>
      <c r="AU227" s="36"/>
      <c r="AV227" s="116"/>
      <c r="AW227" s="116"/>
      <c r="AX227" s="116"/>
      <c r="AY227" s="34"/>
      <c r="AZ227" s="38"/>
      <c r="BA227" s="31">
        <f t="shared" si="79"/>
        <v>0</v>
      </c>
      <c r="BB227" s="32">
        <f t="shared" si="80"/>
        <v>0</v>
      </c>
      <c r="BC227" s="37">
        <f t="shared" si="98"/>
        <v>0</v>
      </c>
      <c r="BD227" s="37">
        <f t="shared" si="98"/>
        <v>0</v>
      </c>
      <c r="BE227" s="34">
        <f t="shared" si="95"/>
        <v>0</v>
      </c>
      <c r="BF227" s="34">
        <f t="shared" si="96"/>
        <v>0</v>
      </c>
      <c r="BG227" s="59" t="s">
        <v>1826</v>
      </c>
      <c r="BH227" s="59" t="s">
        <v>1827</v>
      </c>
      <c r="BI227" s="38">
        <v>2216050668</v>
      </c>
      <c r="BJ227" s="39" t="s">
        <v>1828</v>
      </c>
      <c r="BK227" s="39" t="s">
        <v>1829</v>
      </c>
      <c r="BL227" s="39" t="s">
        <v>1830</v>
      </c>
      <c r="BM227" s="102" t="s">
        <v>1831</v>
      </c>
      <c r="BN227" s="39"/>
    </row>
    <row r="228" spans="1:66" ht="38.25" hidden="1" x14ac:dyDescent="0.2">
      <c r="A228" s="122">
        <v>92700211</v>
      </c>
      <c r="B228" s="92">
        <v>59</v>
      </c>
      <c r="C228" s="44" t="s">
        <v>1832</v>
      </c>
      <c r="D228" s="44" t="s">
        <v>1833</v>
      </c>
      <c r="E228" s="39" t="s">
        <v>1834</v>
      </c>
      <c r="F228" s="119" t="s">
        <v>1835</v>
      </c>
      <c r="G228" s="119" t="s">
        <v>1836</v>
      </c>
      <c r="H228" s="88" t="s">
        <v>315</v>
      </c>
      <c r="I228" s="40" t="s">
        <v>930</v>
      </c>
      <c r="J228" s="40" t="s">
        <v>322</v>
      </c>
      <c r="K228" s="40" t="s">
        <v>323</v>
      </c>
      <c r="L228" s="29" t="s">
        <v>320</v>
      </c>
      <c r="M228" s="103">
        <v>45658</v>
      </c>
      <c r="N228" s="116"/>
      <c r="O228" s="38"/>
      <c r="P228" s="29"/>
      <c r="Q228" s="116" t="s">
        <v>69</v>
      </c>
      <c r="R228" s="116"/>
      <c r="S228" s="97" t="s">
        <v>70</v>
      </c>
      <c r="T228" s="38">
        <v>26</v>
      </c>
      <c r="U228" s="38" t="s">
        <v>305</v>
      </c>
      <c r="V228" s="47">
        <f t="shared" ca="1" si="69"/>
        <v>27</v>
      </c>
      <c r="W228" s="97">
        <v>12555400</v>
      </c>
      <c r="X228" s="38"/>
      <c r="Y228" s="31">
        <f t="shared" si="92"/>
        <v>0</v>
      </c>
      <c r="Z228" s="31">
        <f t="shared" si="97"/>
        <v>0</v>
      </c>
      <c r="AA228" s="32"/>
      <c r="AB228" s="32"/>
      <c r="AC228" s="116"/>
      <c r="AD228" s="116"/>
      <c r="AE228" s="116"/>
      <c r="AF228" s="116"/>
      <c r="AG228" s="116"/>
      <c r="AH228" s="116"/>
      <c r="AI228" s="31"/>
      <c r="AJ228" s="33">
        <f t="shared" si="109"/>
        <v>0</v>
      </c>
      <c r="AK228" s="54">
        <v>0</v>
      </c>
      <c r="AL228" s="31">
        <f t="shared" si="103"/>
        <v>0</v>
      </c>
      <c r="AM228" s="31">
        <f t="shared" si="103"/>
        <v>0</v>
      </c>
      <c r="AN228" s="34">
        <f t="shared" si="104"/>
        <v>0</v>
      </c>
      <c r="AO228" s="35"/>
      <c r="AP228" s="36">
        <f t="shared" si="106"/>
        <v>0</v>
      </c>
      <c r="AQ228" s="34">
        <f t="shared" si="76"/>
        <v>0</v>
      </c>
      <c r="AR228" s="34">
        <f t="shared" si="77"/>
        <v>0</v>
      </c>
      <c r="AS228" s="36"/>
      <c r="AT228" s="36"/>
      <c r="AU228" s="36"/>
      <c r="AV228" s="116"/>
      <c r="AW228" s="116"/>
      <c r="AX228" s="116"/>
      <c r="AY228" s="34"/>
      <c r="AZ228" s="38"/>
      <c r="BA228" s="31">
        <f t="shared" si="79"/>
        <v>0</v>
      </c>
      <c r="BB228" s="32">
        <f t="shared" si="80"/>
        <v>0</v>
      </c>
      <c r="BC228" s="37">
        <f t="shared" si="98"/>
        <v>0</v>
      </c>
      <c r="BD228" s="37">
        <f t="shared" si="98"/>
        <v>0</v>
      </c>
      <c r="BE228" s="34">
        <f t="shared" si="95"/>
        <v>0</v>
      </c>
      <c r="BF228" s="34">
        <f t="shared" si="96"/>
        <v>0</v>
      </c>
      <c r="BG228" s="59" t="s">
        <v>1837</v>
      </c>
      <c r="BH228" s="59" t="s">
        <v>1838</v>
      </c>
      <c r="BI228" s="38">
        <v>2371050007</v>
      </c>
      <c r="BJ228" s="39" t="s">
        <v>1839</v>
      </c>
      <c r="BK228" s="39" t="s">
        <v>1840</v>
      </c>
      <c r="BL228" s="39" t="s">
        <v>1762</v>
      </c>
      <c r="BM228" s="102" t="s">
        <v>1841</v>
      </c>
      <c r="BN228" s="39"/>
    </row>
    <row r="229" spans="1:66" ht="38.25" hidden="1" x14ac:dyDescent="0.2">
      <c r="A229" s="122">
        <v>92700211</v>
      </c>
      <c r="B229" s="92">
        <v>50</v>
      </c>
      <c r="C229" s="44" t="s">
        <v>1833</v>
      </c>
      <c r="D229" s="44" t="s">
        <v>1842</v>
      </c>
      <c r="E229" s="39" t="s">
        <v>1834</v>
      </c>
      <c r="F229" s="119" t="s">
        <v>1835</v>
      </c>
      <c r="G229" s="119" t="s">
        <v>1836</v>
      </c>
      <c r="H229" s="88" t="s">
        <v>315</v>
      </c>
      <c r="I229" s="40" t="s">
        <v>930</v>
      </c>
      <c r="J229" s="40" t="s">
        <v>322</v>
      </c>
      <c r="K229" s="40" t="s">
        <v>450</v>
      </c>
      <c r="L229" s="29" t="s">
        <v>10</v>
      </c>
      <c r="M229" s="38"/>
      <c r="N229" s="103">
        <v>45673</v>
      </c>
      <c r="O229" s="38"/>
      <c r="P229" s="29"/>
      <c r="Q229" s="116" t="s">
        <v>69</v>
      </c>
      <c r="R229" s="116"/>
      <c r="S229" s="97" t="s">
        <v>70</v>
      </c>
      <c r="T229" s="38">
        <v>26</v>
      </c>
      <c r="U229" s="38" t="s">
        <v>305</v>
      </c>
      <c r="V229" s="47">
        <f t="shared" ca="1" si="69"/>
        <v>27</v>
      </c>
      <c r="W229" s="97">
        <v>12555400</v>
      </c>
      <c r="X229" s="38"/>
      <c r="Y229" s="31">
        <f t="shared" si="92"/>
        <v>0</v>
      </c>
      <c r="Z229" s="31">
        <f t="shared" si="97"/>
        <v>0</v>
      </c>
      <c r="AA229" s="32"/>
      <c r="AB229" s="32"/>
      <c r="AC229" s="116"/>
      <c r="AD229" s="116"/>
      <c r="AE229" s="116"/>
      <c r="AF229" s="116"/>
      <c r="AG229" s="116"/>
      <c r="AH229" s="116"/>
      <c r="AI229" s="31"/>
      <c r="AJ229" s="33">
        <f t="shared" si="109"/>
        <v>0</v>
      </c>
      <c r="AK229" s="54">
        <v>0</v>
      </c>
      <c r="AL229" s="31">
        <f t="shared" si="103"/>
        <v>0</v>
      </c>
      <c r="AM229" s="31">
        <f t="shared" si="103"/>
        <v>0</v>
      </c>
      <c r="AN229" s="34">
        <f t="shared" si="104"/>
        <v>0</v>
      </c>
      <c r="AO229" s="35"/>
      <c r="AP229" s="36">
        <f t="shared" si="106"/>
        <v>0</v>
      </c>
      <c r="AQ229" s="34">
        <f t="shared" si="76"/>
        <v>0</v>
      </c>
      <c r="AR229" s="34">
        <f t="shared" si="77"/>
        <v>0</v>
      </c>
      <c r="AS229" s="36"/>
      <c r="AT229" s="36"/>
      <c r="AU229" s="36"/>
      <c r="AV229" s="116"/>
      <c r="AW229" s="116"/>
      <c r="AX229" s="116"/>
      <c r="AY229" s="34"/>
      <c r="AZ229" s="38"/>
      <c r="BA229" s="31">
        <f t="shared" si="79"/>
        <v>0</v>
      </c>
      <c r="BB229" s="32">
        <f t="shared" si="80"/>
        <v>0</v>
      </c>
      <c r="BC229" s="37">
        <f t="shared" si="98"/>
        <v>0</v>
      </c>
      <c r="BD229" s="37">
        <f t="shared" si="98"/>
        <v>0</v>
      </c>
      <c r="BE229" s="34">
        <f t="shared" si="95"/>
        <v>0</v>
      </c>
      <c r="BF229" s="34">
        <f t="shared" si="96"/>
        <v>0</v>
      </c>
      <c r="BG229" s="59" t="s">
        <v>1837</v>
      </c>
      <c r="BH229" s="59" t="s">
        <v>1838</v>
      </c>
      <c r="BI229" s="38">
        <v>2371050007</v>
      </c>
      <c r="BJ229" s="39" t="s">
        <v>1839</v>
      </c>
      <c r="BK229" s="39" t="s">
        <v>1840</v>
      </c>
      <c r="BL229" s="39" t="s">
        <v>1762</v>
      </c>
      <c r="BM229" s="102" t="s">
        <v>1841</v>
      </c>
      <c r="BN229" s="39"/>
    </row>
    <row r="230" spans="1:66" ht="38.25" hidden="1" x14ac:dyDescent="0.2">
      <c r="A230" s="122">
        <v>92700211</v>
      </c>
      <c r="B230" s="92">
        <v>13</v>
      </c>
      <c r="C230" s="44" t="s">
        <v>1842</v>
      </c>
      <c r="D230" s="38">
        <v>439</v>
      </c>
      <c r="E230" s="39" t="s">
        <v>1834</v>
      </c>
      <c r="F230" s="119" t="s">
        <v>1835</v>
      </c>
      <c r="G230" s="119" t="s">
        <v>1836</v>
      </c>
      <c r="H230" s="88" t="s">
        <v>65</v>
      </c>
      <c r="I230" s="40" t="s">
        <v>693</v>
      </c>
      <c r="J230" s="40" t="s">
        <v>147</v>
      </c>
      <c r="K230" s="40"/>
      <c r="L230" s="29" t="s">
        <v>10</v>
      </c>
      <c r="M230" s="38"/>
      <c r="N230" s="103">
        <v>45704</v>
      </c>
      <c r="O230" s="38"/>
      <c r="P230" s="29"/>
      <c r="Q230" s="116" t="s">
        <v>69</v>
      </c>
      <c r="R230" s="116"/>
      <c r="S230" s="97" t="s">
        <v>70</v>
      </c>
      <c r="T230" s="38">
        <v>26</v>
      </c>
      <c r="U230" s="38" t="s">
        <v>305</v>
      </c>
      <c r="V230" s="47">
        <f t="shared" ca="1" si="69"/>
        <v>27</v>
      </c>
      <c r="W230" s="97">
        <v>12555400</v>
      </c>
      <c r="X230" s="38"/>
      <c r="Y230" s="31">
        <f t="shared" si="92"/>
        <v>0</v>
      </c>
      <c r="Z230" s="31">
        <f t="shared" si="97"/>
        <v>0</v>
      </c>
      <c r="AA230" s="32"/>
      <c r="AB230" s="32"/>
      <c r="AC230" s="116"/>
      <c r="AD230" s="116"/>
      <c r="AE230" s="116"/>
      <c r="AF230" s="116"/>
      <c r="AG230" s="116"/>
      <c r="AH230" s="116"/>
      <c r="AI230" s="31"/>
      <c r="AJ230" s="33">
        <f t="shared" ref="AJ230:AJ231" si="110">SUM(AA230:AI230)</f>
        <v>0</v>
      </c>
      <c r="AK230" s="54">
        <v>0</v>
      </c>
      <c r="AL230" s="31">
        <f t="shared" si="103"/>
        <v>0</v>
      </c>
      <c r="AM230" s="31">
        <f t="shared" si="103"/>
        <v>0</v>
      </c>
      <c r="AN230" s="34">
        <f t="shared" si="104"/>
        <v>0</v>
      </c>
      <c r="AO230" s="35"/>
      <c r="AP230" s="36">
        <f t="shared" si="106"/>
        <v>0</v>
      </c>
      <c r="AQ230" s="34">
        <f t="shared" si="76"/>
        <v>0</v>
      </c>
      <c r="AR230" s="34">
        <f t="shared" si="77"/>
        <v>0</v>
      </c>
      <c r="AS230" s="36"/>
      <c r="AT230" s="36"/>
      <c r="AU230" s="36"/>
      <c r="AV230" s="116"/>
      <c r="AW230" s="116"/>
      <c r="AX230" s="116"/>
      <c r="AY230" s="34"/>
      <c r="AZ230" s="38"/>
      <c r="BA230" s="31">
        <f t="shared" si="79"/>
        <v>0</v>
      </c>
      <c r="BB230" s="32">
        <f t="shared" si="80"/>
        <v>0</v>
      </c>
      <c r="BC230" s="37">
        <f t="shared" ref="BC230:BD245" si="111">Z230*2%</f>
        <v>0</v>
      </c>
      <c r="BD230" s="37">
        <f t="shared" si="111"/>
        <v>0</v>
      </c>
      <c r="BE230" s="34">
        <f t="shared" si="95"/>
        <v>0</v>
      </c>
      <c r="BF230" s="34">
        <f t="shared" si="96"/>
        <v>0</v>
      </c>
      <c r="BG230" s="59" t="s">
        <v>1837</v>
      </c>
      <c r="BH230" s="59" t="s">
        <v>1838</v>
      </c>
      <c r="BI230" s="38">
        <v>2371050007</v>
      </c>
      <c r="BJ230" s="39" t="s">
        <v>1839</v>
      </c>
      <c r="BK230" s="39" t="s">
        <v>1840</v>
      </c>
      <c r="BL230" s="39" t="s">
        <v>1762</v>
      </c>
      <c r="BM230" s="102" t="s">
        <v>1841</v>
      </c>
      <c r="BN230" s="39"/>
    </row>
    <row r="231" spans="1:66" ht="38.25" hidden="1" x14ac:dyDescent="0.2">
      <c r="A231" s="122">
        <v>92700211</v>
      </c>
      <c r="B231" s="92">
        <v>21</v>
      </c>
      <c r="C231" s="44" t="s">
        <v>1843</v>
      </c>
      <c r="D231" s="77" t="s">
        <v>1844</v>
      </c>
      <c r="E231" s="39" t="s">
        <v>1834</v>
      </c>
      <c r="F231" s="119" t="s">
        <v>1835</v>
      </c>
      <c r="G231" s="119" t="s">
        <v>1836</v>
      </c>
      <c r="H231" s="88" t="s">
        <v>315</v>
      </c>
      <c r="I231" s="40" t="s">
        <v>930</v>
      </c>
      <c r="J231" s="40" t="s">
        <v>327</v>
      </c>
      <c r="K231" s="40" t="s">
        <v>328</v>
      </c>
      <c r="L231" s="29" t="s">
        <v>11</v>
      </c>
      <c r="M231" s="38"/>
      <c r="N231" s="103">
        <v>45854</v>
      </c>
      <c r="O231" s="103">
        <v>45945</v>
      </c>
      <c r="P231" s="29"/>
      <c r="Q231" s="116" t="s">
        <v>69</v>
      </c>
      <c r="R231" s="116"/>
      <c r="S231" s="97" t="s">
        <v>70</v>
      </c>
      <c r="T231" s="38">
        <v>26</v>
      </c>
      <c r="U231" s="38" t="s">
        <v>305</v>
      </c>
      <c r="V231" s="47">
        <f t="shared" ca="1" si="69"/>
        <v>27</v>
      </c>
      <c r="W231" s="97">
        <v>12555400</v>
      </c>
      <c r="X231" s="38"/>
      <c r="Y231" s="31">
        <f t="shared" si="92"/>
        <v>0</v>
      </c>
      <c r="Z231" s="31">
        <f t="shared" si="97"/>
        <v>0</v>
      </c>
      <c r="AA231" s="32"/>
      <c r="AB231" s="32"/>
      <c r="AC231" s="116"/>
      <c r="AD231" s="116"/>
      <c r="AE231" s="116"/>
      <c r="AF231" s="116"/>
      <c r="AG231" s="116"/>
      <c r="AH231" s="116"/>
      <c r="AI231" s="31"/>
      <c r="AJ231" s="33">
        <f t="shared" si="110"/>
        <v>0</v>
      </c>
      <c r="AK231" s="54">
        <v>0</v>
      </c>
      <c r="AL231" s="31">
        <f t="shared" si="103"/>
        <v>0</v>
      </c>
      <c r="AM231" s="31">
        <f t="shared" si="103"/>
        <v>0</v>
      </c>
      <c r="AN231" s="34">
        <f t="shared" si="104"/>
        <v>0</v>
      </c>
      <c r="AO231" s="35"/>
      <c r="AP231" s="36">
        <f t="shared" si="106"/>
        <v>0</v>
      </c>
      <c r="AQ231" s="34">
        <f t="shared" si="76"/>
        <v>0</v>
      </c>
      <c r="AR231" s="34">
        <f t="shared" si="77"/>
        <v>0</v>
      </c>
      <c r="AS231" s="36"/>
      <c r="AT231" s="36"/>
      <c r="AU231" s="36"/>
      <c r="AV231" s="116"/>
      <c r="AW231" s="116"/>
      <c r="AX231" s="116"/>
      <c r="AY231" s="34"/>
      <c r="AZ231" s="38"/>
      <c r="BA231" s="31">
        <f t="shared" si="79"/>
        <v>0</v>
      </c>
      <c r="BB231" s="32">
        <f t="shared" si="80"/>
        <v>0</v>
      </c>
      <c r="BC231" s="37">
        <f t="shared" si="111"/>
        <v>0</v>
      </c>
      <c r="BD231" s="37">
        <f t="shared" si="111"/>
        <v>0</v>
      </c>
      <c r="BE231" s="34">
        <f t="shared" si="95"/>
        <v>0</v>
      </c>
      <c r="BF231" s="34">
        <f t="shared" si="96"/>
        <v>0</v>
      </c>
      <c r="BG231" s="59" t="s">
        <v>1837</v>
      </c>
      <c r="BH231" s="59" t="s">
        <v>1838</v>
      </c>
      <c r="BI231" s="38">
        <v>2371050007</v>
      </c>
      <c r="BJ231" s="39" t="s">
        <v>1839</v>
      </c>
      <c r="BK231" s="39" t="s">
        <v>1840</v>
      </c>
      <c r="BL231" s="39" t="s">
        <v>1762</v>
      </c>
      <c r="BM231" s="102" t="s">
        <v>1841</v>
      </c>
      <c r="BN231" s="39"/>
    </row>
    <row r="232" spans="1:66" ht="38.25" hidden="1" x14ac:dyDescent="0.2">
      <c r="A232" s="122">
        <v>92700212</v>
      </c>
      <c r="B232" s="92">
        <v>5</v>
      </c>
      <c r="C232" s="44" t="s">
        <v>1845</v>
      </c>
      <c r="D232" s="44" t="s">
        <v>1846</v>
      </c>
      <c r="E232" s="39" t="s">
        <v>1847</v>
      </c>
      <c r="F232" s="119" t="s">
        <v>1848</v>
      </c>
      <c r="G232" s="119" t="s">
        <v>1849</v>
      </c>
      <c r="H232" s="88" t="s">
        <v>84</v>
      </c>
      <c r="I232" s="40" t="s">
        <v>1348</v>
      </c>
      <c r="J232" s="40" t="s">
        <v>86</v>
      </c>
      <c r="K232" s="40" t="s">
        <v>174</v>
      </c>
      <c r="L232" s="29" t="s">
        <v>10</v>
      </c>
      <c r="M232" s="103">
        <v>45658</v>
      </c>
      <c r="N232" s="116"/>
      <c r="O232" s="38"/>
      <c r="P232" s="29"/>
      <c r="Q232" s="116" t="s">
        <v>69</v>
      </c>
      <c r="R232" s="116"/>
      <c r="S232" s="97" t="s">
        <v>148</v>
      </c>
      <c r="T232" s="38">
        <v>22</v>
      </c>
      <c r="U232" s="38" t="s">
        <v>103</v>
      </c>
      <c r="V232" s="47">
        <f t="shared" ca="1" si="69"/>
        <v>28</v>
      </c>
      <c r="W232" s="97">
        <v>12085900</v>
      </c>
      <c r="X232" s="38"/>
      <c r="Y232" s="31">
        <f t="shared" si="92"/>
        <v>0</v>
      </c>
      <c r="Z232" s="31">
        <f t="shared" si="97"/>
        <v>0</v>
      </c>
      <c r="AA232" s="32"/>
      <c r="AB232" s="32"/>
      <c r="AC232" s="116"/>
      <c r="AD232" s="116"/>
      <c r="AE232" s="116"/>
      <c r="AF232" s="116"/>
      <c r="AG232" s="116"/>
      <c r="AH232" s="116"/>
      <c r="AI232" s="31"/>
      <c r="AJ232" s="33">
        <f t="shared" ref="AJ232:AJ233" si="112">SUM(AA232:AI232)</f>
        <v>0</v>
      </c>
      <c r="AK232" s="54">
        <v>0</v>
      </c>
      <c r="AL232" s="31">
        <f t="shared" si="103"/>
        <v>0</v>
      </c>
      <c r="AM232" s="31">
        <f t="shared" si="103"/>
        <v>0</v>
      </c>
      <c r="AN232" s="34"/>
      <c r="AO232" s="35"/>
      <c r="AP232" s="36">
        <f t="shared" si="106"/>
        <v>0</v>
      </c>
      <c r="AQ232" s="34">
        <f t="shared" si="76"/>
        <v>0</v>
      </c>
      <c r="AR232" s="34">
        <f t="shared" si="77"/>
        <v>0</v>
      </c>
      <c r="AS232" s="36"/>
      <c r="AT232" s="36"/>
      <c r="AU232" s="36"/>
      <c r="AV232" s="116"/>
      <c r="AW232" s="116"/>
      <c r="AX232" s="116"/>
      <c r="AY232" s="34"/>
      <c r="AZ232" s="38"/>
      <c r="BA232" s="31">
        <f t="shared" si="79"/>
        <v>0</v>
      </c>
      <c r="BB232" s="32">
        <f t="shared" si="80"/>
        <v>0</v>
      </c>
      <c r="BC232" s="37">
        <f t="shared" si="111"/>
        <v>0</v>
      </c>
      <c r="BD232" s="37">
        <f t="shared" si="111"/>
        <v>0</v>
      </c>
      <c r="BE232" s="34">
        <f t="shared" si="95"/>
        <v>0</v>
      </c>
      <c r="BF232" s="34">
        <f t="shared" si="96"/>
        <v>0</v>
      </c>
      <c r="BG232" s="59" t="s">
        <v>1850</v>
      </c>
      <c r="BH232" s="59" t="s">
        <v>1851</v>
      </c>
      <c r="BI232" s="38">
        <v>2212069069</v>
      </c>
      <c r="BJ232" s="39" t="s">
        <v>1852</v>
      </c>
      <c r="BK232" s="39" t="s">
        <v>1852</v>
      </c>
      <c r="BL232" s="39" t="s">
        <v>1853</v>
      </c>
      <c r="BM232" s="102" t="s">
        <v>1854</v>
      </c>
      <c r="BN232" s="39"/>
    </row>
    <row r="233" spans="1:66" ht="38.25" hidden="1" x14ac:dyDescent="0.2">
      <c r="A233" s="122" t="s">
        <v>1855</v>
      </c>
      <c r="B233" s="92">
        <v>80</v>
      </c>
      <c r="C233" s="44" t="s">
        <v>1846</v>
      </c>
      <c r="D233" s="44" t="s">
        <v>1856</v>
      </c>
      <c r="E233" s="39" t="s">
        <v>1847</v>
      </c>
      <c r="F233" s="119" t="s">
        <v>1848</v>
      </c>
      <c r="G233" s="119" t="s">
        <v>1849</v>
      </c>
      <c r="H233" s="88" t="s">
        <v>84</v>
      </c>
      <c r="I233" s="40" t="s">
        <v>930</v>
      </c>
      <c r="J233" s="40" t="s">
        <v>325</v>
      </c>
      <c r="K233" s="40" t="s">
        <v>326</v>
      </c>
      <c r="L233" s="29" t="s">
        <v>320</v>
      </c>
      <c r="M233" s="103"/>
      <c r="N233" s="103">
        <v>45689</v>
      </c>
      <c r="O233" s="38"/>
      <c r="P233" s="29"/>
      <c r="Q233" s="116" t="s">
        <v>69</v>
      </c>
      <c r="R233" s="116"/>
      <c r="S233" s="97" t="s">
        <v>148</v>
      </c>
      <c r="T233" s="38">
        <v>22</v>
      </c>
      <c r="U233" s="38" t="s">
        <v>103</v>
      </c>
      <c r="V233" s="47">
        <f t="shared" ca="1" si="69"/>
        <v>28</v>
      </c>
      <c r="W233" s="97">
        <v>12085900</v>
      </c>
      <c r="X233" s="38"/>
      <c r="Y233" s="31">
        <f t="shared" si="92"/>
        <v>0</v>
      </c>
      <c r="Z233" s="31">
        <f t="shared" si="97"/>
        <v>0</v>
      </c>
      <c r="AA233" s="32"/>
      <c r="AB233" s="32"/>
      <c r="AC233" s="116"/>
      <c r="AD233" s="116"/>
      <c r="AE233" s="116"/>
      <c r="AF233" s="116"/>
      <c r="AG233" s="116"/>
      <c r="AH233" s="116"/>
      <c r="AI233" s="31"/>
      <c r="AJ233" s="33">
        <f t="shared" si="112"/>
        <v>0</v>
      </c>
      <c r="AK233" s="54">
        <v>0</v>
      </c>
      <c r="AL233" s="31">
        <f t="shared" si="103"/>
        <v>0</v>
      </c>
      <c r="AM233" s="31">
        <f t="shared" si="103"/>
        <v>0</v>
      </c>
      <c r="AN233" s="34"/>
      <c r="AO233" s="35"/>
      <c r="AP233" s="36">
        <f t="shared" si="106"/>
        <v>0</v>
      </c>
      <c r="AQ233" s="34">
        <f t="shared" si="76"/>
        <v>0</v>
      </c>
      <c r="AR233" s="34">
        <f t="shared" si="77"/>
        <v>0</v>
      </c>
      <c r="AS233" s="36"/>
      <c r="AT233" s="36"/>
      <c r="AU233" s="36"/>
      <c r="AV233" s="116"/>
      <c r="AW233" s="116"/>
      <c r="AX233" s="116"/>
      <c r="AY233" s="34"/>
      <c r="AZ233" s="38"/>
      <c r="BA233" s="31">
        <f t="shared" si="79"/>
        <v>0</v>
      </c>
      <c r="BB233" s="32">
        <f t="shared" si="80"/>
        <v>0</v>
      </c>
      <c r="BC233" s="37">
        <f t="shared" si="111"/>
        <v>0</v>
      </c>
      <c r="BD233" s="37">
        <f t="shared" si="111"/>
        <v>0</v>
      </c>
      <c r="BE233" s="34">
        <f t="shared" si="95"/>
        <v>0</v>
      </c>
      <c r="BF233" s="34">
        <f t="shared" si="96"/>
        <v>0</v>
      </c>
      <c r="BG233" s="59" t="s">
        <v>1850</v>
      </c>
      <c r="BH233" s="59" t="s">
        <v>1851</v>
      </c>
      <c r="BI233" s="38">
        <v>2212069069</v>
      </c>
      <c r="BJ233" s="39" t="s">
        <v>1852</v>
      </c>
      <c r="BK233" s="39" t="s">
        <v>1852</v>
      </c>
      <c r="BL233" s="39" t="s">
        <v>1853</v>
      </c>
      <c r="BM233" s="102" t="s">
        <v>1854</v>
      </c>
      <c r="BN233" s="39"/>
    </row>
    <row r="234" spans="1:66" ht="38.25" x14ac:dyDescent="0.2">
      <c r="A234" s="122">
        <v>92700212</v>
      </c>
      <c r="B234" s="42">
        <v>61</v>
      </c>
      <c r="C234" s="44" t="s">
        <v>1856</v>
      </c>
      <c r="D234" s="38"/>
      <c r="E234" s="39" t="s">
        <v>1847</v>
      </c>
      <c r="F234" s="119" t="s">
        <v>1848</v>
      </c>
      <c r="G234" s="119" t="s">
        <v>1849</v>
      </c>
      <c r="H234" s="48" t="s">
        <v>315</v>
      </c>
      <c r="I234" s="40" t="s">
        <v>930</v>
      </c>
      <c r="J234" s="40" t="s">
        <v>86</v>
      </c>
      <c r="K234" s="40" t="s">
        <v>174</v>
      </c>
      <c r="L234" s="29" t="s">
        <v>329</v>
      </c>
      <c r="M234" s="103"/>
      <c r="N234" s="103">
        <v>45778</v>
      </c>
      <c r="O234" s="38"/>
      <c r="P234" s="29"/>
      <c r="Q234" s="116" t="s">
        <v>69</v>
      </c>
      <c r="R234" s="116"/>
      <c r="S234" s="97" t="s">
        <v>148</v>
      </c>
      <c r="T234" s="38">
        <v>22</v>
      </c>
      <c r="U234" s="38" t="s">
        <v>103</v>
      </c>
      <c r="V234" s="47">
        <f t="shared" ca="1" si="69"/>
        <v>28</v>
      </c>
      <c r="W234" s="97">
        <v>12085900</v>
      </c>
      <c r="X234" s="47">
        <v>192</v>
      </c>
      <c r="Y234" s="31">
        <f t="shared" si="92"/>
        <v>0</v>
      </c>
      <c r="Z234" s="31">
        <f t="shared" si="97"/>
        <v>0</v>
      </c>
      <c r="AA234" s="32"/>
      <c r="AB234" s="32"/>
      <c r="AC234" s="116"/>
      <c r="AD234" s="116"/>
      <c r="AE234" s="116"/>
      <c r="AF234" s="116"/>
      <c r="AG234" s="116"/>
      <c r="AH234" s="116"/>
      <c r="AI234" s="31"/>
      <c r="AJ234" s="33">
        <f t="shared" ref="AJ234" si="113">SUM(AA234:AI234)</f>
        <v>0</v>
      </c>
      <c r="AK234" s="54">
        <v>0</v>
      </c>
      <c r="AL234" s="31">
        <f t="shared" si="103"/>
        <v>0</v>
      </c>
      <c r="AM234" s="31">
        <f t="shared" si="103"/>
        <v>0</v>
      </c>
      <c r="AN234" s="34"/>
      <c r="AO234" s="35"/>
      <c r="AP234" s="36">
        <f t="shared" si="106"/>
        <v>0</v>
      </c>
      <c r="AQ234" s="34">
        <f t="shared" si="76"/>
        <v>0</v>
      </c>
      <c r="AR234" s="34">
        <f t="shared" si="77"/>
        <v>0</v>
      </c>
      <c r="AS234" s="36"/>
      <c r="AT234" s="36"/>
      <c r="AU234" s="36"/>
      <c r="AV234" s="116"/>
      <c r="AW234" s="116"/>
      <c r="AX234" s="116"/>
      <c r="AY234" s="34"/>
      <c r="AZ234" s="38"/>
      <c r="BA234" s="31">
        <f t="shared" si="79"/>
        <v>0</v>
      </c>
      <c r="BB234" s="32">
        <f t="shared" si="80"/>
        <v>0</v>
      </c>
      <c r="BC234" s="37">
        <f t="shared" si="111"/>
        <v>0</v>
      </c>
      <c r="BD234" s="37">
        <f t="shared" si="111"/>
        <v>0</v>
      </c>
      <c r="BE234" s="34">
        <f t="shared" si="95"/>
        <v>0</v>
      </c>
      <c r="BF234" s="34">
        <f t="shared" si="96"/>
        <v>0</v>
      </c>
      <c r="BG234" s="59" t="s">
        <v>1850</v>
      </c>
      <c r="BH234" s="59" t="s">
        <v>1851</v>
      </c>
      <c r="BI234" s="38">
        <v>2212069069</v>
      </c>
      <c r="BJ234" s="39" t="s">
        <v>1852</v>
      </c>
      <c r="BK234" s="39" t="s">
        <v>1852</v>
      </c>
      <c r="BL234" s="39" t="s">
        <v>1853</v>
      </c>
      <c r="BM234" s="102" t="s">
        <v>1854</v>
      </c>
      <c r="BN234" s="39"/>
    </row>
    <row r="235" spans="1:66" ht="25.5" x14ac:dyDescent="0.2">
      <c r="A235" s="122">
        <v>92700213</v>
      </c>
      <c r="B235" s="42">
        <v>76</v>
      </c>
      <c r="C235" s="44" t="s">
        <v>1857</v>
      </c>
      <c r="D235" s="102"/>
      <c r="E235" s="39" t="s">
        <v>1858</v>
      </c>
      <c r="F235" s="119" t="s">
        <v>1859</v>
      </c>
      <c r="G235" s="119" t="s">
        <v>1860</v>
      </c>
      <c r="H235" s="48" t="s">
        <v>315</v>
      </c>
      <c r="I235" s="40" t="s">
        <v>930</v>
      </c>
      <c r="J235" s="30" t="s">
        <v>129</v>
      </c>
      <c r="K235" s="40" t="s">
        <v>130</v>
      </c>
      <c r="L235" s="29" t="s">
        <v>329</v>
      </c>
      <c r="M235" s="103">
        <v>45658</v>
      </c>
      <c r="N235" s="116"/>
      <c r="O235" s="38"/>
      <c r="P235" s="29"/>
      <c r="Q235" s="116" t="s">
        <v>69</v>
      </c>
      <c r="R235" s="116"/>
      <c r="S235" s="38" t="s">
        <v>70</v>
      </c>
      <c r="T235" s="38">
        <v>14</v>
      </c>
      <c r="U235" s="38" t="s">
        <v>305</v>
      </c>
      <c r="V235" s="47">
        <f t="shared" ca="1" si="69"/>
        <v>45</v>
      </c>
      <c r="W235" s="97">
        <v>12522600</v>
      </c>
      <c r="X235" s="47">
        <v>184</v>
      </c>
      <c r="Y235" s="31">
        <f t="shared" si="92"/>
        <v>0</v>
      </c>
      <c r="Z235" s="31">
        <f t="shared" si="97"/>
        <v>0</v>
      </c>
      <c r="AA235" s="32"/>
      <c r="AB235" s="32"/>
      <c r="AC235" s="116"/>
      <c r="AD235" s="116"/>
      <c r="AE235" s="116"/>
      <c r="AF235" s="116"/>
      <c r="AG235" s="116"/>
      <c r="AH235" s="116"/>
      <c r="AI235" s="31"/>
      <c r="AJ235" s="33">
        <f t="shared" ref="AJ235:AJ275" si="114">SUM(AA235:AI235)</f>
        <v>0</v>
      </c>
      <c r="AK235" s="54">
        <v>0</v>
      </c>
      <c r="AL235" s="31"/>
      <c r="AM235" s="31"/>
      <c r="AN235" s="34"/>
      <c r="AO235" s="35"/>
      <c r="AP235" s="36"/>
      <c r="AQ235" s="34"/>
      <c r="AR235" s="34">
        <f t="shared" si="77"/>
        <v>0</v>
      </c>
      <c r="AS235" s="36"/>
      <c r="AT235" s="36"/>
      <c r="AU235" s="36"/>
      <c r="AV235" s="116"/>
      <c r="AW235" s="116"/>
      <c r="AX235" s="116"/>
      <c r="AY235" s="34"/>
      <c r="AZ235" s="38"/>
      <c r="BA235" s="31">
        <f t="shared" si="79"/>
        <v>0</v>
      </c>
      <c r="BB235" s="32">
        <f t="shared" si="80"/>
        <v>0</v>
      </c>
      <c r="BC235" s="37">
        <f t="shared" si="111"/>
        <v>0</v>
      </c>
      <c r="BD235" s="37">
        <f t="shared" si="111"/>
        <v>0</v>
      </c>
      <c r="BE235" s="34">
        <f t="shared" si="95"/>
        <v>0</v>
      </c>
      <c r="BF235" s="34">
        <f t="shared" si="96"/>
        <v>0</v>
      </c>
      <c r="BG235" s="59" t="s">
        <v>1861</v>
      </c>
      <c r="BH235" s="59" t="s">
        <v>1862</v>
      </c>
      <c r="BI235" s="38">
        <v>2221866907</v>
      </c>
      <c r="BJ235" s="39" t="s">
        <v>1863</v>
      </c>
      <c r="BK235" s="39" t="s">
        <v>1864</v>
      </c>
      <c r="BL235" s="39" t="s">
        <v>1865</v>
      </c>
      <c r="BM235" s="102" t="s">
        <v>1866</v>
      </c>
      <c r="BN235" s="39"/>
    </row>
    <row r="236" spans="1:66" ht="38.25" hidden="1" x14ac:dyDescent="0.25">
      <c r="A236" s="122">
        <v>92700214</v>
      </c>
      <c r="B236" s="92">
        <v>44</v>
      </c>
      <c r="C236" s="44" t="s">
        <v>1867</v>
      </c>
      <c r="D236" s="44" t="s">
        <v>1868</v>
      </c>
      <c r="E236" s="39" t="s">
        <v>1869</v>
      </c>
      <c r="F236" s="29" t="s">
        <v>1870</v>
      </c>
      <c r="G236" s="29" t="s">
        <v>1871</v>
      </c>
      <c r="H236" s="88" t="s">
        <v>315</v>
      </c>
      <c r="I236" s="40" t="s">
        <v>930</v>
      </c>
      <c r="J236" s="30" t="s">
        <v>478</v>
      </c>
      <c r="K236" s="40" t="s">
        <v>688</v>
      </c>
      <c r="L236" s="29" t="s">
        <v>10</v>
      </c>
      <c r="M236" s="103">
        <v>45658</v>
      </c>
      <c r="N236" s="116"/>
      <c r="O236" s="38"/>
      <c r="P236" s="29"/>
      <c r="Q236" s="116" t="s">
        <v>69</v>
      </c>
      <c r="R236" s="116"/>
      <c r="S236" s="38" t="s">
        <v>70</v>
      </c>
      <c r="T236" s="38">
        <v>22</v>
      </c>
      <c r="U236" s="38" t="s">
        <v>337</v>
      </c>
      <c r="V236" s="47">
        <f t="shared" ca="1" si="69"/>
        <v>41</v>
      </c>
      <c r="W236" s="97">
        <v>12523000</v>
      </c>
      <c r="X236" s="38"/>
      <c r="Y236" s="31">
        <f t="shared" si="92"/>
        <v>0</v>
      </c>
      <c r="Z236" s="31">
        <f t="shared" si="97"/>
        <v>0</v>
      </c>
      <c r="AA236" s="32"/>
      <c r="AB236" s="32"/>
      <c r="AC236" s="116"/>
      <c r="AD236" s="116"/>
      <c r="AE236" s="116"/>
      <c r="AF236" s="116"/>
      <c r="AG236" s="116"/>
      <c r="AH236" s="116"/>
      <c r="AI236" s="31"/>
      <c r="AJ236" s="33">
        <f t="shared" si="114"/>
        <v>0</v>
      </c>
      <c r="AK236" s="54">
        <v>0</v>
      </c>
      <c r="AL236" s="31"/>
      <c r="AM236" s="31"/>
      <c r="AN236" s="34"/>
      <c r="AO236" s="35"/>
      <c r="AP236" s="36"/>
      <c r="AQ236" s="34"/>
      <c r="AR236" s="34">
        <f t="shared" si="77"/>
        <v>0</v>
      </c>
      <c r="AS236" s="36"/>
      <c r="AT236" s="36"/>
      <c r="AU236" s="36"/>
      <c r="AV236" s="116"/>
      <c r="AW236" s="116"/>
      <c r="AX236" s="116"/>
      <c r="AY236" s="34"/>
      <c r="AZ236" s="38"/>
      <c r="BA236" s="31">
        <f t="shared" si="79"/>
        <v>0</v>
      </c>
      <c r="BB236" s="32">
        <f t="shared" si="80"/>
        <v>0</v>
      </c>
      <c r="BC236" s="37">
        <f t="shared" si="111"/>
        <v>0</v>
      </c>
      <c r="BD236" s="37">
        <f t="shared" si="111"/>
        <v>0</v>
      </c>
      <c r="BE236" s="34">
        <f t="shared" si="95"/>
        <v>0</v>
      </c>
      <c r="BF236" s="34">
        <f t="shared" si="96"/>
        <v>0</v>
      </c>
      <c r="BG236" s="59" t="s">
        <v>1872</v>
      </c>
      <c r="BH236" s="59" t="s">
        <v>1873</v>
      </c>
      <c r="BI236" s="38">
        <v>6864203569</v>
      </c>
      <c r="BJ236" s="39" t="s">
        <v>1874</v>
      </c>
      <c r="BK236" s="39" t="s">
        <v>1874</v>
      </c>
      <c r="BL236" s="39" t="s">
        <v>1875</v>
      </c>
      <c r="BM236" s="102" t="s">
        <v>1876</v>
      </c>
      <c r="BN236" s="39"/>
    </row>
    <row r="237" spans="1:66" ht="38.25" hidden="1" x14ac:dyDescent="0.25">
      <c r="A237" s="122">
        <v>92700214</v>
      </c>
      <c r="B237" s="92">
        <v>35</v>
      </c>
      <c r="C237" s="44" t="s">
        <v>1868</v>
      </c>
      <c r="D237" s="102" t="s">
        <v>1877</v>
      </c>
      <c r="E237" s="39" t="s">
        <v>1869</v>
      </c>
      <c r="F237" s="29" t="s">
        <v>1870</v>
      </c>
      <c r="G237" s="29" t="s">
        <v>1871</v>
      </c>
      <c r="H237" s="88" t="s">
        <v>84</v>
      </c>
      <c r="I237" s="40" t="s">
        <v>1878</v>
      </c>
      <c r="J237" s="30" t="s">
        <v>478</v>
      </c>
      <c r="K237" s="40" t="s">
        <v>688</v>
      </c>
      <c r="L237" s="29" t="s">
        <v>10</v>
      </c>
      <c r="M237" s="38"/>
      <c r="N237" s="103">
        <v>45673</v>
      </c>
      <c r="O237" s="38"/>
      <c r="P237" s="29"/>
      <c r="Q237" s="116" t="s">
        <v>69</v>
      </c>
      <c r="R237" s="116"/>
      <c r="S237" s="38" t="s">
        <v>70</v>
      </c>
      <c r="T237" s="38">
        <v>22</v>
      </c>
      <c r="U237" s="38" t="s">
        <v>337</v>
      </c>
      <c r="V237" s="47">
        <f t="shared" ca="1" si="69"/>
        <v>41</v>
      </c>
      <c r="W237" s="97">
        <v>12523000</v>
      </c>
      <c r="X237" s="38"/>
      <c r="Y237" s="31">
        <f t="shared" si="92"/>
        <v>0</v>
      </c>
      <c r="Z237" s="31">
        <f t="shared" si="97"/>
        <v>0</v>
      </c>
      <c r="AA237" s="32"/>
      <c r="AB237" s="32"/>
      <c r="AC237" s="116"/>
      <c r="AD237" s="116"/>
      <c r="AE237" s="116"/>
      <c r="AF237" s="116"/>
      <c r="AG237" s="116"/>
      <c r="AH237" s="116"/>
      <c r="AI237" s="31"/>
      <c r="AJ237" s="33">
        <f t="shared" ref="AJ237:AJ238" si="115">SUM(AA237:AI237)</f>
        <v>0</v>
      </c>
      <c r="AK237" s="54">
        <v>0</v>
      </c>
      <c r="AL237" s="31"/>
      <c r="AM237" s="31"/>
      <c r="AN237" s="34"/>
      <c r="AO237" s="35"/>
      <c r="AP237" s="36"/>
      <c r="AQ237" s="34"/>
      <c r="AR237" s="34">
        <f t="shared" si="77"/>
        <v>0</v>
      </c>
      <c r="AS237" s="36"/>
      <c r="AT237" s="36"/>
      <c r="AU237" s="36"/>
      <c r="AV237" s="116"/>
      <c r="AW237" s="116"/>
      <c r="AX237" s="116"/>
      <c r="AY237" s="34"/>
      <c r="AZ237" s="38"/>
      <c r="BA237" s="31">
        <f t="shared" si="79"/>
        <v>0</v>
      </c>
      <c r="BB237" s="32">
        <f t="shared" si="80"/>
        <v>0</v>
      </c>
      <c r="BC237" s="37">
        <f t="shared" si="111"/>
        <v>0</v>
      </c>
      <c r="BD237" s="37">
        <f t="shared" si="111"/>
        <v>0</v>
      </c>
      <c r="BE237" s="34">
        <f t="shared" si="95"/>
        <v>0</v>
      </c>
      <c r="BF237" s="34">
        <f t="shared" si="96"/>
        <v>0</v>
      </c>
      <c r="BG237" s="59" t="s">
        <v>1872</v>
      </c>
      <c r="BH237" s="59" t="s">
        <v>1873</v>
      </c>
      <c r="BI237" s="38">
        <v>6864203569</v>
      </c>
      <c r="BJ237" s="39" t="s">
        <v>1874</v>
      </c>
      <c r="BK237" s="39" t="s">
        <v>1874</v>
      </c>
      <c r="BL237" s="39" t="s">
        <v>1875</v>
      </c>
      <c r="BM237" s="102" t="s">
        <v>1876</v>
      </c>
      <c r="BN237" s="39"/>
    </row>
    <row r="238" spans="1:66" ht="38.25" hidden="1" x14ac:dyDescent="0.25">
      <c r="A238" s="122">
        <v>92700214</v>
      </c>
      <c r="B238" s="92">
        <v>59</v>
      </c>
      <c r="C238" s="44" t="s">
        <v>1877</v>
      </c>
      <c r="D238" s="44" t="s">
        <v>1879</v>
      </c>
      <c r="E238" s="39" t="s">
        <v>1869</v>
      </c>
      <c r="F238" s="29" t="s">
        <v>1870</v>
      </c>
      <c r="G238" s="29" t="s">
        <v>1871</v>
      </c>
      <c r="H238" s="88" t="s">
        <v>84</v>
      </c>
      <c r="I238" s="40" t="s">
        <v>930</v>
      </c>
      <c r="J238" s="30" t="s">
        <v>322</v>
      </c>
      <c r="K238" s="40" t="s">
        <v>323</v>
      </c>
      <c r="L238" s="29" t="s">
        <v>11</v>
      </c>
      <c r="M238" s="38"/>
      <c r="N238" s="103">
        <v>45748</v>
      </c>
      <c r="O238" s="103">
        <v>45777</v>
      </c>
      <c r="P238" s="29"/>
      <c r="Q238" s="116" t="s">
        <v>69</v>
      </c>
      <c r="R238" s="116"/>
      <c r="S238" s="38" t="s">
        <v>70</v>
      </c>
      <c r="T238" s="38">
        <v>22</v>
      </c>
      <c r="U238" s="38" t="s">
        <v>337</v>
      </c>
      <c r="V238" s="47">
        <f t="shared" ca="1" si="69"/>
        <v>41</v>
      </c>
      <c r="W238" s="97">
        <v>12523000</v>
      </c>
      <c r="X238" s="38"/>
      <c r="Y238" s="31">
        <f t="shared" si="92"/>
        <v>0</v>
      </c>
      <c r="Z238" s="31">
        <f t="shared" si="97"/>
        <v>0</v>
      </c>
      <c r="AA238" s="32"/>
      <c r="AB238" s="32"/>
      <c r="AC238" s="116"/>
      <c r="AD238" s="116"/>
      <c r="AE238" s="116"/>
      <c r="AF238" s="116"/>
      <c r="AG238" s="116"/>
      <c r="AH238" s="116"/>
      <c r="AI238" s="31"/>
      <c r="AJ238" s="33">
        <f t="shared" si="115"/>
        <v>0</v>
      </c>
      <c r="AK238" s="54">
        <v>0</v>
      </c>
      <c r="AL238" s="31"/>
      <c r="AM238" s="31"/>
      <c r="AN238" s="34"/>
      <c r="AO238" s="35"/>
      <c r="AP238" s="36"/>
      <c r="AQ238" s="34"/>
      <c r="AR238" s="34">
        <f t="shared" si="77"/>
        <v>0</v>
      </c>
      <c r="AS238" s="36"/>
      <c r="AT238" s="36"/>
      <c r="AU238" s="36"/>
      <c r="AV238" s="116"/>
      <c r="AW238" s="116"/>
      <c r="AX238" s="116"/>
      <c r="AY238" s="34"/>
      <c r="AZ238" s="38"/>
      <c r="BA238" s="31">
        <f t="shared" si="79"/>
        <v>0</v>
      </c>
      <c r="BB238" s="32">
        <f t="shared" si="80"/>
        <v>0</v>
      </c>
      <c r="BC238" s="37">
        <f t="shared" si="111"/>
        <v>0</v>
      </c>
      <c r="BD238" s="37">
        <f t="shared" si="111"/>
        <v>0</v>
      </c>
      <c r="BE238" s="34">
        <f t="shared" si="95"/>
        <v>0</v>
      </c>
      <c r="BF238" s="34">
        <f t="shared" si="96"/>
        <v>0</v>
      </c>
      <c r="BG238" s="59" t="s">
        <v>1872</v>
      </c>
      <c r="BH238" s="59" t="s">
        <v>1873</v>
      </c>
      <c r="BI238" s="38">
        <v>6864203569</v>
      </c>
      <c r="BJ238" s="39" t="s">
        <v>1874</v>
      </c>
      <c r="BK238" s="39" t="s">
        <v>1874</v>
      </c>
      <c r="BL238" s="39" t="s">
        <v>1875</v>
      </c>
      <c r="BM238" s="102" t="s">
        <v>1876</v>
      </c>
      <c r="BN238" s="39"/>
    </row>
    <row r="239" spans="1:66" ht="25.5" hidden="1" x14ac:dyDescent="0.2">
      <c r="A239" s="122">
        <v>92700215</v>
      </c>
      <c r="B239" s="92">
        <v>4</v>
      </c>
      <c r="C239" s="44" t="s">
        <v>1880</v>
      </c>
      <c r="D239" s="77" t="s">
        <v>1881</v>
      </c>
      <c r="E239" s="39" t="s">
        <v>1882</v>
      </c>
      <c r="F239" s="119" t="s">
        <v>1883</v>
      </c>
      <c r="G239" s="119" t="s">
        <v>1884</v>
      </c>
      <c r="H239" s="88" t="s">
        <v>84</v>
      </c>
      <c r="I239" s="40" t="s">
        <v>1885</v>
      </c>
      <c r="J239" s="30" t="s">
        <v>129</v>
      </c>
      <c r="K239" s="40" t="s">
        <v>1534</v>
      </c>
      <c r="L239" s="29" t="s">
        <v>11</v>
      </c>
      <c r="M239" s="103">
        <v>45658</v>
      </c>
      <c r="N239" s="116"/>
      <c r="O239" s="103">
        <v>45792</v>
      </c>
      <c r="P239" s="29"/>
      <c r="Q239" s="116" t="s">
        <v>69</v>
      </c>
      <c r="R239" s="116"/>
      <c r="S239" s="116" t="s">
        <v>70</v>
      </c>
      <c r="T239" s="38">
        <v>26</v>
      </c>
      <c r="U239" s="38" t="s">
        <v>305</v>
      </c>
      <c r="V239" s="47">
        <f t="shared" ref="V239:V274" ca="1" si="116">DATEDIF(DATE(IF(MID($G239,5,2)+2000&gt;YEAR(TODAY()),MID($G239,5,2)+1900,MID($G239,5,2)+2000),MID($G239,7,2),MID($G239,9,2)),TODAY(),"y")</f>
        <v>52</v>
      </c>
      <c r="W239" s="97">
        <v>12516700</v>
      </c>
      <c r="X239" s="38"/>
      <c r="Y239" s="31">
        <f t="shared" si="92"/>
        <v>0</v>
      </c>
      <c r="Z239" s="31">
        <f t="shared" si="97"/>
        <v>0</v>
      </c>
      <c r="AA239" s="32"/>
      <c r="AB239" s="32"/>
      <c r="AC239" s="116"/>
      <c r="AD239" s="116"/>
      <c r="AE239" s="116"/>
      <c r="AF239" s="116"/>
      <c r="AG239" s="116"/>
      <c r="AH239" s="116"/>
      <c r="AI239" s="31"/>
      <c r="AJ239" s="33">
        <f t="shared" si="114"/>
        <v>0</v>
      </c>
      <c r="AK239" s="54">
        <v>0</v>
      </c>
      <c r="AL239" s="31"/>
      <c r="AM239" s="31"/>
      <c r="AN239" s="34"/>
      <c r="AO239" s="35"/>
      <c r="AP239" s="36"/>
      <c r="AQ239" s="34"/>
      <c r="AR239" s="34">
        <f t="shared" si="77"/>
        <v>0</v>
      </c>
      <c r="AS239" s="36"/>
      <c r="AT239" s="36"/>
      <c r="AU239" s="36"/>
      <c r="AV239" s="116"/>
      <c r="AW239" s="116"/>
      <c r="AX239" s="116"/>
      <c r="AY239" s="34"/>
      <c r="AZ239" s="38"/>
      <c r="BA239" s="31">
        <f t="shared" si="79"/>
        <v>0</v>
      </c>
      <c r="BB239" s="32">
        <f t="shared" si="80"/>
        <v>0</v>
      </c>
      <c r="BC239" s="37">
        <f t="shared" si="111"/>
        <v>0</v>
      </c>
      <c r="BD239" s="37">
        <f t="shared" si="111"/>
        <v>0</v>
      </c>
      <c r="BE239" s="34">
        <f t="shared" si="95"/>
        <v>0</v>
      </c>
      <c r="BF239" s="34">
        <f t="shared" si="96"/>
        <v>0</v>
      </c>
      <c r="BG239" s="59" t="s">
        <v>1886</v>
      </c>
      <c r="BH239" s="59" t="s">
        <v>1887</v>
      </c>
      <c r="BI239" s="38">
        <v>2223965857</v>
      </c>
      <c r="BJ239" s="39" t="s">
        <v>1888</v>
      </c>
      <c r="BK239" s="39" t="s">
        <v>1889</v>
      </c>
      <c r="BL239" s="39" t="s">
        <v>1890</v>
      </c>
      <c r="BM239" s="102" t="s">
        <v>1891</v>
      </c>
      <c r="BN239" s="39"/>
    </row>
    <row r="240" spans="1:66" ht="38.25" hidden="1" x14ac:dyDescent="0.2">
      <c r="A240" s="122" t="s">
        <v>1892</v>
      </c>
      <c r="B240" s="92">
        <v>35</v>
      </c>
      <c r="C240" s="44" t="s">
        <v>1893</v>
      </c>
      <c r="D240" s="44" t="s">
        <v>1894</v>
      </c>
      <c r="E240" s="39" t="s">
        <v>1895</v>
      </c>
      <c r="F240" s="119" t="s">
        <v>1896</v>
      </c>
      <c r="G240" s="119" t="s">
        <v>1897</v>
      </c>
      <c r="H240" s="88" t="s">
        <v>84</v>
      </c>
      <c r="I240" s="40" t="s">
        <v>1878</v>
      </c>
      <c r="J240" s="46" t="s">
        <v>478</v>
      </c>
      <c r="K240" s="40" t="s">
        <v>688</v>
      </c>
      <c r="L240" s="29" t="s">
        <v>10</v>
      </c>
      <c r="M240" s="103">
        <v>45658</v>
      </c>
      <c r="N240" s="116"/>
      <c r="O240" s="38"/>
      <c r="P240" s="29"/>
      <c r="Q240" s="116" t="s">
        <v>69</v>
      </c>
      <c r="R240" s="116"/>
      <c r="S240" s="116" t="s">
        <v>70</v>
      </c>
      <c r="T240" s="38">
        <v>6</v>
      </c>
      <c r="U240" s="38" t="s">
        <v>103</v>
      </c>
      <c r="V240" s="47">
        <f t="shared" ca="1" si="116"/>
        <v>35</v>
      </c>
      <c r="W240" s="97"/>
      <c r="X240" s="38"/>
      <c r="Y240" s="31"/>
      <c r="Z240" s="31"/>
      <c r="AA240" s="32"/>
      <c r="AB240" s="32"/>
      <c r="AC240" s="116"/>
      <c r="AD240" s="116"/>
      <c r="AE240" s="116"/>
      <c r="AF240" s="116"/>
      <c r="AG240" s="116"/>
      <c r="AH240" s="116"/>
      <c r="AI240" s="31"/>
      <c r="AJ240" s="33">
        <f t="shared" si="114"/>
        <v>0</v>
      </c>
      <c r="AK240" s="54">
        <v>0</v>
      </c>
      <c r="AL240" s="31"/>
      <c r="AM240" s="31"/>
      <c r="AN240" s="34"/>
      <c r="AO240" s="35"/>
      <c r="AP240" s="36"/>
      <c r="AQ240" s="34"/>
      <c r="AR240" s="34">
        <f t="shared" si="77"/>
        <v>0</v>
      </c>
      <c r="AS240" s="36"/>
      <c r="AT240" s="36"/>
      <c r="AU240" s="36"/>
      <c r="AV240" s="116"/>
      <c r="AW240" s="116"/>
      <c r="AX240" s="116"/>
      <c r="AY240" s="34"/>
      <c r="AZ240" s="38"/>
      <c r="BA240" s="31">
        <f t="shared" si="79"/>
        <v>0</v>
      </c>
      <c r="BB240" s="32">
        <f t="shared" si="80"/>
        <v>0</v>
      </c>
      <c r="BC240" s="37">
        <f t="shared" si="111"/>
        <v>0</v>
      </c>
      <c r="BD240" s="37">
        <f t="shared" si="111"/>
        <v>0</v>
      </c>
      <c r="BE240" s="34">
        <f t="shared" si="95"/>
        <v>0</v>
      </c>
      <c r="BF240" s="34">
        <f t="shared" si="96"/>
        <v>0</v>
      </c>
      <c r="BG240" s="29"/>
      <c r="BH240" s="59" t="s">
        <v>1898</v>
      </c>
      <c r="BI240" s="38">
        <v>2282669015</v>
      </c>
      <c r="BJ240" s="39" t="s">
        <v>1899</v>
      </c>
      <c r="BK240" s="39" t="s">
        <v>1899</v>
      </c>
      <c r="BL240" s="39" t="s">
        <v>1900</v>
      </c>
      <c r="BM240" s="102" t="s">
        <v>1901</v>
      </c>
      <c r="BN240" s="39"/>
    </row>
    <row r="241" spans="1:66" ht="38.25" hidden="1" x14ac:dyDescent="0.2">
      <c r="A241" s="122">
        <v>92700216</v>
      </c>
      <c r="B241" s="92">
        <v>35</v>
      </c>
      <c r="C241" s="44" t="s">
        <v>1894</v>
      </c>
      <c r="D241" s="44" t="s">
        <v>1902</v>
      </c>
      <c r="E241" s="39" t="s">
        <v>1895</v>
      </c>
      <c r="F241" s="119" t="s">
        <v>1896</v>
      </c>
      <c r="G241" s="119" t="s">
        <v>1897</v>
      </c>
      <c r="H241" s="88" t="s">
        <v>315</v>
      </c>
      <c r="I241" s="40" t="s">
        <v>930</v>
      </c>
      <c r="J241" s="30" t="s">
        <v>478</v>
      </c>
      <c r="K241" s="40" t="s">
        <v>688</v>
      </c>
      <c r="L241" s="29" t="s">
        <v>11</v>
      </c>
      <c r="M241" s="38"/>
      <c r="N241" s="103">
        <v>45673</v>
      </c>
      <c r="O241" s="103">
        <v>45703</v>
      </c>
      <c r="P241" s="29"/>
      <c r="Q241" s="116" t="s">
        <v>69</v>
      </c>
      <c r="R241" s="116"/>
      <c r="S241" s="116" t="s">
        <v>70</v>
      </c>
      <c r="T241" s="38">
        <v>6</v>
      </c>
      <c r="U241" s="38" t="s">
        <v>103</v>
      </c>
      <c r="V241" s="47">
        <f t="shared" ca="1" si="116"/>
        <v>35</v>
      </c>
      <c r="W241" s="97"/>
      <c r="X241" s="38"/>
      <c r="Y241" s="31"/>
      <c r="Z241" s="31"/>
      <c r="AA241" s="32"/>
      <c r="AB241" s="32"/>
      <c r="AC241" s="116"/>
      <c r="AD241" s="116"/>
      <c r="AE241" s="116"/>
      <c r="AF241" s="116"/>
      <c r="AG241" s="116"/>
      <c r="AH241" s="116"/>
      <c r="AI241" s="31"/>
      <c r="AJ241" s="33">
        <f t="shared" ref="AJ241" si="117">SUM(AA241:AI241)</f>
        <v>0</v>
      </c>
      <c r="AK241" s="54">
        <v>0</v>
      </c>
      <c r="AL241" s="31"/>
      <c r="AM241" s="31"/>
      <c r="AN241" s="34"/>
      <c r="AO241" s="35"/>
      <c r="AP241" s="36"/>
      <c r="AQ241" s="34"/>
      <c r="AR241" s="34">
        <f t="shared" si="77"/>
        <v>0</v>
      </c>
      <c r="AS241" s="36"/>
      <c r="AT241" s="36"/>
      <c r="AU241" s="36"/>
      <c r="AV241" s="116"/>
      <c r="AW241" s="116"/>
      <c r="AX241" s="116"/>
      <c r="AY241" s="34"/>
      <c r="AZ241" s="38"/>
      <c r="BA241" s="31">
        <f t="shared" si="79"/>
        <v>0</v>
      </c>
      <c r="BB241" s="32">
        <f t="shared" si="80"/>
        <v>0</v>
      </c>
      <c r="BC241" s="37">
        <f t="shared" si="111"/>
        <v>0</v>
      </c>
      <c r="BD241" s="37">
        <f t="shared" si="111"/>
        <v>0</v>
      </c>
      <c r="BE241" s="34">
        <f t="shared" si="95"/>
        <v>0</v>
      </c>
      <c r="BF241" s="34">
        <f t="shared" si="96"/>
        <v>0</v>
      </c>
      <c r="BG241" s="29"/>
      <c r="BH241" s="59" t="s">
        <v>1898</v>
      </c>
      <c r="BI241" s="38">
        <v>2282669015</v>
      </c>
      <c r="BJ241" s="39" t="s">
        <v>1899</v>
      </c>
      <c r="BK241" s="39" t="s">
        <v>1899</v>
      </c>
      <c r="BL241" s="39" t="s">
        <v>1900</v>
      </c>
      <c r="BM241" s="102" t="s">
        <v>1901</v>
      </c>
      <c r="BN241" s="39"/>
    </row>
    <row r="242" spans="1:66" ht="38.25" hidden="1" x14ac:dyDescent="0.2">
      <c r="A242" s="122">
        <v>92700217</v>
      </c>
      <c r="B242" s="92">
        <v>7</v>
      </c>
      <c r="C242" s="44" t="s">
        <v>1903</v>
      </c>
      <c r="D242" s="44" t="s">
        <v>1904</v>
      </c>
      <c r="E242" s="39" t="s">
        <v>1905</v>
      </c>
      <c r="F242" s="119" t="s">
        <v>1906</v>
      </c>
      <c r="G242" s="119" t="s">
        <v>1907</v>
      </c>
      <c r="H242" s="88" t="s">
        <v>140</v>
      </c>
      <c r="I242" s="118" t="s">
        <v>1908</v>
      </c>
      <c r="J242" s="40" t="s">
        <v>325</v>
      </c>
      <c r="K242" s="30"/>
      <c r="L242" s="29" t="s">
        <v>320</v>
      </c>
      <c r="M242" s="103">
        <v>45658</v>
      </c>
      <c r="N242" s="116"/>
      <c r="O242" s="38"/>
      <c r="P242" s="29"/>
      <c r="Q242" s="116" t="s">
        <v>69</v>
      </c>
      <c r="R242" s="116"/>
      <c r="S242" s="116" t="s">
        <v>70</v>
      </c>
      <c r="T242" s="38">
        <v>13</v>
      </c>
      <c r="U242" s="38" t="s">
        <v>305</v>
      </c>
      <c r="V242" s="47">
        <f t="shared" ca="1" si="116"/>
        <v>32</v>
      </c>
      <c r="W242" s="97">
        <v>11892300</v>
      </c>
      <c r="X242" s="38"/>
      <c r="Y242" s="31"/>
      <c r="Z242" s="31"/>
      <c r="AA242" s="32"/>
      <c r="AB242" s="32"/>
      <c r="AC242" s="116"/>
      <c r="AD242" s="116"/>
      <c r="AE242" s="116"/>
      <c r="AF242" s="116"/>
      <c r="AG242" s="116"/>
      <c r="AH242" s="116"/>
      <c r="AI242" s="31"/>
      <c r="AJ242" s="33">
        <f t="shared" si="114"/>
        <v>0</v>
      </c>
      <c r="AK242" s="54">
        <v>0</v>
      </c>
      <c r="AL242" s="31"/>
      <c r="AM242" s="31"/>
      <c r="AN242" s="34"/>
      <c r="AO242" s="35"/>
      <c r="AP242" s="36"/>
      <c r="AQ242" s="34"/>
      <c r="AR242" s="34">
        <f t="shared" si="77"/>
        <v>0</v>
      </c>
      <c r="AS242" s="36"/>
      <c r="AT242" s="36"/>
      <c r="AU242" s="36"/>
      <c r="AV242" s="116"/>
      <c r="AW242" s="116"/>
      <c r="AX242" s="116"/>
      <c r="AY242" s="34"/>
      <c r="AZ242" s="38"/>
      <c r="BA242" s="31">
        <f t="shared" si="79"/>
        <v>0</v>
      </c>
      <c r="BB242" s="32">
        <f t="shared" si="80"/>
        <v>0</v>
      </c>
      <c r="BC242" s="37">
        <f t="shared" si="111"/>
        <v>0</v>
      </c>
      <c r="BD242" s="37">
        <f t="shared" si="111"/>
        <v>0</v>
      </c>
      <c r="BE242" s="34">
        <f t="shared" si="95"/>
        <v>0</v>
      </c>
      <c r="BF242" s="34">
        <f t="shared" si="96"/>
        <v>0</v>
      </c>
      <c r="BG242" s="59" t="s">
        <v>1909</v>
      </c>
      <c r="BH242" s="59" t="s">
        <v>1910</v>
      </c>
      <c r="BI242" s="38">
        <v>2213872620</v>
      </c>
      <c r="BJ242" s="39" t="s">
        <v>1911</v>
      </c>
      <c r="BK242" s="39"/>
      <c r="BL242" s="39" t="s">
        <v>1912</v>
      </c>
      <c r="BM242" s="102" t="s">
        <v>1913</v>
      </c>
      <c r="BN242" s="39"/>
    </row>
    <row r="243" spans="1:66" ht="38.25" hidden="1" x14ac:dyDescent="0.2">
      <c r="A243" s="122">
        <v>92700217</v>
      </c>
      <c r="B243" s="92">
        <v>41</v>
      </c>
      <c r="C243" s="44" t="s">
        <v>1904</v>
      </c>
      <c r="D243" s="77" t="s">
        <v>1914</v>
      </c>
      <c r="E243" s="39" t="s">
        <v>1905</v>
      </c>
      <c r="F243" s="119" t="s">
        <v>1906</v>
      </c>
      <c r="G243" s="119" t="s">
        <v>1907</v>
      </c>
      <c r="H243" s="88" t="s">
        <v>140</v>
      </c>
      <c r="I243" s="118" t="s">
        <v>1915</v>
      </c>
      <c r="J243" s="40" t="s">
        <v>129</v>
      </c>
      <c r="K243" s="30"/>
      <c r="L243" s="29" t="s">
        <v>320</v>
      </c>
      <c r="M243" s="38"/>
      <c r="N243" s="103">
        <v>45717</v>
      </c>
      <c r="O243" s="38"/>
      <c r="P243" s="29"/>
      <c r="Q243" s="116" t="s">
        <v>69</v>
      </c>
      <c r="R243" s="116"/>
      <c r="S243" s="116" t="s">
        <v>70</v>
      </c>
      <c r="T243" s="38">
        <v>13</v>
      </c>
      <c r="U243" s="38" t="s">
        <v>305</v>
      </c>
      <c r="V243" s="47">
        <f t="shared" ca="1" si="116"/>
        <v>32</v>
      </c>
      <c r="W243" s="97">
        <v>11892300</v>
      </c>
      <c r="X243" s="38"/>
      <c r="Y243" s="31"/>
      <c r="Z243" s="31"/>
      <c r="AA243" s="32"/>
      <c r="AB243" s="32"/>
      <c r="AC243" s="116"/>
      <c r="AD243" s="116"/>
      <c r="AE243" s="116"/>
      <c r="AF243" s="116"/>
      <c r="AG243" s="116"/>
      <c r="AH243" s="116"/>
      <c r="AI243" s="31"/>
      <c r="AJ243" s="33">
        <f t="shared" ref="AJ243:AJ244" si="118">SUM(AA243:AI243)</f>
        <v>0</v>
      </c>
      <c r="AK243" s="54">
        <v>0</v>
      </c>
      <c r="AL243" s="31"/>
      <c r="AM243" s="31"/>
      <c r="AN243" s="34"/>
      <c r="AO243" s="35"/>
      <c r="AP243" s="36"/>
      <c r="AQ243" s="34"/>
      <c r="AR243" s="34">
        <f t="shared" si="77"/>
        <v>0</v>
      </c>
      <c r="AS243" s="36"/>
      <c r="AT243" s="36"/>
      <c r="AU243" s="36"/>
      <c r="AV243" s="116"/>
      <c r="AW243" s="116"/>
      <c r="AX243" s="116"/>
      <c r="AY243" s="34"/>
      <c r="AZ243" s="38"/>
      <c r="BA243" s="31">
        <f t="shared" si="79"/>
        <v>0</v>
      </c>
      <c r="BB243" s="32">
        <f t="shared" si="80"/>
        <v>0</v>
      </c>
      <c r="BC243" s="37">
        <f t="shared" si="111"/>
        <v>0</v>
      </c>
      <c r="BD243" s="37">
        <f t="shared" si="111"/>
        <v>0</v>
      </c>
      <c r="BE243" s="34">
        <f t="shared" si="95"/>
        <v>0</v>
      </c>
      <c r="BF243" s="34">
        <f t="shared" si="96"/>
        <v>0</v>
      </c>
      <c r="BG243" s="59" t="s">
        <v>1909</v>
      </c>
      <c r="BH243" s="59" t="s">
        <v>1910</v>
      </c>
      <c r="BI243" s="38">
        <v>2213872620</v>
      </c>
      <c r="BJ243" s="39" t="s">
        <v>1911</v>
      </c>
      <c r="BK243" s="39"/>
      <c r="BL243" s="39" t="s">
        <v>1912</v>
      </c>
      <c r="BM243" s="102" t="s">
        <v>1913</v>
      </c>
      <c r="BN243" s="39"/>
    </row>
    <row r="244" spans="1:66" ht="38.25" x14ac:dyDescent="0.2">
      <c r="A244" s="122">
        <v>92700217</v>
      </c>
      <c r="B244" s="42">
        <v>7</v>
      </c>
      <c r="C244" s="77" t="s">
        <v>1914</v>
      </c>
      <c r="D244" s="38"/>
      <c r="E244" s="39" t="s">
        <v>1905</v>
      </c>
      <c r="F244" s="119" t="s">
        <v>1906</v>
      </c>
      <c r="G244" s="119" t="s">
        <v>1907</v>
      </c>
      <c r="H244" s="48" t="s">
        <v>140</v>
      </c>
      <c r="I244" s="118" t="s">
        <v>1916</v>
      </c>
      <c r="J244" s="40" t="s">
        <v>325</v>
      </c>
      <c r="K244" s="30"/>
      <c r="L244" s="29" t="s">
        <v>329</v>
      </c>
      <c r="M244" s="38"/>
      <c r="N244" s="103">
        <v>45809</v>
      </c>
      <c r="O244" s="38"/>
      <c r="P244" s="29"/>
      <c r="Q244" s="116" t="s">
        <v>69</v>
      </c>
      <c r="R244" s="116"/>
      <c r="S244" s="116" t="s">
        <v>70</v>
      </c>
      <c r="T244" s="38">
        <v>13</v>
      </c>
      <c r="U244" s="38" t="s">
        <v>305</v>
      </c>
      <c r="V244" s="47">
        <f t="shared" ca="1" si="116"/>
        <v>32</v>
      </c>
      <c r="W244" s="97">
        <v>11892300</v>
      </c>
      <c r="X244" s="47">
        <v>190</v>
      </c>
      <c r="Y244" s="31"/>
      <c r="Z244" s="31"/>
      <c r="AA244" s="32"/>
      <c r="AB244" s="32"/>
      <c r="AC244" s="116"/>
      <c r="AD244" s="116"/>
      <c r="AE244" s="116"/>
      <c r="AF244" s="116"/>
      <c r="AG244" s="116"/>
      <c r="AH244" s="116"/>
      <c r="AI244" s="31"/>
      <c r="AJ244" s="33">
        <f t="shared" si="118"/>
        <v>0</v>
      </c>
      <c r="AK244" s="54">
        <v>0</v>
      </c>
      <c r="AL244" s="31"/>
      <c r="AM244" s="31"/>
      <c r="AN244" s="34"/>
      <c r="AO244" s="35"/>
      <c r="AP244" s="36"/>
      <c r="AQ244" s="34"/>
      <c r="AR244" s="34">
        <f t="shared" si="77"/>
        <v>0</v>
      </c>
      <c r="AS244" s="36"/>
      <c r="AT244" s="36"/>
      <c r="AU244" s="36"/>
      <c r="AV244" s="116"/>
      <c r="AW244" s="116"/>
      <c r="AX244" s="116"/>
      <c r="AY244" s="34"/>
      <c r="AZ244" s="38"/>
      <c r="BA244" s="31">
        <f t="shared" si="79"/>
        <v>0</v>
      </c>
      <c r="BB244" s="32">
        <f t="shared" si="80"/>
        <v>0</v>
      </c>
      <c r="BC244" s="37">
        <f t="shared" si="111"/>
        <v>0</v>
      </c>
      <c r="BD244" s="37">
        <f t="shared" si="111"/>
        <v>0</v>
      </c>
      <c r="BE244" s="34">
        <f t="shared" si="95"/>
        <v>0</v>
      </c>
      <c r="BF244" s="34">
        <f t="shared" si="96"/>
        <v>0</v>
      </c>
      <c r="BG244" s="59" t="s">
        <v>1909</v>
      </c>
      <c r="BH244" s="59" t="s">
        <v>1910</v>
      </c>
      <c r="BI244" s="38">
        <v>2213872620</v>
      </c>
      <c r="BJ244" s="39" t="s">
        <v>1911</v>
      </c>
      <c r="BK244" s="39"/>
      <c r="BL244" s="39" t="s">
        <v>1912</v>
      </c>
      <c r="BM244" s="102" t="s">
        <v>1913</v>
      </c>
      <c r="BN244" s="39"/>
    </row>
    <row r="245" spans="1:66" ht="38.25" hidden="1" x14ac:dyDescent="0.25">
      <c r="A245" s="122">
        <v>92700218</v>
      </c>
      <c r="B245" s="92">
        <v>69</v>
      </c>
      <c r="C245" s="44" t="s">
        <v>1917</v>
      </c>
      <c r="D245" s="44" t="s">
        <v>1918</v>
      </c>
      <c r="E245" s="39" t="s">
        <v>1919</v>
      </c>
      <c r="F245" s="29" t="s">
        <v>1920</v>
      </c>
      <c r="G245" s="29" t="s">
        <v>1921</v>
      </c>
      <c r="H245" s="88" t="s">
        <v>84</v>
      </c>
      <c r="I245" s="40" t="s">
        <v>1922</v>
      </c>
      <c r="J245" s="40" t="s">
        <v>328</v>
      </c>
      <c r="K245" s="30"/>
      <c r="L245" s="29" t="s">
        <v>11</v>
      </c>
      <c r="M245" s="103">
        <v>45658</v>
      </c>
      <c r="N245" s="116"/>
      <c r="O245" s="103">
        <v>45688</v>
      </c>
      <c r="P245" s="29"/>
      <c r="Q245" s="116" t="s">
        <v>69</v>
      </c>
      <c r="R245" s="116"/>
      <c r="S245" s="116" t="s">
        <v>70</v>
      </c>
      <c r="T245" s="38">
        <v>18</v>
      </c>
      <c r="U245" s="38" t="s">
        <v>400</v>
      </c>
      <c r="V245" s="47">
        <f t="shared" ca="1" si="116"/>
        <v>44</v>
      </c>
      <c r="W245" s="97">
        <v>12575800</v>
      </c>
      <c r="X245" s="38"/>
      <c r="Y245" s="31"/>
      <c r="Z245" s="31"/>
      <c r="AA245" s="32"/>
      <c r="AB245" s="32"/>
      <c r="AC245" s="116"/>
      <c r="AD245" s="116"/>
      <c r="AE245" s="116"/>
      <c r="AF245" s="116"/>
      <c r="AG245" s="116"/>
      <c r="AH245" s="116"/>
      <c r="AI245" s="31"/>
      <c r="AJ245" s="33">
        <f t="shared" si="114"/>
        <v>0</v>
      </c>
      <c r="AK245" s="54">
        <v>0</v>
      </c>
      <c r="AL245" s="31"/>
      <c r="AM245" s="31"/>
      <c r="AN245" s="34"/>
      <c r="AO245" s="35"/>
      <c r="AP245" s="36"/>
      <c r="AQ245" s="34"/>
      <c r="AR245" s="34">
        <f t="shared" si="77"/>
        <v>0</v>
      </c>
      <c r="AS245" s="36"/>
      <c r="AT245" s="36"/>
      <c r="AU245" s="36"/>
      <c r="AV245" s="116"/>
      <c r="AW245" s="116"/>
      <c r="AX245" s="116"/>
      <c r="AY245" s="34"/>
      <c r="AZ245" s="38"/>
      <c r="BA245" s="31">
        <f t="shared" si="79"/>
        <v>0</v>
      </c>
      <c r="BB245" s="32">
        <f t="shared" si="80"/>
        <v>0</v>
      </c>
      <c r="BC245" s="37">
        <f t="shared" si="111"/>
        <v>0</v>
      </c>
      <c r="BD245" s="37">
        <f t="shared" si="111"/>
        <v>0</v>
      </c>
      <c r="BE245" s="34">
        <f t="shared" si="95"/>
        <v>0</v>
      </c>
      <c r="BF245" s="34">
        <f t="shared" si="96"/>
        <v>0</v>
      </c>
      <c r="BG245" s="59" t="s">
        <v>1923</v>
      </c>
      <c r="BH245" s="59" t="s">
        <v>1924</v>
      </c>
      <c r="BI245" s="38">
        <v>5543586880</v>
      </c>
      <c r="BJ245" s="39" t="s">
        <v>1925</v>
      </c>
      <c r="BK245" s="39" t="s">
        <v>1926</v>
      </c>
      <c r="BL245" s="39" t="s">
        <v>1762</v>
      </c>
      <c r="BM245" s="102" t="s">
        <v>1927</v>
      </c>
      <c r="BN245" s="39"/>
    </row>
    <row r="246" spans="1:66" ht="38.25" hidden="1" x14ac:dyDescent="0.25">
      <c r="A246" s="122">
        <v>92700218</v>
      </c>
      <c r="B246" s="92">
        <v>35</v>
      </c>
      <c r="C246" s="44" t="s">
        <v>1928</v>
      </c>
      <c r="D246" s="44" t="s">
        <v>1929</v>
      </c>
      <c r="E246" s="39" t="s">
        <v>1919</v>
      </c>
      <c r="F246" s="29" t="s">
        <v>1920</v>
      </c>
      <c r="G246" s="29" t="s">
        <v>1921</v>
      </c>
      <c r="H246" s="88" t="s">
        <v>84</v>
      </c>
      <c r="I246" s="40" t="s">
        <v>783</v>
      </c>
      <c r="J246" s="40" t="s">
        <v>478</v>
      </c>
      <c r="K246" s="30" t="s">
        <v>688</v>
      </c>
      <c r="L246" s="29" t="s">
        <v>11</v>
      </c>
      <c r="M246" s="103"/>
      <c r="N246" s="116"/>
      <c r="O246" s="103">
        <v>45961</v>
      </c>
      <c r="P246" s="103">
        <v>45793</v>
      </c>
      <c r="Q246" s="116" t="s">
        <v>69</v>
      </c>
      <c r="R246" s="116"/>
      <c r="S246" s="116" t="s">
        <v>70</v>
      </c>
      <c r="T246" s="38">
        <v>18</v>
      </c>
      <c r="U246" s="38" t="s">
        <v>400</v>
      </c>
      <c r="V246" s="47">
        <f t="shared" ca="1" si="116"/>
        <v>44</v>
      </c>
      <c r="W246" s="97">
        <v>12575800</v>
      </c>
      <c r="X246" s="38"/>
      <c r="Y246" s="31"/>
      <c r="Z246" s="31"/>
      <c r="AA246" s="32"/>
      <c r="AB246" s="32"/>
      <c r="AC246" s="116"/>
      <c r="AD246" s="116"/>
      <c r="AE246" s="116"/>
      <c r="AF246" s="116"/>
      <c r="AG246" s="116"/>
      <c r="AH246" s="116"/>
      <c r="AI246" s="31"/>
      <c r="AJ246" s="33">
        <f t="shared" ref="AJ246" si="119">SUM(AA246:AI246)</f>
        <v>0</v>
      </c>
      <c r="AK246" s="54">
        <v>0</v>
      </c>
      <c r="AL246" s="31"/>
      <c r="AM246" s="31"/>
      <c r="AN246" s="34"/>
      <c r="AO246" s="35"/>
      <c r="AP246" s="36"/>
      <c r="AQ246" s="34"/>
      <c r="AR246" s="34">
        <f t="shared" si="77"/>
        <v>0</v>
      </c>
      <c r="AS246" s="36"/>
      <c r="AT246" s="36"/>
      <c r="AU246" s="36"/>
      <c r="AV246" s="116"/>
      <c r="AW246" s="116"/>
      <c r="AX246" s="116"/>
      <c r="AY246" s="34"/>
      <c r="AZ246" s="38"/>
      <c r="BA246" s="31">
        <f t="shared" si="79"/>
        <v>0</v>
      </c>
      <c r="BB246" s="32">
        <f t="shared" si="80"/>
        <v>0</v>
      </c>
      <c r="BC246" s="37">
        <f t="shared" ref="BC246:BD257" si="120">Z246*2%</f>
        <v>0</v>
      </c>
      <c r="BD246" s="37">
        <f t="shared" si="120"/>
        <v>0</v>
      </c>
      <c r="BE246" s="34">
        <f t="shared" si="95"/>
        <v>0</v>
      </c>
      <c r="BF246" s="34">
        <f t="shared" si="96"/>
        <v>0</v>
      </c>
      <c r="BG246" s="59" t="s">
        <v>1923</v>
      </c>
      <c r="BH246" s="59" t="s">
        <v>1924</v>
      </c>
      <c r="BI246" s="38">
        <v>5543586880</v>
      </c>
      <c r="BJ246" s="39" t="s">
        <v>1925</v>
      </c>
      <c r="BK246" s="39" t="s">
        <v>1926</v>
      </c>
      <c r="BL246" s="39" t="s">
        <v>1762</v>
      </c>
      <c r="BM246" s="102" t="s">
        <v>1927</v>
      </c>
      <c r="BN246" s="39"/>
    </row>
    <row r="247" spans="1:66" ht="38.25" hidden="1" x14ac:dyDescent="0.25">
      <c r="A247" s="122" t="s">
        <v>1930</v>
      </c>
      <c r="B247" s="92">
        <v>73</v>
      </c>
      <c r="C247" s="44" t="s">
        <v>1931</v>
      </c>
      <c r="D247" s="44" t="s">
        <v>1932</v>
      </c>
      <c r="E247" s="39" t="s">
        <v>1933</v>
      </c>
      <c r="F247" s="29" t="s">
        <v>1934</v>
      </c>
      <c r="G247" s="29" t="s">
        <v>1935</v>
      </c>
      <c r="H247" s="88" t="s">
        <v>65</v>
      </c>
      <c r="I247" s="40" t="s">
        <v>693</v>
      </c>
      <c r="J247" s="40" t="s">
        <v>147</v>
      </c>
      <c r="K247" s="30"/>
      <c r="L247" s="29" t="s">
        <v>11</v>
      </c>
      <c r="M247" s="103">
        <v>45658</v>
      </c>
      <c r="N247" s="116"/>
      <c r="O247" s="103">
        <v>45703</v>
      </c>
      <c r="P247" s="29"/>
      <c r="Q247" s="116" t="s">
        <v>69</v>
      </c>
      <c r="R247" s="116"/>
      <c r="S247" s="116" t="s">
        <v>70</v>
      </c>
      <c r="T247" s="38">
        <v>27</v>
      </c>
      <c r="U247" s="38" t="s">
        <v>337</v>
      </c>
      <c r="V247" s="47">
        <f t="shared" ca="1" si="116"/>
        <v>24</v>
      </c>
      <c r="W247" s="97"/>
      <c r="X247" s="38"/>
      <c r="Y247" s="31"/>
      <c r="Z247" s="31"/>
      <c r="AA247" s="32"/>
      <c r="AB247" s="32"/>
      <c r="AC247" s="116"/>
      <c r="AD247" s="116"/>
      <c r="AE247" s="116"/>
      <c r="AF247" s="116"/>
      <c r="AG247" s="116"/>
      <c r="AH247" s="116"/>
      <c r="AI247" s="31"/>
      <c r="AJ247" s="33">
        <f t="shared" si="114"/>
        <v>0</v>
      </c>
      <c r="AK247" s="54">
        <v>0</v>
      </c>
      <c r="AL247" s="31"/>
      <c r="AM247" s="31"/>
      <c r="AN247" s="34"/>
      <c r="AO247" s="35"/>
      <c r="AP247" s="36"/>
      <c r="AQ247" s="34"/>
      <c r="AR247" s="34">
        <f t="shared" si="77"/>
        <v>0</v>
      </c>
      <c r="AS247" s="36"/>
      <c r="AT247" s="36"/>
      <c r="AU247" s="36"/>
      <c r="AV247" s="116"/>
      <c r="AW247" s="116"/>
      <c r="AX247" s="116"/>
      <c r="AY247" s="34"/>
      <c r="AZ247" s="38"/>
      <c r="BA247" s="31">
        <f t="shared" si="79"/>
        <v>0</v>
      </c>
      <c r="BB247" s="32">
        <f t="shared" si="80"/>
        <v>0</v>
      </c>
      <c r="BC247" s="37">
        <f t="shared" si="120"/>
        <v>0</v>
      </c>
      <c r="BD247" s="37">
        <f t="shared" si="120"/>
        <v>0</v>
      </c>
      <c r="BE247" s="34">
        <f t="shared" si="95"/>
        <v>0</v>
      </c>
      <c r="BF247" s="34">
        <f t="shared" si="96"/>
        <v>0</v>
      </c>
      <c r="BG247" s="29"/>
      <c r="BH247" s="59" t="s">
        <v>1936</v>
      </c>
      <c r="BI247" s="38">
        <v>2371144741</v>
      </c>
      <c r="BJ247" s="39" t="s">
        <v>1937</v>
      </c>
      <c r="BK247" s="39" t="s">
        <v>1937</v>
      </c>
      <c r="BL247" s="39" t="s">
        <v>1938</v>
      </c>
      <c r="BM247" s="102" t="s">
        <v>1939</v>
      </c>
      <c r="BN247" s="39"/>
    </row>
    <row r="248" spans="1:66" ht="25.5" hidden="1" x14ac:dyDescent="0.25">
      <c r="A248" s="122">
        <v>92700220</v>
      </c>
      <c r="B248" s="92">
        <v>15</v>
      </c>
      <c r="C248" s="44" t="s">
        <v>1940</v>
      </c>
      <c r="D248" s="44" t="s">
        <v>1941</v>
      </c>
      <c r="E248" s="39" t="s">
        <v>1942</v>
      </c>
      <c r="F248" s="29" t="s">
        <v>1943</v>
      </c>
      <c r="G248" s="29" t="s">
        <v>1944</v>
      </c>
      <c r="H248" s="88" t="s">
        <v>140</v>
      </c>
      <c r="I248" s="118" t="s">
        <v>1764</v>
      </c>
      <c r="J248" s="40" t="s">
        <v>336</v>
      </c>
      <c r="K248" s="30"/>
      <c r="L248" s="29" t="s">
        <v>320</v>
      </c>
      <c r="M248" s="103">
        <v>45658</v>
      </c>
      <c r="N248" s="116"/>
      <c r="O248" s="38"/>
      <c r="P248" s="29"/>
      <c r="Q248" s="116" t="s">
        <v>69</v>
      </c>
      <c r="R248" s="116"/>
      <c r="S248" s="116" t="s">
        <v>70</v>
      </c>
      <c r="T248" s="38">
        <v>7</v>
      </c>
      <c r="U248" s="38" t="s">
        <v>243</v>
      </c>
      <c r="V248" s="47">
        <f t="shared" ca="1" si="116"/>
        <v>61</v>
      </c>
      <c r="W248" s="97">
        <v>12554800</v>
      </c>
      <c r="X248" s="38"/>
      <c r="Y248" s="31"/>
      <c r="Z248" s="31"/>
      <c r="AA248" s="32"/>
      <c r="AB248" s="32"/>
      <c r="AC248" s="116"/>
      <c r="AD248" s="116"/>
      <c r="AE248" s="116"/>
      <c r="AF248" s="116"/>
      <c r="AG248" s="116"/>
      <c r="AH248" s="116"/>
      <c r="AI248" s="31"/>
      <c r="AJ248" s="33">
        <f t="shared" si="114"/>
        <v>0</v>
      </c>
      <c r="AK248" s="54">
        <v>0</v>
      </c>
      <c r="AL248" s="31"/>
      <c r="AM248" s="31"/>
      <c r="AN248" s="34"/>
      <c r="AO248" s="35"/>
      <c r="AP248" s="36"/>
      <c r="AQ248" s="34"/>
      <c r="AR248" s="34">
        <f t="shared" si="77"/>
        <v>0</v>
      </c>
      <c r="AS248" s="36"/>
      <c r="AT248" s="36"/>
      <c r="AU248" s="36"/>
      <c r="AV248" s="116"/>
      <c r="AW248" s="116"/>
      <c r="AX248" s="116"/>
      <c r="AY248" s="34"/>
      <c r="AZ248" s="38"/>
      <c r="BA248" s="31">
        <f t="shared" si="79"/>
        <v>0</v>
      </c>
      <c r="BB248" s="32">
        <f t="shared" si="80"/>
        <v>0</v>
      </c>
      <c r="BC248" s="37">
        <f t="shared" si="120"/>
        <v>0</v>
      </c>
      <c r="BD248" s="37">
        <f t="shared" si="120"/>
        <v>0</v>
      </c>
      <c r="BE248" s="34">
        <f t="shared" si="95"/>
        <v>0</v>
      </c>
      <c r="BF248" s="34">
        <f t="shared" si="96"/>
        <v>0</v>
      </c>
      <c r="BG248" s="59" t="s">
        <v>1945</v>
      </c>
      <c r="BH248" s="59" t="s">
        <v>1946</v>
      </c>
      <c r="BI248" s="38">
        <v>7471505294</v>
      </c>
      <c r="BJ248" s="39"/>
      <c r="BK248" s="39" t="s">
        <v>1947</v>
      </c>
      <c r="BL248" s="39"/>
      <c r="BM248" s="102"/>
      <c r="BN248" s="39"/>
    </row>
    <row r="249" spans="1:66" ht="25.5" hidden="1" x14ac:dyDescent="0.25">
      <c r="A249" s="122" t="s">
        <v>1948</v>
      </c>
      <c r="B249" s="92">
        <v>7</v>
      </c>
      <c r="C249" s="44" t="s">
        <v>1941</v>
      </c>
      <c r="D249" s="38">
        <v>398</v>
      </c>
      <c r="E249" s="39" t="s">
        <v>1942</v>
      </c>
      <c r="F249" s="29" t="s">
        <v>1943</v>
      </c>
      <c r="G249" s="29" t="s">
        <v>1944</v>
      </c>
      <c r="H249" s="88" t="s">
        <v>140</v>
      </c>
      <c r="I249" s="118" t="s">
        <v>1908</v>
      </c>
      <c r="J249" s="40" t="s">
        <v>325</v>
      </c>
      <c r="K249" s="40" t="s">
        <v>325</v>
      </c>
      <c r="L249" s="29" t="s">
        <v>10</v>
      </c>
      <c r="M249" s="38"/>
      <c r="N249" s="103">
        <v>45717</v>
      </c>
      <c r="O249" s="38"/>
      <c r="P249" s="29"/>
      <c r="Q249" s="116" t="s">
        <v>69</v>
      </c>
      <c r="R249" s="116"/>
      <c r="S249" s="116" t="s">
        <v>70</v>
      </c>
      <c r="T249" s="38">
        <v>7</v>
      </c>
      <c r="U249" s="38" t="s">
        <v>243</v>
      </c>
      <c r="V249" s="47">
        <f t="shared" ca="1" si="116"/>
        <v>61</v>
      </c>
      <c r="W249" s="97">
        <v>12554800</v>
      </c>
      <c r="X249" s="38"/>
      <c r="Y249" s="31"/>
      <c r="Z249" s="31"/>
      <c r="AA249" s="32"/>
      <c r="AB249" s="32"/>
      <c r="AC249" s="116"/>
      <c r="AD249" s="116"/>
      <c r="AE249" s="116"/>
      <c r="AF249" s="116"/>
      <c r="AG249" s="116"/>
      <c r="AH249" s="116"/>
      <c r="AI249" s="31"/>
      <c r="AJ249" s="33">
        <f t="shared" ref="AJ249:AJ251" si="121">SUM(AA249:AI249)</f>
        <v>0</v>
      </c>
      <c r="AK249" s="54">
        <v>0</v>
      </c>
      <c r="AL249" s="31"/>
      <c r="AM249" s="31"/>
      <c r="AN249" s="34"/>
      <c r="AO249" s="35"/>
      <c r="AP249" s="36"/>
      <c r="AQ249" s="34"/>
      <c r="AR249" s="34">
        <f t="shared" si="77"/>
        <v>0</v>
      </c>
      <c r="AS249" s="36"/>
      <c r="AT249" s="36"/>
      <c r="AU249" s="36"/>
      <c r="AV249" s="116"/>
      <c r="AW249" s="116"/>
      <c r="AX249" s="116"/>
      <c r="AY249" s="34"/>
      <c r="AZ249" s="38"/>
      <c r="BA249" s="31">
        <f t="shared" si="79"/>
        <v>0</v>
      </c>
      <c r="BB249" s="32">
        <f t="shared" ref="BB249:BB251" si="122">AA249*AZ249</f>
        <v>0</v>
      </c>
      <c r="BC249" s="37">
        <f t="shared" si="120"/>
        <v>0</v>
      </c>
      <c r="BD249" s="37">
        <f t="shared" si="120"/>
        <v>0</v>
      </c>
      <c r="BE249" s="34">
        <f t="shared" si="95"/>
        <v>0</v>
      </c>
      <c r="BF249" s="34">
        <f t="shared" si="96"/>
        <v>0</v>
      </c>
      <c r="BG249" s="59" t="s">
        <v>1945</v>
      </c>
      <c r="BH249" s="59" t="s">
        <v>1946</v>
      </c>
      <c r="BI249" s="38">
        <v>7471505294</v>
      </c>
      <c r="BJ249" s="39"/>
      <c r="BK249" s="39" t="s">
        <v>1947</v>
      </c>
      <c r="BL249" s="39"/>
      <c r="BM249" s="102"/>
      <c r="BN249" s="39"/>
    </row>
    <row r="250" spans="1:66" ht="25.5" hidden="1" x14ac:dyDescent="0.25">
      <c r="A250" s="122" t="s">
        <v>1948</v>
      </c>
      <c r="B250" s="92">
        <v>13</v>
      </c>
      <c r="C250" s="44" t="s">
        <v>1949</v>
      </c>
      <c r="D250" s="44" t="s">
        <v>1950</v>
      </c>
      <c r="E250" s="39" t="s">
        <v>1942</v>
      </c>
      <c r="F250" s="29" t="s">
        <v>1943</v>
      </c>
      <c r="G250" s="29" t="s">
        <v>1944</v>
      </c>
      <c r="H250" s="88" t="s">
        <v>65</v>
      </c>
      <c r="I250" s="40" t="s">
        <v>693</v>
      </c>
      <c r="J250" s="40" t="s">
        <v>147</v>
      </c>
      <c r="K250" s="40"/>
      <c r="L250" s="29" t="s">
        <v>10</v>
      </c>
      <c r="M250" s="38"/>
      <c r="N250" s="103">
        <v>45748</v>
      </c>
      <c r="O250" s="38"/>
      <c r="P250" s="29"/>
      <c r="Q250" s="116" t="s">
        <v>69</v>
      </c>
      <c r="R250" s="116"/>
      <c r="S250" s="116" t="s">
        <v>70</v>
      </c>
      <c r="T250" s="38">
        <v>7</v>
      </c>
      <c r="U250" s="38" t="s">
        <v>243</v>
      </c>
      <c r="V250" s="47">
        <f t="shared" ca="1" si="116"/>
        <v>61</v>
      </c>
      <c r="W250" s="97">
        <v>12554800</v>
      </c>
      <c r="X250" s="38"/>
      <c r="Y250" s="31"/>
      <c r="Z250" s="31"/>
      <c r="AA250" s="32"/>
      <c r="AB250" s="32"/>
      <c r="AC250" s="116"/>
      <c r="AD250" s="116"/>
      <c r="AE250" s="116"/>
      <c r="AF250" s="116"/>
      <c r="AG250" s="116"/>
      <c r="AH250" s="116"/>
      <c r="AI250" s="31"/>
      <c r="AJ250" s="33">
        <f t="shared" si="121"/>
        <v>0</v>
      </c>
      <c r="AK250" s="54">
        <v>0</v>
      </c>
      <c r="AL250" s="31"/>
      <c r="AM250" s="31"/>
      <c r="AN250" s="34"/>
      <c r="AO250" s="35"/>
      <c r="AP250" s="36"/>
      <c r="AQ250" s="34"/>
      <c r="AR250" s="34">
        <f t="shared" si="77"/>
        <v>0</v>
      </c>
      <c r="AS250" s="36"/>
      <c r="AT250" s="36"/>
      <c r="AU250" s="36"/>
      <c r="AV250" s="116"/>
      <c r="AW250" s="116"/>
      <c r="AX250" s="116"/>
      <c r="AY250" s="34"/>
      <c r="AZ250" s="38"/>
      <c r="BA250" s="31">
        <f t="shared" si="79"/>
        <v>0</v>
      </c>
      <c r="BB250" s="32">
        <f t="shared" si="122"/>
        <v>0</v>
      </c>
      <c r="BC250" s="37">
        <f t="shared" si="120"/>
        <v>0</v>
      </c>
      <c r="BD250" s="37">
        <f t="shared" si="120"/>
        <v>0</v>
      </c>
      <c r="BE250" s="34">
        <f t="shared" si="95"/>
        <v>0</v>
      </c>
      <c r="BF250" s="34">
        <f t="shared" si="96"/>
        <v>0</v>
      </c>
      <c r="BG250" s="59" t="s">
        <v>1945</v>
      </c>
      <c r="BH250" s="59" t="s">
        <v>1946</v>
      </c>
      <c r="BI250" s="38">
        <v>7471505294</v>
      </c>
      <c r="BJ250" s="39"/>
      <c r="BK250" s="39" t="s">
        <v>1947</v>
      </c>
      <c r="BL250" s="39"/>
      <c r="BM250" s="102"/>
      <c r="BN250" s="39"/>
    </row>
    <row r="251" spans="1:66" ht="38.25" x14ac:dyDescent="0.25">
      <c r="A251" s="122">
        <v>92700220</v>
      </c>
      <c r="B251" s="42">
        <v>48</v>
      </c>
      <c r="C251" s="44" t="s">
        <v>1950</v>
      </c>
      <c r="D251" s="38"/>
      <c r="E251" s="39" t="s">
        <v>1942</v>
      </c>
      <c r="F251" s="29" t="s">
        <v>1943</v>
      </c>
      <c r="G251" s="29" t="s">
        <v>1944</v>
      </c>
      <c r="H251" s="48" t="s">
        <v>84</v>
      </c>
      <c r="I251" s="40" t="s">
        <v>1951</v>
      </c>
      <c r="J251" s="40" t="s">
        <v>323</v>
      </c>
      <c r="K251" s="40" t="s">
        <v>322</v>
      </c>
      <c r="L251" s="29" t="s">
        <v>329</v>
      </c>
      <c r="M251" s="38"/>
      <c r="N251" s="103">
        <v>45854</v>
      </c>
      <c r="O251" s="38"/>
      <c r="P251" s="29"/>
      <c r="Q251" s="116" t="s">
        <v>69</v>
      </c>
      <c r="R251" s="116"/>
      <c r="S251" s="116" t="s">
        <v>70</v>
      </c>
      <c r="T251" s="38">
        <v>7</v>
      </c>
      <c r="U251" s="38" t="s">
        <v>243</v>
      </c>
      <c r="V251" s="47">
        <f t="shared" ca="1" si="116"/>
        <v>61</v>
      </c>
      <c r="W251" s="97">
        <v>12554800</v>
      </c>
      <c r="X251" s="47">
        <v>188</v>
      </c>
      <c r="Y251" s="31"/>
      <c r="Z251" s="31"/>
      <c r="AA251" s="32"/>
      <c r="AB251" s="32"/>
      <c r="AC251" s="116"/>
      <c r="AD251" s="116"/>
      <c r="AE251" s="116"/>
      <c r="AF251" s="116"/>
      <c r="AG251" s="116"/>
      <c r="AH251" s="116"/>
      <c r="AI251" s="31"/>
      <c r="AJ251" s="33">
        <f t="shared" si="121"/>
        <v>0</v>
      </c>
      <c r="AK251" s="54">
        <v>0</v>
      </c>
      <c r="AL251" s="31"/>
      <c r="AM251" s="31"/>
      <c r="AN251" s="34"/>
      <c r="AO251" s="35"/>
      <c r="AP251" s="36"/>
      <c r="AQ251" s="34"/>
      <c r="AR251" s="34">
        <f t="shared" si="77"/>
        <v>0</v>
      </c>
      <c r="AS251" s="36"/>
      <c r="AT251" s="36"/>
      <c r="AU251" s="36"/>
      <c r="AV251" s="116"/>
      <c r="AW251" s="116"/>
      <c r="AX251" s="116"/>
      <c r="AY251" s="34"/>
      <c r="AZ251" s="38"/>
      <c r="BA251" s="31">
        <f t="shared" si="79"/>
        <v>0</v>
      </c>
      <c r="BB251" s="32">
        <f t="shared" si="122"/>
        <v>0</v>
      </c>
      <c r="BC251" s="37">
        <f t="shared" si="120"/>
        <v>0</v>
      </c>
      <c r="BD251" s="37">
        <f t="shared" si="120"/>
        <v>0</v>
      </c>
      <c r="BE251" s="34">
        <f t="shared" si="95"/>
        <v>0</v>
      </c>
      <c r="BF251" s="34">
        <f t="shared" si="96"/>
        <v>0</v>
      </c>
      <c r="BG251" s="59" t="s">
        <v>1945</v>
      </c>
      <c r="BH251" s="59" t="s">
        <v>1946</v>
      </c>
      <c r="BI251" s="38">
        <v>7471505294</v>
      </c>
      <c r="BJ251" s="39"/>
      <c r="BK251" s="39" t="s">
        <v>1947</v>
      </c>
      <c r="BL251" s="39"/>
      <c r="BM251" s="102"/>
      <c r="BN251" s="39"/>
    </row>
    <row r="252" spans="1:66" ht="25.15" hidden="1" customHeight="1" x14ac:dyDescent="0.25">
      <c r="A252" s="122" t="s">
        <v>1952</v>
      </c>
      <c r="B252" s="92">
        <v>41</v>
      </c>
      <c r="C252" s="44" t="s">
        <v>1953</v>
      </c>
      <c r="D252" s="44" t="s">
        <v>1954</v>
      </c>
      <c r="E252" s="39" t="s">
        <v>1955</v>
      </c>
      <c r="F252" s="29" t="s">
        <v>1956</v>
      </c>
      <c r="G252" s="29" t="s">
        <v>1957</v>
      </c>
      <c r="H252" s="88" t="s">
        <v>1958</v>
      </c>
      <c r="I252" s="118" t="s">
        <v>1915</v>
      </c>
      <c r="J252" s="40" t="s">
        <v>129</v>
      </c>
      <c r="K252" s="30"/>
      <c r="L252" s="29" t="s">
        <v>11</v>
      </c>
      <c r="M252" s="103">
        <v>45673</v>
      </c>
      <c r="N252" s="116"/>
      <c r="O252" s="103">
        <v>45688</v>
      </c>
      <c r="P252" s="29"/>
      <c r="Q252" s="116" t="s">
        <v>69</v>
      </c>
      <c r="R252" s="116"/>
      <c r="S252" s="116" t="s">
        <v>70</v>
      </c>
      <c r="T252" s="38">
        <v>11</v>
      </c>
      <c r="U252" s="38" t="s">
        <v>337</v>
      </c>
      <c r="V252" s="47">
        <f t="shared" ca="1" si="116"/>
        <v>34</v>
      </c>
      <c r="W252" s="97"/>
      <c r="X252" s="38"/>
      <c r="Y252" s="31"/>
      <c r="Z252" s="31"/>
      <c r="AA252" s="32"/>
      <c r="AB252" s="32"/>
      <c r="AC252" s="116"/>
      <c r="AD252" s="116"/>
      <c r="AE252" s="116"/>
      <c r="AF252" s="116"/>
      <c r="AG252" s="116"/>
      <c r="AH252" s="116"/>
      <c r="AI252" s="31"/>
      <c r="AJ252" s="33">
        <f t="shared" si="114"/>
        <v>0</v>
      </c>
      <c r="AK252" s="54">
        <v>0</v>
      </c>
      <c r="AL252" s="31"/>
      <c r="AM252" s="31"/>
      <c r="AN252" s="34"/>
      <c r="AO252" s="35"/>
      <c r="AP252" s="36"/>
      <c r="AQ252" s="34"/>
      <c r="AR252" s="34">
        <f t="shared" si="77"/>
        <v>0</v>
      </c>
      <c r="AS252" s="36"/>
      <c r="AT252" s="36"/>
      <c r="AU252" s="36"/>
      <c r="AV252" s="116"/>
      <c r="AW252" s="116"/>
      <c r="AX252" s="116"/>
      <c r="AY252" s="34"/>
      <c r="AZ252" s="38"/>
      <c r="BA252" s="31">
        <f t="shared" si="79"/>
        <v>0</v>
      </c>
      <c r="BB252" s="32"/>
      <c r="BC252" s="37">
        <f t="shared" si="120"/>
        <v>0</v>
      </c>
      <c r="BD252" s="37">
        <f t="shared" si="120"/>
        <v>0</v>
      </c>
      <c r="BE252" s="34">
        <f t="shared" si="95"/>
        <v>0</v>
      </c>
      <c r="BF252" s="34">
        <f t="shared" si="96"/>
        <v>0</v>
      </c>
      <c r="BG252" s="29"/>
      <c r="BH252" s="59" t="s">
        <v>1959</v>
      </c>
      <c r="BI252" s="38">
        <v>2382184254</v>
      </c>
      <c r="BJ252" s="39" t="s">
        <v>1960</v>
      </c>
      <c r="BK252" s="39"/>
      <c r="BL252" s="39"/>
      <c r="BM252" s="102"/>
      <c r="BN252" s="39"/>
    </row>
    <row r="253" spans="1:66" ht="28.9" hidden="1" customHeight="1" x14ac:dyDescent="0.25">
      <c r="A253" s="122">
        <v>92700222</v>
      </c>
      <c r="B253" s="92">
        <v>8</v>
      </c>
      <c r="C253" s="44" t="s">
        <v>1961</v>
      </c>
      <c r="D253" s="44" t="s">
        <v>1962</v>
      </c>
      <c r="E253" s="39" t="s">
        <v>1963</v>
      </c>
      <c r="F253" s="29" t="s">
        <v>1964</v>
      </c>
      <c r="G253" s="29" t="s">
        <v>1965</v>
      </c>
      <c r="H253" s="88" t="s">
        <v>315</v>
      </c>
      <c r="I253" s="40" t="s">
        <v>930</v>
      </c>
      <c r="J253" s="40" t="s">
        <v>325</v>
      </c>
      <c r="K253" s="40" t="s">
        <v>1966</v>
      </c>
      <c r="L253" s="29" t="s">
        <v>11</v>
      </c>
      <c r="M253" s="103">
        <v>45658</v>
      </c>
      <c r="N253" s="116"/>
      <c r="O253" s="103">
        <v>45688</v>
      </c>
      <c r="P253" s="29"/>
      <c r="Q253" s="116" t="s">
        <v>69</v>
      </c>
      <c r="R253" s="116"/>
      <c r="S253" s="116" t="s">
        <v>70</v>
      </c>
      <c r="T253" s="38" t="s">
        <v>1967</v>
      </c>
      <c r="U253" s="38" t="s">
        <v>116</v>
      </c>
      <c r="V253" s="47">
        <f t="shared" ca="1" si="116"/>
        <v>54</v>
      </c>
      <c r="W253" s="97"/>
      <c r="X253" s="38"/>
      <c r="Y253" s="31"/>
      <c r="Z253" s="31"/>
      <c r="AA253" s="32"/>
      <c r="AB253" s="32"/>
      <c r="AC253" s="116"/>
      <c r="AD253" s="116"/>
      <c r="AE253" s="116"/>
      <c r="AF253" s="116"/>
      <c r="AG253" s="116"/>
      <c r="AH253" s="116"/>
      <c r="AI253" s="31"/>
      <c r="AJ253" s="33">
        <f t="shared" si="114"/>
        <v>0</v>
      </c>
      <c r="AK253" s="54">
        <v>0</v>
      </c>
      <c r="AL253" s="31"/>
      <c r="AM253" s="31"/>
      <c r="AN253" s="34"/>
      <c r="AO253" s="35"/>
      <c r="AP253" s="36"/>
      <c r="AQ253" s="34"/>
      <c r="AR253" s="34">
        <f t="shared" si="77"/>
        <v>0</v>
      </c>
      <c r="AS253" s="36"/>
      <c r="AT253" s="36"/>
      <c r="AU253" s="36"/>
      <c r="AV253" s="116"/>
      <c r="AW253" s="116"/>
      <c r="AX253" s="116"/>
      <c r="AY253" s="34"/>
      <c r="AZ253" s="38"/>
      <c r="BA253" s="31">
        <f t="shared" si="79"/>
        <v>0</v>
      </c>
      <c r="BB253" s="32"/>
      <c r="BC253" s="37">
        <f t="shared" si="120"/>
        <v>0</v>
      </c>
      <c r="BD253" s="37">
        <f t="shared" si="120"/>
        <v>0</v>
      </c>
      <c r="BE253" s="34">
        <f t="shared" si="95"/>
        <v>0</v>
      </c>
      <c r="BF253" s="34">
        <f t="shared" si="96"/>
        <v>0</v>
      </c>
      <c r="BG253" s="29"/>
      <c r="BH253" s="59" t="s">
        <v>1968</v>
      </c>
      <c r="BI253" s="38">
        <v>7641170541</v>
      </c>
      <c r="BJ253" s="39" t="s">
        <v>1969</v>
      </c>
      <c r="BK253" s="39"/>
      <c r="BL253" s="39"/>
      <c r="BM253" s="102" t="s">
        <v>1970</v>
      </c>
      <c r="BN253" s="39"/>
    </row>
    <row r="254" spans="1:66" ht="25.5" hidden="1" x14ac:dyDescent="0.25">
      <c r="A254" s="122">
        <v>92700223</v>
      </c>
      <c r="B254" s="92">
        <v>80</v>
      </c>
      <c r="C254" s="44" t="s">
        <v>1971</v>
      </c>
      <c r="D254" s="44" t="s">
        <v>1972</v>
      </c>
      <c r="E254" s="39" t="s">
        <v>1973</v>
      </c>
      <c r="F254" s="29" t="s">
        <v>1974</v>
      </c>
      <c r="G254" s="29" t="s">
        <v>1975</v>
      </c>
      <c r="H254" s="88" t="s">
        <v>315</v>
      </c>
      <c r="I254" s="40" t="s">
        <v>930</v>
      </c>
      <c r="J254" s="117"/>
      <c r="K254" s="40" t="s">
        <v>326</v>
      </c>
      <c r="L254" s="29" t="s">
        <v>320</v>
      </c>
      <c r="M254" s="103">
        <v>45658</v>
      </c>
      <c r="N254" s="116"/>
      <c r="O254" s="38"/>
      <c r="P254" s="29"/>
      <c r="Q254" s="116" t="s">
        <v>69</v>
      </c>
      <c r="R254" s="116"/>
      <c r="S254" s="116" t="s">
        <v>70</v>
      </c>
      <c r="T254" s="38">
        <v>22</v>
      </c>
      <c r="U254" s="38" t="s">
        <v>337</v>
      </c>
      <c r="V254" s="47">
        <f t="shared" ca="1" si="116"/>
        <v>23</v>
      </c>
      <c r="W254" s="97"/>
      <c r="X254" s="38"/>
      <c r="Y254" s="31"/>
      <c r="Z254" s="31"/>
      <c r="AA254" s="32"/>
      <c r="AB254" s="32"/>
      <c r="AC254" s="116"/>
      <c r="AD254" s="116"/>
      <c r="AE254" s="116"/>
      <c r="AF254" s="116"/>
      <c r="AG254" s="116"/>
      <c r="AH254" s="116"/>
      <c r="AI254" s="31"/>
      <c r="AJ254" s="33">
        <f t="shared" si="114"/>
        <v>0</v>
      </c>
      <c r="AK254" s="54">
        <v>0</v>
      </c>
      <c r="AL254" s="31"/>
      <c r="AM254" s="31"/>
      <c r="AN254" s="34"/>
      <c r="AO254" s="35"/>
      <c r="AP254" s="36"/>
      <c r="AQ254" s="34"/>
      <c r="AR254" s="34"/>
      <c r="AS254" s="36"/>
      <c r="AT254" s="36"/>
      <c r="AU254" s="36"/>
      <c r="AV254" s="116"/>
      <c r="AW254" s="116"/>
      <c r="AX254" s="116"/>
      <c r="AY254" s="34"/>
      <c r="AZ254" s="38"/>
      <c r="BA254" s="31">
        <f t="shared" si="79"/>
        <v>0</v>
      </c>
      <c r="BB254" s="32"/>
      <c r="BC254" s="37">
        <f t="shared" si="120"/>
        <v>0</v>
      </c>
      <c r="BD254" s="37">
        <f t="shared" si="120"/>
        <v>0</v>
      </c>
      <c r="BE254" s="34">
        <f t="shared" si="95"/>
        <v>0</v>
      </c>
      <c r="BF254" s="34">
        <f t="shared" si="96"/>
        <v>0</v>
      </c>
      <c r="BG254" s="29"/>
      <c r="BH254" s="59" t="s">
        <v>1976</v>
      </c>
      <c r="BI254" s="38">
        <v>2381781101</v>
      </c>
      <c r="BJ254" s="39" t="s">
        <v>1977</v>
      </c>
      <c r="BK254" s="39"/>
      <c r="BL254" s="39"/>
      <c r="BM254" s="102" t="s">
        <v>1978</v>
      </c>
      <c r="BN254" s="39"/>
    </row>
    <row r="255" spans="1:66" ht="25.5" hidden="1" x14ac:dyDescent="0.25">
      <c r="A255" s="122">
        <v>92700223</v>
      </c>
      <c r="B255" s="92">
        <v>14</v>
      </c>
      <c r="C255" s="44" t="s">
        <v>1972</v>
      </c>
      <c r="D255" s="44" t="s">
        <v>1979</v>
      </c>
      <c r="E255" s="39" t="s">
        <v>1973</v>
      </c>
      <c r="F255" s="29" t="s">
        <v>1974</v>
      </c>
      <c r="G255" s="29" t="s">
        <v>1975</v>
      </c>
      <c r="H255" s="88" t="s">
        <v>315</v>
      </c>
      <c r="I255" s="40" t="s">
        <v>930</v>
      </c>
      <c r="J255" s="40" t="s">
        <v>147</v>
      </c>
      <c r="K255" s="40"/>
      <c r="L255" s="29" t="s">
        <v>11</v>
      </c>
      <c r="M255" s="38"/>
      <c r="N255" s="103">
        <v>45689</v>
      </c>
      <c r="O255" s="103">
        <v>45716</v>
      </c>
      <c r="P255" s="29"/>
      <c r="Q255" s="116" t="s">
        <v>69</v>
      </c>
      <c r="R255" s="116"/>
      <c r="S255" s="116" t="s">
        <v>70</v>
      </c>
      <c r="T255" s="38">
        <v>22</v>
      </c>
      <c r="U255" s="38" t="s">
        <v>337</v>
      </c>
      <c r="V255" s="47">
        <f t="shared" ca="1" si="116"/>
        <v>23</v>
      </c>
      <c r="W255" s="97"/>
      <c r="X255" s="38"/>
      <c r="Y255" s="31"/>
      <c r="Z255" s="31"/>
      <c r="AA255" s="32"/>
      <c r="AB255" s="32"/>
      <c r="AC255" s="116"/>
      <c r="AD255" s="116"/>
      <c r="AE255" s="116"/>
      <c r="AF255" s="116"/>
      <c r="AG255" s="116"/>
      <c r="AH255" s="116"/>
      <c r="AI255" s="31"/>
      <c r="AJ255" s="33">
        <f t="shared" ref="AJ255" si="123">SUM(AA255:AI255)</f>
        <v>0</v>
      </c>
      <c r="AK255" s="54">
        <v>0</v>
      </c>
      <c r="AL255" s="31"/>
      <c r="AM255" s="31"/>
      <c r="AN255" s="34"/>
      <c r="AO255" s="35"/>
      <c r="AP255" s="36"/>
      <c r="AQ255" s="34"/>
      <c r="AR255" s="34"/>
      <c r="AS255" s="36"/>
      <c r="AT255" s="36"/>
      <c r="AU255" s="36"/>
      <c r="AV255" s="116"/>
      <c r="AW255" s="116"/>
      <c r="AX255" s="116"/>
      <c r="AY255" s="34"/>
      <c r="AZ255" s="38"/>
      <c r="BA255" s="31">
        <f t="shared" si="79"/>
        <v>0</v>
      </c>
      <c r="BB255" s="32"/>
      <c r="BC255" s="37">
        <f t="shared" si="120"/>
        <v>0</v>
      </c>
      <c r="BD255" s="37">
        <f t="shared" si="120"/>
        <v>0</v>
      </c>
      <c r="BE255" s="34">
        <f t="shared" si="95"/>
        <v>0</v>
      </c>
      <c r="BF255" s="34">
        <f t="shared" si="96"/>
        <v>0</v>
      </c>
      <c r="BG255" s="29"/>
      <c r="BH255" s="59" t="s">
        <v>1976</v>
      </c>
      <c r="BI255" s="38">
        <v>2381781101</v>
      </c>
      <c r="BJ255" s="39" t="s">
        <v>1977</v>
      </c>
      <c r="BK255" s="39"/>
      <c r="BL255" s="39"/>
      <c r="BM255" s="102" t="s">
        <v>1978</v>
      </c>
      <c r="BN255" s="39"/>
    </row>
    <row r="256" spans="1:66" ht="25.5" hidden="1" x14ac:dyDescent="0.25">
      <c r="A256" s="122" t="s">
        <v>1980</v>
      </c>
      <c r="B256" s="92">
        <v>38</v>
      </c>
      <c r="C256" s="44" t="s">
        <v>1981</v>
      </c>
      <c r="D256" s="44" t="s">
        <v>1982</v>
      </c>
      <c r="E256" s="39" t="s">
        <v>1983</v>
      </c>
      <c r="F256" s="29" t="s">
        <v>1984</v>
      </c>
      <c r="G256" s="29" t="s">
        <v>1985</v>
      </c>
      <c r="H256" s="88" t="s">
        <v>315</v>
      </c>
      <c r="I256" s="40" t="s">
        <v>930</v>
      </c>
      <c r="J256" s="117"/>
      <c r="K256" s="40" t="s">
        <v>1986</v>
      </c>
      <c r="L256" s="29" t="s">
        <v>11</v>
      </c>
      <c r="M256" s="103">
        <v>45658</v>
      </c>
      <c r="N256" s="116"/>
      <c r="O256" s="103">
        <v>45732</v>
      </c>
      <c r="P256" s="29"/>
      <c r="Q256" s="116" t="s">
        <v>69</v>
      </c>
      <c r="R256" s="116"/>
      <c r="S256" s="116" t="s">
        <v>148</v>
      </c>
      <c r="T256" s="38">
        <v>16</v>
      </c>
      <c r="U256" s="38" t="s">
        <v>243</v>
      </c>
      <c r="V256" s="47">
        <f t="shared" ca="1" si="116"/>
        <v>36</v>
      </c>
      <c r="W256" s="97"/>
      <c r="X256" s="38"/>
      <c r="Y256" s="31"/>
      <c r="Z256" s="31"/>
      <c r="AA256" s="32"/>
      <c r="AB256" s="32"/>
      <c r="AC256" s="116"/>
      <c r="AD256" s="116"/>
      <c r="AE256" s="116"/>
      <c r="AF256" s="116"/>
      <c r="AG256" s="116"/>
      <c r="AH256" s="116"/>
      <c r="AI256" s="31"/>
      <c r="AJ256" s="33">
        <f t="shared" si="114"/>
        <v>0</v>
      </c>
      <c r="AK256" s="54">
        <v>0</v>
      </c>
      <c r="AL256" s="31"/>
      <c r="AM256" s="31"/>
      <c r="AN256" s="34"/>
      <c r="AO256" s="35"/>
      <c r="AP256" s="36"/>
      <c r="AQ256" s="34"/>
      <c r="AR256" s="34"/>
      <c r="AS256" s="36"/>
      <c r="AT256" s="36"/>
      <c r="AU256" s="36"/>
      <c r="AV256" s="116"/>
      <c r="AW256" s="116"/>
      <c r="AX256" s="116"/>
      <c r="AY256" s="34"/>
      <c r="AZ256" s="38"/>
      <c r="BA256" s="31">
        <f t="shared" si="79"/>
        <v>0</v>
      </c>
      <c r="BB256" s="32"/>
      <c r="BC256" s="37">
        <f t="shared" si="120"/>
        <v>0</v>
      </c>
      <c r="BD256" s="37"/>
      <c r="BE256" s="34">
        <f t="shared" si="95"/>
        <v>0</v>
      </c>
      <c r="BF256" s="34">
        <f t="shared" si="96"/>
        <v>0</v>
      </c>
      <c r="BG256" s="29"/>
      <c r="BH256" s="59" t="s">
        <v>1987</v>
      </c>
      <c r="BI256" s="38">
        <v>2382246476</v>
      </c>
      <c r="BJ256" s="39" t="s">
        <v>1988</v>
      </c>
      <c r="BK256" s="39"/>
      <c r="BL256" s="39"/>
      <c r="BM256" s="102" t="s">
        <v>1989</v>
      </c>
      <c r="BN256" s="39"/>
    </row>
    <row r="257" spans="1:66" ht="25.5" x14ac:dyDescent="0.25">
      <c r="A257" s="122">
        <v>92700225</v>
      </c>
      <c r="B257" s="42">
        <v>1</v>
      </c>
      <c r="C257" s="44" t="s">
        <v>1990</v>
      </c>
      <c r="D257" s="102"/>
      <c r="E257" s="39" t="s">
        <v>1991</v>
      </c>
      <c r="F257" s="29" t="s">
        <v>1992</v>
      </c>
      <c r="G257" s="29" t="s">
        <v>1993</v>
      </c>
      <c r="H257" s="48" t="s">
        <v>315</v>
      </c>
      <c r="I257" s="40" t="s">
        <v>930</v>
      </c>
      <c r="J257" s="40" t="s">
        <v>325</v>
      </c>
      <c r="K257" s="40" t="s">
        <v>1994</v>
      </c>
      <c r="L257" s="29" t="s">
        <v>329</v>
      </c>
      <c r="M257" s="103">
        <v>45658</v>
      </c>
      <c r="N257" s="116"/>
      <c r="O257" s="38"/>
      <c r="P257" s="29"/>
      <c r="Q257" s="116" t="s">
        <v>69</v>
      </c>
      <c r="R257" s="116"/>
      <c r="S257" s="116" t="s">
        <v>148</v>
      </c>
      <c r="T257" s="38">
        <v>14</v>
      </c>
      <c r="U257" s="38" t="s">
        <v>149</v>
      </c>
      <c r="V257" s="47">
        <f t="shared" ca="1" si="116"/>
        <v>42</v>
      </c>
      <c r="W257" s="97">
        <v>12523100</v>
      </c>
      <c r="X257" s="47" t="s">
        <v>2483</v>
      </c>
      <c r="Y257" s="31"/>
      <c r="Z257" s="31"/>
      <c r="AA257" s="32"/>
      <c r="AB257" s="32"/>
      <c r="AC257" s="116"/>
      <c r="AD257" s="116"/>
      <c r="AE257" s="116"/>
      <c r="AF257" s="116"/>
      <c r="AG257" s="116"/>
      <c r="AH257" s="116"/>
      <c r="AI257" s="31"/>
      <c r="AJ257" s="33">
        <f t="shared" si="114"/>
        <v>0</v>
      </c>
      <c r="AK257" s="54">
        <v>0</v>
      </c>
      <c r="AL257" s="31"/>
      <c r="AM257" s="31"/>
      <c r="AN257" s="34"/>
      <c r="AO257" s="35"/>
      <c r="AP257" s="36"/>
      <c r="AQ257" s="34"/>
      <c r="AR257" s="34"/>
      <c r="AS257" s="36"/>
      <c r="AT257" s="36"/>
      <c r="AU257" s="36"/>
      <c r="AV257" s="116"/>
      <c r="AW257" s="116"/>
      <c r="AX257" s="116"/>
      <c r="AY257" s="34"/>
      <c r="AZ257" s="38"/>
      <c r="BA257" s="31">
        <f t="shared" si="79"/>
        <v>0</v>
      </c>
      <c r="BB257" s="32"/>
      <c r="BC257" s="37">
        <f t="shared" si="120"/>
        <v>0</v>
      </c>
      <c r="BD257" s="37"/>
      <c r="BE257" s="34">
        <f t="shared" si="95"/>
        <v>0</v>
      </c>
      <c r="BF257" s="34">
        <f t="shared" si="96"/>
        <v>0</v>
      </c>
      <c r="BG257" s="59" t="s">
        <v>1995</v>
      </c>
      <c r="BH257" s="59" t="s">
        <v>1996</v>
      </c>
      <c r="BI257" s="38">
        <v>2451048608</v>
      </c>
      <c r="BJ257" s="39" t="s">
        <v>1997</v>
      </c>
      <c r="BK257" s="39"/>
      <c r="BL257" s="39" t="s">
        <v>1762</v>
      </c>
      <c r="BM257" s="102" t="s">
        <v>1998</v>
      </c>
      <c r="BN257" s="39"/>
    </row>
    <row r="258" spans="1:66" ht="25.5" hidden="1" x14ac:dyDescent="0.25">
      <c r="A258" s="122" t="s">
        <v>1999</v>
      </c>
      <c r="B258" s="92">
        <v>9</v>
      </c>
      <c r="C258" s="44" t="s">
        <v>2000</v>
      </c>
      <c r="D258" s="44" t="s">
        <v>2001</v>
      </c>
      <c r="E258" s="39" t="s">
        <v>2002</v>
      </c>
      <c r="F258" s="29" t="s">
        <v>2003</v>
      </c>
      <c r="G258" s="29" t="s">
        <v>2004</v>
      </c>
      <c r="H258" s="88" t="s">
        <v>315</v>
      </c>
      <c r="I258" s="40" t="s">
        <v>930</v>
      </c>
      <c r="J258" s="40" t="s">
        <v>325</v>
      </c>
      <c r="K258" s="40" t="s">
        <v>2005</v>
      </c>
      <c r="L258" s="29" t="s">
        <v>11</v>
      </c>
      <c r="M258" s="103">
        <v>45658</v>
      </c>
      <c r="N258" s="116"/>
      <c r="O258" s="103">
        <v>45716</v>
      </c>
      <c r="P258" s="29"/>
      <c r="Q258" s="116" t="s">
        <v>69</v>
      </c>
      <c r="R258" s="116"/>
      <c r="S258" s="116" t="s">
        <v>70</v>
      </c>
      <c r="T258" s="38">
        <v>3</v>
      </c>
      <c r="U258" s="38" t="s">
        <v>175</v>
      </c>
      <c r="V258" s="47">
        <f t="shared" ca="1" si="116"/>
        <v>54</v>
      </c>
      <c r="W258" s="97"/>
      <c r="X258" s="38"/>
      <c r="Y258" s="31"/>
      <c r="Z258" s="31"/>
      <c r="AA258" s="32"/>
      <c r="AB258" s="32"/>
      <c r="AC258" s="116"/>
      <c r="AD258" s="116"/>
      <c r="AE258" s="116"/>
      <c r="AF258" s="116"/>
      <c r="AG258" s="116"/>
      <c r="AH258" s="116"/>
      <c r="AI258" s="31"/>
      <c r="AJ258" s="33">
        <f t="shared" si="114"/>
        <v>0</v>
      </c>
      <c r="AK258" s="54">
        <v>0</v>
      </c>
      <c r="AL258" s="31"/>
      <c r="AM258" s="31"/>
      <c r="AN258" s="34"/>
      <c r="AO258" s="35"/>
      <c r="AP258" s="36"/>
      <c r="AQ258" s="34"/>
      <c r="AR258" s="34"/>
      <c r="AS258" s="36"/>
      <c r="AT258" s="36"/>
      <c r="AU258" s="36"/>
      <c r="AV258" s="116"/>
      <c r="AW258" s="116"/>
      <c r="AX258" s="116"/>
      <c r="AY258" s="34"/>
      <c r="AZ258" s="38"/>
      <c r="BA258" s="31">
        <f t="shared" si="79"/>
        <v>0</v>
      </c>
      <c r="BB258" s="32"/>
      <c r="BC258" s="37"/>
      <c r="BD258" s="37"/>
      <c r="BE258" s="34">
        <f t="shared" si="95"/>
        <v>0</v>
      </c>
      <c r="BF258" s="34">
        <f t="shared" si="96"/>
        <v>0</v>
      </c>
      <c r="BG258" s="29"/>
      <c r="BH258" s="59" t="s">
        <v>2006</v>
      </c>
      <c r="BI258" s="38">
        <v>2382375448</v>
      </c>
      <c r="BJ258" s="39"/>
      <c r="BK258" s="39" t="s">
        <v>2007</v>
      </c>
      <c r="BL258" s="39"/>
      <c r="BM258" s="102" t="s">
        <v>2008</v>
      </c>
      <c r="BN258" s="39"/>
    </row>
    <row r="259" spans="1:66" ht="25.5" hidden="1" x14ac:dyDescent="0.25">
      <c r="A259" s="122" t="s">
        <v>2009</v>
      </c>
      <c r="B259" s="92">
        <v>55</v>
      </c>
      <c r="C259" s="44" t="s">
        <v>2010</v>
      </c>
      <c r="D259" s="44" t="s">
        <v>2011</v>
      </c>
      <c r="E259" s="39" t="s">
        <v>2012</v>
      </c>
      <c r="F259" s="29" t="s">
        <v>2013</v>
      </c>
      <c r="G259" s="29" t="s">
        <v>2014</v>
      </c>
      <c r="H259" s="88" t="s">
        <v>315</v>
      </c>
      <c r="I259" s="40" t="s">
        <v>930</v>
      </c>
      <c r="J259" s="40" t="s">
        <v>129</v>
      </c>
      <c r="K259" s="40" t="s">
        <v>1534</v>
      </c>
      <c r="L259" s="29" t="s">
        <v>11</v>
      </c>
      <c r="M259" s="103">
        <v>45673</v>
      </c>
      <c r="N259" s="116"/>
      <c r="O259" s="103">
        <v>45688</v>
      </c>
      <c r="P259" s="29"/>
      <c r="Q259" s="116" t="s">
        <v>69</v>
      </c>
      <c r="R259" s="116"/>
      <c r="S259" s="116" t="s">
        <v>148</v>
      </c>
      <c r="T259" s="38">
        <v>5</v>
      </c>
      <c r="U259" s="38" t="s">
        <v>103</v>
      </c>
      <c r="V259" s="47">
        <f t="shared" ca="1" si="116"/>
        <v>27</v>
      </c>
      <c r="W259" s="97"/>
      <c r="X259" s="38"/>
      <c r="Y259" s="31"/>
      <c r="Z259" s="31"/>
      <c r="AA259" s="32"/>
      <c r="AB259" s="32"/>
      <c r="AC259" s="116"/>
      <c r="AD259" s="116"/>
      <c r="AE259" s="116"/>
      <c r="AF259" s="116"/>
      <c r="AG259" s="116"/>
      <c r="AH259" s="116"/>
      <c r="AI259" s="31"/>
      <c r="AJ259" s="33">
        <f t="shared" si="114"/>
        <v>0</v>
      </c>
      <c r="AK259" s="54">
        <v>0</v>
      </c>
      <c r="AL259" s="31"/>
      <c r="AM259" s="31"/>
      <c r="AN259" s="34"/>
      <c r="AO259" s="35"/>
      <c r="AP259" s="36"/>
      <c r="AQ259" s="34"/>
      <c r="AR259" s="34"/>
      <c r="AS259" s="36"/>
      <c r="AT259" s="36"/>
      <c r="AU259" s="36"/>
      <c r="AV259" s="116"/>
      <c r="AW259" s="116"/>
      <c r="AX259" s="116"/>
      <c r="AY259" s="34"/>
      <c r="AZ259" s="38"/>
      <c r="BA259" s="31"/>
      <c r="BB259" s="32"/>
      <c r="BC259" s="37"/>
      <c r="BD259" s="37"/>
      <c r="BE259" s="34"/>
      <c r="BF259" s="34">
        <f t="shared" si="96"/>
        <v>0</v>
      </c>
      <c r="BG259" s="29"/>
      <c r="BH259" s="59" t="s">
        <v>2015</v>
      </c>
      <c r="BI259" s="38">
        <v>2381083558</v>
      </c>
      <c r="BJ259" s="39"/>
      <c r="BK259" s="39" t="s">
        <v>2016</v>
      </c>
      <c r="BL259" s="39"/>
      <c r="BM259" s="102" t="s">
        <v>2017</v>
      </c>
      <c r="BN259" s="39"/>
    </row>
    <row r="260" spans="1:66" ht="38.25" hidden="1" x14ac:dyDescent="0.25">
      <c r="A260" s="122" t="s">
        <v>2018</v>
      </c>
      <c r="B260" s="92">
        <v>56</v>
      </c>
      <c r="C260" s="44" t="s">
        <v>2019</v>
      </c>
      <c r="D260" s="44" t="s">
        <v>2020</v>
      </c>
      <c r="E260" s="39" t="s">
        <v>2021</v>
      </c>
      <c r="F260" s="29" t="s">
        <v>2022</v>
      </c>
      <c r="G260" s="29" t="s">
        <v>2023</v>
      </c>
      <c r="H260" s="88" t="s">
        <v>315</v>
      </c>
      <c r="I260" s="40" t="s">
        <v>930</v>
      </c>
      <c r="J260" s="40" t="s">
        <v>86</v>
      </c>
      <c r="K260" s="40" t="s">
        <v>938</v>
      </c>
      <c r="L260" s="29" t="s">
        <v>11</v>
      </c>
      <c r="M260" s="103">
        <v>45673</v>
      </c>
      <c r="N260" s="116"/>
      <c r="O260" s="103">
        <v>45688</v>
      </c>
      <c r="P260" s="29"/>
      <c r="Q260" s="116" t="s">
        <v>69</v>
      </c>
      <c r="R260" s="116"/>
      <c r="S260" s="116" t="s">
        <v>148</v>
      </c>
      <c r="T260" s="38">
        <v>6</v>
      </c>
      <c r="U260" s="38" t="s">
        <v>71</v>
      </c>
      <c r="V260" s="47">
        <f t="shared" ca="1" si="116"/>
        <v>24</v>
      </c>
      <c r="W260" s="97"/>
      <c r="X260" s="38"/>
      <c r="Y260" s="31"/>
      <c r="Z260" s="31"/>
      <c r="AA260" s="32"/>
      <c r="AB260" s="32"/>
      <c r="AC260" s="116"/>
      <c r="AD260" s="116"/>
      <c r="AE260" s="116"/>
      <c r="AF260" s="116"/>
      <c r="AG260" s="116"/>
      <c r="AH260" s="116"/>
      <c r="AI260" s="31"/>
      <c r="AJ260" s="33">
        <f t="shared" si="114"/>
        <v>0</v>
      </c>
      <c r="AK260" s="54">
        <v>0</v>
      </c>
      <c r="AL260" s="31"/>
      <c r="AM260" s="31"/>
      <c r="AN260" s="34"/>
      <c r="AO260" s="35"/>
      <c r="AP260" s="36"/>
      <c r="AQ260" s="34"/>
      <c r="AR260" s="34"/>
      <c r="AS260" s="36"/>
      <c r="AT260" s="36"/>
      <c r="AU260" s="36"/>
      <c r="AV260" s="116"/>
      <c r="AW260" s="116"/>
      <c r="AX260" s="116"/>
      <c r="AY260" s="34"/>
      <c r="AZ260" s="38"/>
      <c r="BA260" s="31"/>
      <c r="BB260" s="32"/>
      <c r="BC260" s="37"/>
      <c r="BD260" s="37"/>
      <c r="BE260" s="34"/>
      <c r="BF260" s="34">
        <f t="shared" si="96"/>
        <v>0</v>
      </c>
      <c r="BG260" s="29"/>
      <c r="BH260" s="59" t="s">
        <v>2024</v>
      </c>
      <c r="BI260" s="38">
        <v>2221149765</v>
      </c>
      <c r="BJ260" s="39" t="s">
        <v>2025</v>
      </c>
      <c r="BK260" s="39"/>
      <c r="BL260" s="39"/>
      <c r="BM260" s="102" t="s">
        <v>2026</v>
      </c>
      <c r="BN260" s="39"/>
    </row>
    <row r="261" spans="1:66" ht="25.5" hidden="1" x14ac:dyDescent="0.25">
      <c r="A261" s="122">
        <v>92700229</v>
      </c>
      <c r="B261" s="92">
        <v>54</v>
      </c>
      <c r="C261" s="44" t="s">
        <v>2027</v>
      </c>
      <c r="D261" s="102" t="s">
        <v>2028</v>
      </c>
      <c r="E261" s="39" t="s">
        <v>2029</v>
      </c>
      <c r="F261" s="29" t="s">
        <v>2030</v>
      </c>
      <c r="G261" s="29" t="s">
        <v>2031</v>
      </c>
      <c r="H261" s="88" t="s">
        <v>315</v>
      </c>
      <c r="I261" s="40" t="s">
        <v>930</v>
      </c>
      <c r="J261" s="40" t="s">
        <v>86</v>
      </c>
      <c r="K261" s="40" t="s">
        <v>87</v>
      </c>
      <c r="L261" s="29" t="s">
        <v>320</v>
      </c>
      <c r="M261" s="120">
        <v>45689</v>
      </c>
      <c r="N261" s="116"/>
      <c r="O261" s="38"/>
      <c r="P261" s="29"/>
      <c r="Q261" s="116" t="s">
        <v>69</v>
      </c>
      <c r="R261" s="116"/>
      <c r="S261" s="116" t="s">
        <v>70</v>
      </c>
      <c r="T261" s="38">
        <v>1</v>
      </c>
      <c r="U261" s="38" t="s">
        <v>116</v>
      </c>
      <c r="V261" s="47">
        <f t="shared" ca="1" si="116"/>
        <v>29</v>
      </c>
      <c r="W261" s="97">
        <v>12523200</v>
      </c>
      <c r="X261" s="38"/>
      <c r="Y261" s="31"/>
      <c r="Z261" s="31"/>
      <c r="AA261" s="32"/>
      <c r="AB261" s="32"/>
      <c r="AC261" s="116"/>
      <c r="AD261" s="116"/>
      <c r="AE261" s="116"/>
      <c r="AF261" s="116"/>
      <c r="AG261" s="116"/>
      <c r="AH261" s="116"/>
      <c r="AI261" s="31"/>
      <c r="AJ261" s="33">
        <f t="shared" si="114"/>
        <v>0</v>
      </c>
      <c r="AK261" s="54">
        <v>0</v>
      </c>
      <c r="AL261" s="31"/>
      <c r="AM261" s="31"/>
      <c r="AN261" s="34"/>
      <c r="AO261" s="35"/>
      <c r="AP261" s="36"/>
      <c r="AQ261" s="34"/>
      <c r="AR261" s="34"/>
      <c r="AS261" s="36"/>
      <c r="AT261" s="36"/>
      <c r="AU261" s="36"/>
      <c r="AV261" s="116"/>
      <c r="AW261" s="116"/>
      <c r="AX261" s="116"/>
      <c r="AY261" s="34"/>
      <c r="AZ261" s="38"/>
      <c r="BA261" s="31"/>
      <c r="BB261" s="32"/>
      <c r="BC261" s="37"/>
      <c r="BD261" s="37"/>
      <c r="BE261" s="34"/>
      <c r="BF261" s="34"/>
      <c r="BG261" s="121" t="s">
        <v>2032</v>
      </c>
      <c r="BH261" s="59" t="s">
        <v>2033</v>
      </c>
      <c r="BI261" s="38">
        <v>2222603070</v>
      </c>
      <c r="BJ261" s="39" t="s">
        <v>2034</v>
      </c>
      <c r="BK261" s="39" t="s">
        <v>2035</v>
      </c>
      <c r="BL261" s="39" t="s">
        <v>2036</v>
      </c>
      <c r="BM261" s="102" t="s">
        <v>2037</v>
      </c>
      <c r="BN261" s="39"/>
    </row>
    <row r="262" spans="1:66" ht="25.5" x14ac:dyDescent="0.25">
      <c r="A262" s="122">
        <v>92700229</v>
      </c>
      <c r="B262" s="42">
        <v>53</v>
      </c>
      <c r="C262" s="102" t="s">
        <v>2028</v>
      </c>
      <c r="D262" s="102"/>
      <c r="E262" s="39" t="s">
        <v>2029</v>
      </c>
      <c r="F262" s="29" t="s">
        <v>2030</v>
      </c>
      <c r="G262" s="29" t="s">
        <v>2031</v>
      </c>
      <c r="H262" s="48" t="s">
        <v>315</v>
      </c>
      <c r="I262" s="40" t="s">
        <v>930</v>
      </c>
      <c r="J262" s="40" t="s">
        <v>86</v>
      </c>
      <c r="K262" s="40" t="s">
        <v>87</v>
      </c>
      <c r="L262" s="29" t="s">
        <v>329</v>
      </c>
      <c r="M262" s="38"/>
      <c r="N262" s="120">
        <v>45748</v>
      </c>
      <c r="O262" s="38"/>
      <c r="P262" s="29"/>
      <c r="Q262" s="116" t="s">
        <v>69</v>
      </c>
      <c r="R262" s="116"/>
      <c r="S262" s="116" t="s">
        <v>70</v>
      </c>
      <c r="T262" s="38">
        <v>1</v>
      </c>
      <c r="U262" s="38" t="s">
        <v>116</v>
      </c>
      <c r="V262" s="47">
        <f t="shared" ca="1" si="116"/>
        <v>29</v>
      </c>
      <c r="W262" s="97">
        <v>12523200</v>
      </c>
      <c r="X262" s="47">
        <v>193</v>
      </c>
      <c r="Y262" s="31"/>
      <c r="Z262" s="31"/>
      <c r="AA262" s="32"/>
      <c r="AB262" s="32"/>
      <c r="AC262" s="116"/>
      <c r="AD262" s="116"/>
      <c r="AE262" s="116"/>
      <c r="AF262" s="116"/>
      <c r="AG262" s="116"/>
      <c r="AH262" s="116"/>
      <c r="AI262" s="31"/>
      <c r="AJ262" s="33">
        <f t="shared" ref="AJ262" si="124">SUM(AA262:AI262)</f>
        <v>0</v>
      </c>
      <c r="AK262" s="54">
        <v>0</v>
      </c>
      <c r="AL262" s="31"/>
      <c r="AM262" s="31"/>
      <c r="AN262" s="34"/>
      <c r="AO262" s="35"/>
      <c r="AP262" s="36"/>
      <c r="AQ262" s="34"/>
      <c r="AR262" s="34"/>
      <c r="AS262" s="36"/>
      <c r="AT262" s="36"/>
      <c r="AU262" s="36"/>
      <c r="AV262" s="116"/>
      <c r="AW262" s="116"/>
      <c r="AX262" s="116"/>
      <c r="AY262" s="34"/>
      <c r="AZ262" s="38"/>
      <c r="BA262" s="31"/>
      <c r="BB262" s="32"/>
      <c r="BC262" s="37"/>
      <c r="BD262" s="37"/>
      <c r="BE262" s="34"/>
      <c r="BF262" s="34"/>
      <c r="BG262" s="121" t="s">
        <v>2032</v>
      </c>
      <c r="BH262" s="59" t="s">
        <v>2033</v>
      </c>
      <c r="BI262" s="38">
        <v>2222603070</v>
      </c>
      <c r="BJ262" s="39" t="s">
        <v>2034</v>
      </c>
      <c r="BK262" s="39" t="s">
        <v>2035</v>
      </c>
      <c r="BL262" s="39" t="s">
        <v>2036</v>
      </c>
      <c r="BM262" s="102" t="s">
        <v>2037</v>
      </c>
      <c r="BN262" s="39"/>
    </row>
    <row r="263" spans="1:66" ht="25.5" x14ac:dyDescent="0.25">
      <c r="A263" s="122">
        <v>92700230</v>
      </c>
      <c r="B263" s="42">
        <v>52</v>
      </c>
      <c r="C263" s="44" t="s">
        <v>2038</v>
      </c>
      <c r="D263" s="102"/>
      <c r="E263" s="39" t="s">
        <v>2039</v>
      </c>
      <c r="F263" s="29" t="s">
        <v>2040</v>
      </c>
      <c r="G263" s="29" t="s">
        <v>2041</v>
      </c>
      <c r="H263" s="48" t="s">
        <v>84</v>
      </c>
      <c r="I263" s="40" t="s">
        <v>2042</v>
      </c>
      <c r="J263" s="40" t="s">
        <v>86</v>
      </c>
      <c r="K263" s="40" t="s">
        <v>87</v>
      </c>
      <c r="L263" s="29" t="s">
        <v>329</v>
      </c>
      <c r="M263" s="120">
        <v>45689</v>
      </c>
      <c r="N263" s="116"/>
      <c r="O263" s="38"/>
      <c r="P263" s="29"/>
      <c r="Q263" s="116" t="s">
        <v>69</v>
      </c>
      <c r="R263" s="116"/>
      <c r="S263" s="116" t="s">
        <v>70</v>
      </c>
      <c r="T263" s="38">
        <v>31</v>
      </c>
      <c r="U263" s="38" t="s">
        <v>400</v>
      </c>
      <c r="V263" s="47">
        <f t="shared" ca="1" si="116"/>
        <v>41</v>
      </c>
      <c r="W263" s="97">
        <v>12523300</v>
      </c>
      <c r="X263" s="47">
        <v>193</v>
      </c>
      <c r="Y263" s="31"/>
      <c r="Z263" s="31"/>
      <c r="AA263" s="32"/>
      <c r="AB263" s="32"/>
      <c r="AC263" s="116"/>
      <c r="AD263" s="116"/>
      <c r="AE263" s="116"/>
      <c r="AF263" s="116"/>
      <c r="AG263" s="116"/>
      <c r="AH263" s="116"/>
      <c r="AI263" s="31"/>
      <c r="AJ263" s="33">
        <f t="shared" si="114"/>
        <v>0</v>
      </c>
      <c r="AK263" s="54">
        <v>0</v>
      </c>
      <c r="AL263" s="31"/>
      <c r="AM263" s="31"/>
      <c r="AN263" s="34"/>
      <c r="AO263" s="35"/>
      <c r="AP263" s="36"/>
      <c r="AQ263" s="34"/>
      <c r="AR263" s="34"/>
      <c r="AS263" s="36"/>
      <c r="AT263" s="36"/>
      <c r="AU263" s="36"/>
      <c r="AV263" s="116"/>
      <c r="AW263" s="116"/>
      <c r="AX263" s="116"/>
      <c r="AY263" s="34"/>
      <c r="AZ263" s="38"/>
      <c r="BA263" s="31"/>
      <c r="BB263" s="32"/>
      <c r="BC263" s="37"/>
      <c r="BD263" s="37"/>
      <c r="BE263" s="34"/>
      <c r="BF263" s="34"/>
      <c r="BG263" s="59" t="s">
        <v>2043</v>
      </c>
      <c r="BH263" s="59" t="s">
        <v>2044</v>
      </c>
      <c r="BI263" s="38">
        <v>2382742390</v>
      </c>
      <c r="BJ263" s="39" t="s">
        <v>2045</v>
      </c>
      <c r="BK263" s="39"/>
      <c r="BL263" s="39" t="s">
        <v>2046</v>
      </c>
      <c r="BM263" s="102" t="s">
        <v>2047</v>
      </c>
      <c r="BN263" s="39"/>
    </row>
    <row r="264" spans="1:66" ht="25.5" hidden="1" x14ac:dyDescent="0.25">
      <c r="A264" s="122">
        <v>92700231</v>
      </c>
      <c r="B264" s="92">
        <v>62</v>
      </c>
      <c r="C264" s="44" t="s">
        <v>2048</v>
      </c>
      <c r="D264" s="44" t="s">
        <v>2049</v>
      </c>
      <c r="E264" s="39" t="s">
        <v>2050</v>
      </c>
      <c r="F264" s="29" t="s">
        <v>2051</v>
      </c>
      <c r="G264" s="29" t="s">
        <v>2052</v>
      </c>
      <c r="H264" s="88" t="s">
        <v>315</v>
      </c>
      <c r="I264" s="40" t="s">
        <v>930</v>
      </c>
      <c r="J264" s="40" t="s">
        <v>325</v>
      </c>
      <c r="K264" s="40" t="s">
        <v>2053</v>
      </c>
      <c r="L264" s="29" t="s">
        <v>11</v>
      </c>
      <c r="M264" s="120">
        <v>45689</v>
      </c>
      <c r="N264" s="116"/>
      <c r="O264" s="120">
        <v>45777</v>
      </c>
      <c r="P264" s="29"/>
      <c r="Q264" s="116" t="s">
        <v>69</v>
      </c>
      <c r="R264" s="116"/>
      <c r="S264" s="116" t="s">
        <v>148</v>
      </c>
      <c r="T264" s="38">
        <v>19</v>
      </c>
      <c r="U264" s="38" t="s">
        <v>88</v>
      </c>
      <c r="V264" s="47">
        <f t="shared" ca="1" si="116"/>
        <v>41</v>
      </c>
      <c r="W264" s="97"/>
      <c r="X264" s="38"/>
      <c r="Y264" s="31"/>
      <c r="Z264" s="31"/>
      <c r="AA264" s="32"/>
      <c r="AB264" s="32"/>
      <c r="AC264" s="116"/>
      <c r="AD264" s="116"/>
      <c r="AE264" s="116"/>
      <c r="AF264" s="116"/>
      <c r="AG264" s="116"/>
      <c r="AH264" s="116"/>
      <c r="AI264" s="31"/>
      <c r="AJ264" s="33">
        <f t="shared" si="114"/>
        <v>0</v>
      </c>
      <c r="AK264" s="54">
        <v>0</v>
      </c>
      <c r="AL264" s="31"/>
      <c r="AM264" s="31"/>
      <c r="AN264" s="34"/>
      <c r="AO264" s="35"/>
      <c r="AP264" s="36"/>
      <c r="AQ264" s="34"/>
      <c r="AR264" s="34"/>
      <c r="AS264" s="36"/>
      <c r="AT264" s="36"/>
      <c r="AU264" s="36"/>
      <c r="AV264" s="116"/>
      <c r="AW264" s="116"/>
      <c r="AX264" s="116"/>
      <c r="AY264" s="34"/>
      <c r="AZ264" s="38"/>
      <c r="BA264" s="31"/>
      <c r="BB264" s="32"/>
      <c r="BC264" s="37"/>
      <c r="BD264" s="37"/>
      <c r="BE264" s="34"/>
      <c r="BF264" s="34"/>
      <c r="BG264" s="59" t="s">
        <v>2054</v>
      </c>
      <c r="BH264" s="59" t="s">
        <v>2055</v>
      </c>
      <c r="BI264" s="38">
        <v>2381999668</v>
      </c>
      <c r="BJ264" s="39" t="s">
        <v>2056</v>
      </c>
      <c r="BK264" s="39" t="s">
        <v>2056</v>
      </c>
      <c r="BL264" s="39"/>
      <c r="BM264" s="102" t="s">
        <v>2057</v>
      </c>
      <c r="BN264" s="39"/>
    </row>
    <row r="265" spans="1:66" ht="38.25" hidden="1" x14ac:dyDescent="0.25">
      <c r="A265" s="122">
        <v>92700232</v>
      </c>
      <c r="B265" s="92">
        <v>59</v>
      </c>
      <c r="C265" s="44" t="s">
        <v>2058</v>
      </c>
      <c r="D265" s="102" t="s">
        <v>2059</v>
      </c>
      <c r="E265" s="39" t="s">
        <v>2060</v>
      </c>
      <c r="F265" s="29" t="s">
        <v>2061</v>
      </c>
      <c r="G265" s="29" t="s">
        <v>2062</v>
      </c>
      <c r="H265" s="88" t="s">
        <v>315</v>
      </c>
      <c r="I265" s="40" t="s">
        <v>930</v>
      </c>
      <c r="J265" s="40" t="s">
        <v>322</v>
      </c>
      <c r="K265" s="40" t="s">
        <v>323</v>
      </c>
      <c r="L265" s="29" t="s">
        <v>320</v>
      </c>
      <c r="M265" s="120">
        <v>45689</v>
      </c>
      <c r="N265" s="116"/>
      <c r="O265" s="38"/>
      <c r="P265" s="29"/>
      <c r="Q265" s="116" t="s">
        <v>69</v>
      </c>
      <c r="R265" s="116"/>
      <c r="S265" s="116" t="s">
        <v>148</v>
      </c>
      <c r="T265" s="38">
        <v>19</v>
      </c>
      <c r="U265" s="38" t="s">
        <v>175</v>
      </c>
      <c r="V265" s="47">
        <f t="shared" ca="1" si="116"/>
        <v>28</v>
      </c>
      <c r="W265" s="97">
        <v>12555800</v>
      </c>
      <c r="X265" s="38"/>
      <c r="Y265" s="31"/>
      <c r="Z265" s="31"/>
      <c r="AA265" s="32"/>
      <c r="AB265" s="32"/>
      <c r="AC265" s="116"/>
      <c r="AD265" s="116"/>
      <c r="AE265" s="116"/>
      <c r="AF265" s="116"/>
      <c r="AG265" s="116"/>
      <c r="AH265" s="116"/>
      <c r="AI265" s="31"/>
      <c r="AJ265" s="33">
        <f t="shared" si="114"/>
        <v>0</v>
      </c>
      <c r="AK265" s="54">
        <v>0</v>
      </c>
      <c r="AL265" s="31"/>
      <c r="AM265" s="31"/>
      <c r="AN265" s="34"/>
      <c r="AO265" s="35"/>
      <c r="AP265" s="36"/>
      <c r="AQ265" s="34"/>
      <c r="AR265" s="34"/>
      <c r="AS265" s="36"/>
      <c r="AT265" s="36"/>
      <c r="AU265" s="36"/>
      <c r="AV265" s="116"/>
      <c r="AW265" s="116"/>
      <c r="AX265" s="116"/>
      <c r="AY265" s="34"/>
      <c r="AZ265" s="38"/>
      <c r="BA265" s="31"/>
      <c r="BB265" s="32"/>
      <c r="BC265" s="37"/>
      <c r="BD265" s="37"/>
      <c r="BE265" s="34"/>
      <c r="BF265" s="34"/>
      <c r="BG265" s="59" t="s">
        <v>2063</v>
      </c>
      <c r="BH265" s="59" t="s">
        <v>2064</v>
      </c>
      <c r="BI265" s="38">
        <v>2228466836</v>
      </c>
      <c r="BJ265" s="39" t="s">
        <v>2065</v>
      </c>
      <c r="BK265" s="39" t="s">
        <v>2066</v>
      </c>
      <c r="BL265" s="39" t="s">
        <v>2067</v>
      </c>
      <c r="BM265" s="102" t="s">
        <v>2068</v>
      </c>
      <c r="BN265" s="39"/>
    </row>
    <row r="266" spans="1:66" ht="38.25" hidden="1" x14ac:dyDescent="0.25">
      <c r="A266" s="122">
        <v>92700232</v>
      </c>
      <c r="B266" s="92">
        <v>44</v>
      </c>
      <c r="C266" s="44" t="s">
        <v>2059</v>
      </c>
      <c r="D266" s="77" t="s">
        <v>2069</v>
      </c>
      <c r="E266" s="39" t="s">
        <v>2070</v>
      </c>
      <c r="F266" s="29" t="s">
        <v>2061</v>
      </c>
      <c r="G266" s="29" t="s">
        <v>2062</v>
      </c>
      <c r="H266" s="88" t="s">
        <v>315</v>
      </c>
      <c r="I266" s="40" t="s">
        <v>930</v>
      </c>
      <c r="J266" s="40" t="s">
        <v>478</v>
      </c>
      <c r="K266" s="40" t="s">
        <v>688</v>
      </c>
      <c r="L266" s="29" t="s">
        <v>320</v>
      </c>
      <c r="M266" s="38"/>
      <c r="N266" s="120">
        <v>45748</v>
      </c>
      <c r="O266" s="38"/>
      <c r="P266" s="29"/>
      <c r="Q266" s="116" t="s">
        <v>69</v>
      </c>
      <c r="R266" s="116"/>
      <c r="S266" s="116" t="s">
        <v>148</v>
      </c>
      <c r="T266" s="38">
        <v>19</v>
      </c>
      <c r="U266" s="38" t="s">
        <v>175</v>
      </c>
      <c r="V266" s="47">
        <f t="shared" ca="1" si="116"/>
        <v>28</v>
      </c>
      <c r="W266" s="97">
        <v>12555800</v>
      </c>
      <c r="X266" s="38"/>
      <c r="Y266" s="31"/>
      <c r="Z266" s="31"/>
      <c r="AA266" s="32"/>
      <c r="AB266" s="32"/>
      <c r="AC266" s="116"/>
      <c r="AD266" s="116"/>
      <c r="AE266" s="116"/>
      <c r="AF266" s="116"/>
      <c r="AG266" s="116"/>
      <c r="AH266" s="116"/>
      <c r="AI266" s="31"/>
      <c r="AJ266" s="33">
        <f t="shared" ref="AJ266:AJ267" si="125">SUM(AA266:AI266)</f>
        <v>0</v>
      </c>
      <c r="AK266" s="54">
        <v>0</v>
      </c>
      <c r="AL266" s="31"/>
      <c r="AM266" s="31"/>
      <c r="AN266" s="34"/>
      <c r="AO266" s="35"/>
      <c r="AP266" s="36"/>
      <c r="AQ266" s="34"/>
      <c r="AR266" s="34"/>
      <c r="AS266" s="36"/>
      <c r="AT266" s="36"/>
      <c r="AU266" s="36"/>
      <c r="AV266" s="116"/>
      <c r="AW266" s="116"/>
      <c r="AX266" s="116"/>
      <c r="AY266" s="34"/>
      <c r="AZ266" s="38"/>
      <c r="BA266" s="31"/>
      <c r="BB266" s="32"/>
      <c r="BC266" s="37"/>
      <c r="BD266" s="37"/>
      <c r="BE266" s="34"/>
      <c r="BF266" s="34"/>
      <c r="BG266" s="59" t="s">
        <v>2063</v>
      </c>
      <c r="BH266" s="59" t="s">
        <v>2064</v>
      </c>
      <c r="BI266" s="38">
        <v>2228466836</v>
      </c>
      <c r="BJ266" s="39" t="s">
        <v>2065</v>
      </c>
      <c r="BK266" s="39" t="s">
        <v>2066</v>
      </c>
      <c r="BL266" s="39" t="s">
        <v>2067</v>
      </c>
      <c r="BM266" s="102" t="s">
        <v>2068</v>
      </c>
      <c r="BN266" s="39"/>
    </row>
    <row r="267" spans="1:66" ht="38.25" hidden="1" x14ac:dyDescent="0.25">
      <c r="A267" s="122">
        <v>92700232</v>
      </c>
      <c r="B267" s="92">
        <v>59</v>
      </c>
      <c r="C267" s="77" t="s">
        <v>2069</v>
      </c>
      <c r="D267" s="102" t="s">
        <v>2071</v>
      </c>
      <c r="E267" s="39" t="s">
        <v>2070</v>
      </c>
      <c r="F267" s="29" t="s">
        <v>2061</v>
      </c>
      <c r="G267" s="29" t="s">
        <v>2062</v>
      </c>
      <c r="H267" s="88" t="s">
        <v>315</v>
      </c>
      <c r="I267" s="40" t="s">
        <v>930</v>
      </c>
      <c r="J267" s="40" t="s">
        <v>322</v>
      </c>
      <c r="K267" s="40" t="s">
        <v>323</v>
      </c>
      <c r="L267" s="29" t="s">
        <v>11</v>
      </c>
      <c r="M267" s="38"/>
      <c r="N267" s="120">
        <v>45793</v>
      </c>
      <c r="O267" s="120">
        <v>46006</v>
      </c>
      <c r="P267" s="29"/>
      <c r="Q267" s="116" t="s">
        <v>69</v>
      </c>
      <c r="R267" s="116"/>
      <c r="S267" s="116" t="s">
        <v>148</v>
      </c>
      <c r="T267" s="38">
        <v>19</v>
      </c>
      <c r="U267" s="38" t="s">
        <v>175</v>
      </c>
      <c r="V267" s="47">
        <f t="shared" ca="1" si="116"/>
        <v>28</v>
      </c>
      <c r="W267" s="97">
        <v>12555800</v>
      </c>
      <c r="X267" s="38"/>
      <c r="Y267" s="31"/>
      <c r="Z267" s="31"/>
      <c r="AA267" s="32"/>
      <c r="AB267" s="32"/>
      <c r="AC267" s="116"/>
      <c r="AD267" s="116"/>
      <c r="AE267" s="116"/>
      <c r="AF267" s="116"/>
      <c r="AG267" s="116"/>
      <c r="AH267" s="116"/>
      <c r="AI267" s="31"/>
      <c r="AJ267" s="33">
        <f t="shared" si="125"/>
        <v>0</v>
      </c>
      <c r="AK267" s="54">
        <v>0</v>
      </c>
      <c r="AL267" s="31"/>
      <c r="AM267" s="31"/>
      <c r="AN267" s="34"/>
      <c r="AO267" s="35"/>
      <c r="AP267" s="36"/>
      <c r="AQ267" s="34"/>
      <c r="AR267" s="34"/>
      <c r="AS267" s="36"/>
      <c r="AT267" s="36"/>
      <c r="AU267" s="36"/>
      <c r="AV267" s="116"/>
      <c r="AW267" s="116"/>
      <c r="AX267" s="116"/>
      <c r="AY267" s="34"/>
      <c r="AZ267" s="38"/>
      <c r="BA267" s="31"/>
      <c r="BB267" s="32"/>
      <c r="BC267" s="37"/>
      <c r="BD267" s="37"/>
      <c r="BE267" s="34"/>
      <c r="BF267" s="34"/>
      <c r="BG267" s="59" t="s">
        <v>2063</v>
      </c>
      <c r="BH267" s="59" t="s">
        <v>2064</v>
      </c>
      <c r="BI267" s="38">
        <v>2228466836</v>
      </c>
      <c r="BJ267" s="39" t="s">
        <v>2065</v>
      </c>
      <c r="BK267" s="39" t="s">
        <v>2066</v>
      </c>
      <c r="BL267" s="39" t="s">
        <v>2067</v>
      </c>
      <c r="BM267" s="102" t="s">
        <v>2068</v>
      </c>
      <c r="BN267" s="39"/>
    </row>
    <row r="268" spans="1:66" ht="38.25" hidden="1" x14ac:dyDescent="0.25">
      <c r="A268" s="122">
        <v>141891</v>
      </c>
      <c r="B268" s="92">
        <v>51</v>
      </c>
      <c r="C268" s="44" t="s">
        <v>2072</v>
      </c>
      <c r="D268" s="44" t="s">
        <v>2073</v>
      </c>
      <c r="E268" s="39" t="s">
        <v>2074</v>
      </c>
      <c r="F268" s="29" t="s">
        <v>2075</v>
      </c>
      <c r="G268" s="29" t="s">
        <v>2076</v>
      </c>
      <c r="H268" s="88" t="s">
        <v>140</v>
      </c>
      <c r="I268" s="118" t="s">
        <v>1771</v>
      </c>
      <c r="J268" s="40" t="s">
        <v>86</v>
      </c>
      <c r="K268" s="117"/>
      <c r="L268" s="29" t="s">
        <v>11</v>
      </c>
      <c r="M268" s="120">
        <v>45689</v>
      </c>
      <c r="N268" s="116"/>
      <c r="O268" s="120">
        <v>45731</v>
      </c>
      <c r="P268" s="29"/>
      <c r="Q268" s="116" t="s">
        <v>69</v>
      </c>
      <c r="R268" s="116"/>
      <c r="S268" s="116" t="s">
        <v>148</v>
      </c>
      <c r="T268" s="38">
        <v>21</v>
      </c>
      <c r="U268" s="38" t="s">
        <v>149</v>
      </c>
      <c r="V268" s="47">
        <f t="shared" ca="1" si="116"/>
        <v>31</v>
      </c>
      <c r="W268" s="97"/>
      <c r="X268" s="38"/>
      <c r="Y268" s="31"/>
      <c r="Z268" s="31"/>
      <c r="AA268" s="32"/>
      <c r="AB268" s="32"/>
      <c r="AC268" s="116"/>
      <c r="AD268" s="116"/>
      <c r="AE268" s="116"/>
      <c r="AF268" s="116"/>
      <c r="AG268" s="116"/>
      <c r="AH268" s="116"/>
      <c r="AI268" s="31"/>
      <c r="AJ268" s="33">
        <f t="shared" si="114"/>
        <v>0</v>
      </c>
      <c r="AK268" s="54">
        <v>0</v>
      </c>
      <c r="AL268" s="31"/>
      <c r="AM268" s="31"/>
      <c r="AN268" s="34"/>
      <c r="AO268" s="35"/>
      <c r="AP268" s="36"/>
      <c r="AQ268" s="34"/>
      <c r="AR268" s="34"/>
      <c r="AS268" s="36"/>
      <c r="AT268" s="36"/>
      <c r="AU268" s="36"/>
      <c r="AV268" s="116"/>
      <c r="AW268" s="116"/>
      <c r="AX268" s="116"/>
      <c r="AY268" s="34"/>
      <c r="AZ268" s="38"/>
      <c r="BA268" s="31"/>
      <c r="BB268" s="32"/>
      <c r="BC268" s="37"/>
      <c r="BD268" s="37"/>
      <c r="BE268" s="34"/>
      <c r="BF268" s="34"/>
      <c r="BG268" s="59" t="s">
        <v>2077</v>
      </c>
      <c r="BH268" s="59" t="s">
        <v>2078</v>
      </c>
      <c r="BI268" s="38">
        <v>2492106287</v>
      </c>
      <c r="BJ268" s="39" t="s">
        <v>2079</v>
      </c>
      <c r="BK268" s="39" t="s">
        <v>2080</v>
      </c>
      <c r="BL268" s="39" t="s">
        <v>1762</v>
      </c>
      <c r="BM268" s="102" t="s">
        <v>2081</v>
      </c>
      <c r="BN268" s="39"/>
    </row>
    <row r="269" spans="1:66" ht="25.5" x14ac:dyDescent="0.25">
      <c r="A269" s="122">
        <v>92700233</v>
      </c>
      <c r="B269" s="42">
        <v>60</v>
      </c>
      <c r="C269" s="44" t="s">
        <v>2082</v>
      </c>
      <c r="D269" s="102"/>
      <c r="E269" s="39" t="s">
        <v>2083</v>
      </c>
      <c r="F269" s="29" t="s">
        <v>2084</v>
      </c>
      <c r="G269" s="29" t="s">
        <v>2085</v>
      </c>
      <c r="H269" s="48" t="s">
        <v>315</v>
      </c>
      <c r="I269" s="40" t="s">
        <v>930</v>
      </c>
      <c r="J269" s="40" t="s">
        <v>325</v>
      </c>
      <c r="K269" s="40" t="s">
        <v>2086</v>
      </c>
      <c r="L269" s="29" t="s">
        <v>329</v>
      </c>
      <c r="M269" s="120">
        <v>45689</v>
      </c>
      <c r="N269" s="116"/>
      <c r="O269" s="38"/>
      <c r="P269" s="29"/>
      <c r="Q269" s="116" t="s">
        <v>69</v>
      </c>
      <c r="R269" s="116"/>
      <c r="S269" s="116" t="s">
        <v>148</v>
      </c>
      <c r="T269" s="38">
        <v>19</v>
      </c>
      <c r="U269" s="38" t="s">
        <v>337</v>
      </c>
      <c r="V269" s="47">
        <f t="shared" ca="1" si="116"/>
        <v>30</v>
      </c>
      <c r="W269" s="97">
        <v>12527400</v>
      </c>
      <c r="X269" s="47" t="s">
        <v>2480</v>
      </c>
      <c r="Y269" s="31"/>
      <c r="Z269" s="31"/>
      <c r="AA269" s="32"/>
      <c r="AB269" s="32"/>
      <c r="AC269" s="116"/>
      <c r="AD269" s="116"/>
      <c r="AE269" s="116"/>
      <c r="AF269" s="116"/>
      <c r="AG269" s="116"/>
      <c r="AH269" s="116"/>
      <c r="AI269" s="31"/>
      <c r="AJ269" s="33">
        <f t="shared" si="114"/>
        <v>0</v>
      </c>
      <c r="AK269" s="54">
        <v>0</v>
      </c>
      <c r="AL269" s="31"/>
      <c r="AM269" s="31"/>
      <c r="AN269" s="34"/>
      <c r="AO269" s="35"/>
      <c r="AP269" s="36"/>
      <c r="AQ269" s="34"/>
      <c r="AR269" s="34"/>
      <c r="AS269" s="36"/>
      <c r="AT269" s="36"/>
      <c r="AU269" s="36"/>
      <c r="AV269" s="116"/>
      <c r="AW269" s="116"/>
      <c r="AX269" s="116"/>
      <c r="AY269" s="34"/>
      <c r="AZ269" s="38"/>
      <c r="BA269" s="31"/>
      <c r="BB269" s="32"/>
      <c r="BC269" s="37"/>
      <c r="BD269" s="37"/>
      <c r="BE269" s="34"/>
      <c r="BF269" s="34"/>
      <c r="BG269" s="59" t="s">
        <v>2087</v>
      </c>
      <c r="BH269" s="59" t="s">
        <v>2088</v>
      </c>
      <c r="BI269" s="38">
        <v>2313225217</v>
      </c>
      <c r="BJ269" s="39" t="s">
        <v>2089</v>
      </c>
      <c r="BK269" s="39" t="s">
        <v>2090</v>
      </c>
      <c r="BL269" s="39" t="s">
        <v>2091</v>
      </c>
      <c r="BM269" s="102" t="s">
        <v>2092</v>
      </c>
      <c r="BN269" s="39"/>
    </row>
    <row r="270" spans="1:66" ht="28.9" hidden="1" customHeight="1" x14ac:dyDescent="0.25">
      <c r="A270" s="122">
        <v>92700234</v>
      </c>
      <c r="B270" s="92">
        <v>50</v>
      </c>
      <c r="C270" s="44" t="s">
        <v>2093</v>
      </c>
      <c r="D270" s="44" t="s">
        <v>2094</v>
      </c>
      <c r="E270" s="39" t="s">
        <v>2095</v>
      </c>
      <c r="F270" s="29" t="s">
        <v>2096</v>
      </c>
      <c r="G270" s="29" t="s">
        <v>2097</v>
      </c>
      <c r="H270" s="88" t="s">
        <v>315</v>
      </c>
      <c r="I270" s="40" t="s">
        <v>930</v>
      </c>
      <c r="J270" s="40" t="s">
        <v>322</v>
      </c>
      <c r="K270" s="40" t="s">
        <v>450</v>
      </c>
      <c r="L270" s="29" t="s">
        <v>320</v>
      </c>
      <c r="M270" s="120">
        <v>45704</v>
      </c>
      <c r="N270" s="116"/>
      <c r="O270" s="38"/>
      <c r="P270" s="29"/>
      <c r="Q270" s="116" t="s">
        <v>69</v>
      </c>
      <c r="R270" s="116"/>
      <c r="S270" s="116" t="s">
        <v>70</v>
      </c>
      <c r="T270" s="38">
        <v>28</v>
      </c>
      <c r="U270" s="38" t="s">
        <v>337</v>
      </c>
      <c r="V270" s="47">
        <f t="shared" ca="1" si="116"/>
        <v>35</v>
      </c>
      <c r="W270" s="97">
        <v>12555900</v>
      </c>
      <c r="X270" s="38"/>
      <c r="Y270" s="31"/>
      <c r="Z270" s="31"/>
      <c r="AA270" s="32"/>
      <c r="AB270" s="32"/>
      <c r="AC270" s="116"/>
      <c r="AD270" s="116"/>
      <c r="AE270" s="116"/>
      <c r="AF270" s="116"/>
      <c r="AG270" s="116"/>
      <c r="AH270" s="116"/>
      <c r="AI270" s="31"/>
      <c r="AJ270" s="33">
        <f t="shared" si="114"/>
        <v>0</v>
      </c>
      <c r="AK270" s="54">
        <v>0</v>
      </c>
      <c r="AL270" s="31"/>
      <c r="AM270" s="31"/>
      <c r="AN270" s="34"/>
      <c r="AO270" s="35"/>
      <c r="AP270" s="36"/>
      <c r="AQ270" s="34"/>
      <c r="AR270" s="34"/>
      <c r="AS270" s="36"/>
      <c r="AT270" s="36"/>
      <c r="AU270" s="36"/>
      <c r="AV270" s="116"/>
      <c r="AW270" s="116"/>
      <c r="AX270" s="116"/>
      <c r="AY270" s="34"/>
      <c r="AZ270" s="38"/>
      <c r="BA270" s="31"/>
      <c r="BB270" s="32"/>
      <c r="BC270" s="37"/>
      <c r="BD270" s="37"/>
      <c r="BE270" s="34"/>
      <c r="BF270" s="34"/>
      <c r="BG270" s="59" t="s">
        <v>2098</v>
      </c>
      <c r="BH270" s="59" t="s">
        <v>2099</v>
      </c>
      <c r="BI270" s="38">
        <v>2226568664</v>
      </c>
      <c r="BJ270" s="39" t="s">
        <v>2100</v>
      </c>
      <c r="BK270" s="39" t="s">
        <v>2100</v>
      </c>
      <c r="BL270" s="39" t="s">
        <v>2101</v>
      </c>
      <c r="BM270" s="102" t="s">
        <v>2102</v>
      </c>
      <c r="BN270" s="39"/>
    </row>
    <row r="271" spans="1:66" ht="28.9" hidden="1" customHeight="1" x14ac:dyDescent="0.25">
      <c r="A271" s="122">
        <v>92700234</v>
      </c>
      <c r="B271" s="92">
        <v>44</v>
      </c>
      <c r="C271" s="44" t="s">
        <v>2094</v>
      </c>
      <c r="D271" s="38">
        <v>403</v>
      </c>
      <c r="E271" s="39" t="s">
        <v>2095</v>
      </c>
      <c r="F271" s="29" t="s">
        <v>2096</v>
      </c>
      <c r="G271" s="29" t="s">
        <v>2097</v>
      </c>
      <c r="H271" s="88" t="s">
        <v>315</v>
      </c>
      <c r="I271" s="40" t="s">
        <v>930</v>
      </c>
      <c r="J271" s="40" t="s">
        <v>478</v>
      </c>
      <c r="K271" s="40" t="s">
        <v>688</v>
      </c>
      <c r="L271" s="29" t="s">
        <v>320</v>
      </c>
      <c r="M271" s="38"/>
      <c r="N271" s="120">
        <v>45704</v>
      </c>
      <c r="O271" s="38"/>
      <c r="P271" s="29"/>
      <c r="Q271" s="116" t="s">
        <v>69</v>
      </c>
      <c r="R271" s="116"/>
      <c r="S271" s="116" t="s">
        <v>70</v>
      </c>
      <c r="T271" s="38">
        <v>28</v>
      </c>
      <c r="U271" s="38" t="s">
        <v>337</v>
      </c>
      <c r="V271" s="47">
        <f t="shared" ca="1" si="116"/>
        <v>35</v>
      </c>
      <c r="W271" s="97">
        <v>12555900</v>
      </c>
      <c r="X271" s="38"/>
      <c r="Y271" s="31"/>
      <c r="Z271" s="31"/>
      <c r="AA271" s="32"/>
      <c r="AB271" s="32"/>
      <c r="AC271" s="116"/>
      <c r="AD271" s="116"/>
      <c r="AE271" s="116"/>
      <c r="AF271" s="116"/>
      <c r="AG271" s="116"/>
      <c r="AH271" s="116"/>
      <c r="AI271" s="31"/>
      <c r="AJ271" s="33">
        <f t="shared" ref="AJ271:AJ272" si="126">SUM(AA271:AI271)</f>
        <v>0</v>
      </c>
      <c r="AK271" s="54">
        <v>0</v>
      </c>
      <c r="AL271" s="31"/>
      <c r="AM271" s="31"/>
      <c r="AN271" s="34"/>
      <c r="AO271" s="35"/>
      <c r="AP271" s="36"/>
      <c r="AQ271" s="34"/>
      <c r="AR271" s="34"/>
      <c r="AS271" s="36"/>
      <c r="AT271" s="36"/>
      <c r="AU271" s="36"/>
      <c r="AV271" s="116"/>
      <c r="AW271" s="116"/>
      <c r="AX271" s="116"/>
      <c r="AY271" s="34"/>
      <c r="AZ271" s="38"/>
      <c r="BA271" s="31"/>
      <c r="BB271" s="32"/>
      <c r="BC271" s="37"/>
      <c r="BD271" s="37"/>
      <c r="BE271" s="34"/>
      <c r="BF271" s="34"/>
      <c r="BG271" s="59" t="s">
        <v>2098</v>
      </c>
      <c r="BH271" s="59" t="s">
        <v>2099</v>
      </c>
      <c r="BI271" s="38">
        <v>2226568664</v>
      </c>
      <c r="BJ271" s="39" t="s">
        <v>2100</v>
      </c>
      <c r="BK271" s="39" t="s">
        <v>2100</v>
      </c>
      <c r="BL271" s="39" t="s">
        <v>2101</v>
      </c>
      <c r="BM271" s="102" t="s">
        <v>2102</v>
      </c>
      <c r="BN271" s="39"/>
    </row>
    <row r="272" spans="1:66" ht="28.9" customHeight="1" x14ac:dyDescent="0.25">
      <c r="A272" s="122">
        <v>92700234</v>
      </c>
      <c r="B272" s="42">
        <v>6</v>
      </c>
      <c r="C272" s="44" t="s">
        <v>2103</v>
      </c>
      <c r="D272" s="38"/>
      <c r="E272" s="39" t="s">
        <v>2095</v>
      </c>
      <c r="F272" s="29" t="s">
        <v>2096</v>
      </c>
      <c r="G272" s="29" t="s">
        <v>2097</v>
      </c>
      <c r="H272" s="48" t="s">
        <v>315</v>
      </c>
      <c r="I272" s="40" t="s">
        <v>930</v>
      </c>
      <c r="J272" s="40" t="s">
        <v>399</v>
      </c>
      <c r="K272" s="40" t="s">
        <v>680</v>
      </c>
      <c r="L272" s="29" t="s">
        <v>329</v>
      </c>
      <c r="M272" s="38"/>
      <c r="N272" s="120">
        <v>45748</v>
      </c>
      <c r="O272" s="38"/>
      <c r="P272" s="29"/>
      <c r="Q272" s="116" t="s">
        <v>69</v>
      </c>
      <c r="R272" s="116"/>
      <c r="S272" s="116" t="s">
        <v>70</v>
      </c>
      <c r="T272" s="38">
        <v>28</v>
      </c>
      <c r="U272" s="38" t="s">
        <v>337</v>
      </c>
      <c r="V272" s="47">
        <f t="shared" ca="1" si="116"/>
        <v>35</v>
      </c>
      <c r="W272" s="97">
        <v>12555900</v>
      </c>
      <c r="X272" s="47">
        <v>177</v>
      </c>
      <c r="Y272" s="31"/>
      <c r="Z272" s="31"/>
      <c r="AA272" s="32"/>
      <c r="AB272" s="32"/>
      <c r="AC272" s="116"/>
      <c r="AD272" s="116"/>
      <c r="AE272" s="116"/>
      <c r="AF272" s="116"/>
      <c r="AG272" s="116"/>
      <c r="AH272" s="116"/>
      <c r="AI272" s="31"/>
      <c r="AJ272" s="33">
        <f t="shared" si="126"/>
        <v>0</v>
      </c>
      <c r="AK272" s="54">
        <v>0</v>
      </c>
      <c r="AL272" s="31"/>
      <c r="AM272" s="31"/>
      <c r="AN272" s="34"/>
      <c r="AO272" s="35"/>
      <c r="AP272" s="36"/>
      <c r="AQ272" s="34"/>
      <c r="AR272" s="34"/>
      <c r="AS272" s="36"/>
      <c r="AT272" s="36"/>
      <c r="AU272" s="36"/>
      <c r="AV272" s="116"/>
      <c r="AW272" s="116"/>
      <c r="AX272" s="116"/>
      <c r="AY272" s="34"/>
      <c r="AZ272" s="38"/>
      <c r="BA272" s="31"/>
      <c r="BB272" s="32"/>
      <c r="BC272" s="37"/>
      <c r="BD272" s="37"/>
      <c r="BE272" s="34"/>
      <c r="BF272" s="34"/>
      <c r="BG272" s="59" t="s">
        <v>2098</v>
      </c>
      <c r="BH272" s="59" t="s">
        <v>2099</v>
      </c>
      <c r="BI272" s="38">
        <v>2226568664</v>
      </c>
      <c r="BJ272" s="39" t="s">
        <v>2100</v>
      </c>
      <c r="BK272" s="39" t="s">
        <v>2100</v>
      </c>
      <c r="BL272" s="39" t="s">
        <v>2101</v>
      </c>
      <c r="BM272" s="102" t="s">
        <v>2102</v>
      </c>
      <c r="BN272" s="39"/>
    </row>
    <row r="273" spans="1:66" ht="25.5" hidden="1" x14ac:dyDescent="0.25">
      <c r="A273" s="122">
        <v>92700235</v>
      </c>
      <c r="B273" s="122">
        <v>8</v>
      </c>
      <c r="C273" s="44" t="s">
        <v>2104</v>
      </c>
      <c r="D273" s="44" t="s">
        <v>2105</v>
      </c>
      <c r="E273" s="39" t="s">
        <v>2106</v>
      </c>
      <c r="F273" s="29" t="s">
        <v>2107</v>
      </c>
      <c r="G273" s="29" t="s">
        <v>2108</v>
      </c>
      <c r="H273" s="38" t="s">
        <v>315</v>
      </c>
      <c r="I273" s="40" t="s">
        <v>930</v>
      </c>
      <c r="J273" s="40" t="s">
        <v>325</v>
      </c>
      <c r="K273" s="117" t="s">
        <v>1966</v>
      </c>
      <c r="L273" s="29" t="s">
        <v>11</v>
      </c>
      <c r="M273" s="120">
        <v>45717</v>
      </c>
      <c r="N273" s="116"/>
      <c r="O273" s="120">
        <v>45777</v>
      </c>
      <c r="P273" s="29"/>
      <c r="Q273" s="116" t="s">
        <v>69</v>
      </c>
      <c r="R273" s="116"/>
      <c r="S273" s="116" t="s">
        <v>70</v>
      </c>
      <c r="T273" s="38">
        <v>1</v>
      </c>
      <c r="U273" s="38" t="s">
        <v>175</v>
      </c>
      <c r="V273" s="47">
        <f t="shared" ca="1" si="116"/>
        <v>67</v>
      </c>
      <c r="W273" s="97"/>
      <c r="X273" s="38"/>
      <c r="Y273" s="31"/>
      <c r="Z273" s="31"/>
      <c r="AA273" s="32"/>
      <c r="AB273" s="32"/>
      <c r="AC273" s="116"/>
      <c r="AD273" s="116"/>
      <c r="AE273" s="116"/>
      <c r="AF273" s="116"/>
      <c r="AG273" s="116"/>
      <c r="AH273" s="116"/>
      <c r="AI273" s="31"/>
      <c r="AJ273" s="33">
        <f t="shared" si="114"/>
        <v>0</v>
      </c>
      <c r="AK273" s="54">
        <v>0</v>
      </c>
      <c r="AL273" s="31"/>
      <c r="AM273" s="31"/>
      <c r="AN273" s="34"/>
      <c r="AO273" s="35"/>
      <c r="AP273" s="36"/>
      <c r="AQ273" s="34"/>
      <c r="AR273" s="34"/>
      <c r="AS273" s="36"/>
      <c r="AT273" s="36"/>
      <c r="AU273" s="36"/>
      <c r="AV273" s="116"/>
      <c r="AW273" s="116"/>
      <c r="AX273" s="116"/>
      <c r="AY273" s="34"/>
      <c r="AZ273" s="38"/>
      <c r="BA273" s="31"/>
      <c r="BB273" s="32"/>
      <c r="BC273" s="37"/>
      <c r="BD273" s="37"/>
      <c r="BE273" s="34"/>
      <c r="BF273" s="34"/>
      <c r="BG273" s="59" t="s">
        <v>2109</v>
      </c>
      <c r="BH273" s="59" t="s">
        <v>2110</v>
      </c>
      <c r="BI273" s="38">
        <v>7971222105</v>
      </c>
      <c r="BJ273" s="39" t="s">
        <v>2111</v>
      </c>
      <c r="BK273" s="39" t="s">
        <v>2112</v>
      </c>
      <c r="BL273" s="39" t="s">
        <v>2113</v>
      </c>
      <c r="BM273" s="102" t="s">
        <v>2114</v>
      </c>
      <c r="BN273" s="39"/>
    </row>
    <row r="274" spans="1:66" ht="25.5" hidden="1" x14ac:dyDescent="0.25">
      <c r="A274" s="122">
        <v>92700235</v>
      </c>
      <c r="B274" s="122">
        <v>8</v>
      </c>
      <c r="C274" s="44" t="s">
        <v>2104</v>
      </c>
      <c r="D274" s="44" t="s">
        <v>2115</v>
      </c>
      <c r="E274" s="39" t="s">
        <v>2106</v>
      </c>
      <c r="F274" s="29" t="s">
        <v>2107</v>
      </c>
      <c r="G274" s="29" t="s">
        <v>2108</v>
      </c>
      <c r="H274" s="38" t="s">
        <v>315</v>
      </c>
      <c r="I274" s="40" t="s">
        <v>930</v>
      </c>
      <c r="J274" s="40" t="s">
        <v>325</v>
      </c>
      <c r="K274" s="117" t="s">
        <v>1966</v>
      </c>
      <c r="L274" s="29" t="s">
        <v>11</v>
      </c>
      <c r="M274" s="120">
        <v>45717</v>
      </c>
      <c r="N274" s="116"/>
      <c r="O274" s="120">
        <v>45838</v>
      </c>
      <c r="P274" s="120">
        <v>45809</v>
      </c>
      <c r="Q274" s="116" t="s">
        <v>69</v>
      </c>
      <c r="R274" s="116"/>
      <c r="S274" s="116" t="s">
        <v>70</v>
      </c>
      <c r="T274" s="38">
        <v>1</v>
      </c>
      <c r="U274" s="38" t="s">
        <v>175</v>
      </c>
      <c r="V274" s="47">
        <f t="shared" ca="1" si="116"/>
        <v>67</v>
      </c>
      <c r="W274" s="97"/>
      <c r="X274" s="38"/>
      <c r="Y274" s="31"/>
      <c r="Z274" s="31"/>
      <c r="AA274" s="32"/>
      <c r="AB274" s="32"/>
      <c r="AC274" s="116"/>
      <c r="AD274" s="116"/>
      <c r="AE274" s="116"/>
      <c r="AF274" s="116"/>
      <c r="AG274" s="116"/>
      <c r="AH274" s="116"/>
      <c r="AI274" s="31"/>
      <c r="AJ274" s="33">
        <f t="shared" ref="AJ274" si="127">SUM(AA274:AI274)</f>
        <v>0</v>
      </c>
      <c r="AK274" s="54">
        <v>0</v>
      </c>
      <c r="AL274" s="31"/>
      <c r="AM274" s="31"/>
      <c r="AN274" s="34"/>
      <c r="AO274" s="35"/>
      <c r="AP274" s="36"/>
      <c r="AQ274" s="34"/>
      <c r="AR274" s="34"/>
      <c r="AS274" s="36"/>
      <c r="AT274" s="36"/>
      <c r="AU274" s="36"/>
      <c r="AV274" s="116"/>
      <c r="AW274" s="116"/>
      <c r="AX274" s="116"/>
      <c r="AY274" s="34"/>
      <c r="AZ274" s="38"/>
      <c r="BA274" s="31"/>
      <c r="BB274" s="32"/>
      <c r="BC274" s="37"/>
      <c r="BD274" s="37"/>
      <c r="BE274" s="34"/>
      <c r="BF274" s="34"/>
      <c r="BG274" s="59" t="s">
        <v>2109</v>
      </c>
      <c r="BH274" s="59" t="s">
        <v>2110</v>
      </c>
      <c r="BI274" s="38">
        <v>7971222105</v>
      </c>
      <c r="BJ274" s="39" t="s">
        <v>2111</v>
      </c>
      <c r="BK274" s="39" t="s">
        <v>2112</v>
      </c>
      <c r="BL274" s="39" t="s">
        <v>2113</v>
      </c>
      <c r="BM274" s="102" t="s">
        <v>2114</v>
      </c>
      <c r="BN274" s="39"/>
    </row>
    <row r="275" spans="1:66" ht="25.5" x14ac:dyDescent="0.25">
      <c r="A275" s="122">
        <v>92700236</v>
      </c>
      <c r="B275" s="42">
        <v>69</v>
      </c>
      <c r="C275" s="44" t="s">
        <v>2116</v>
      </c>
      <c r="D275" s="102"/>
      <c r="E275" s="39" t="s">
        <v>2117</v>
      </c>
      <c r="F275" s="29" t="s">
        <v>2118</v>
      </c>
      <c r="G275" s="29" t="s">
        <v>2119</v>
      </c>
      <c r="H275" s="48" t="s">
        <v>84</v>
      </c>
      <c r="I275" s="117" t="s">
        <v>1922</v>
      </c>
      <c r="J275" s="118" t="s">
        <v>327</v>
      </c>
      <c r="K275" s="40" t="s">
        <v>328</v>
      </c>
      <c r="L275" s="29" t="s">
        <v>329</v>
      </c>
      <c r="M275" s="120">
        <v>45717</v>
      </c>
      <c r="N275" s="116"/>
      <c r="O275" s="38"/>
      <c r="P275" s="29"/>
      <c r="Q275" s="116" t="s">
        <v>69</v>
      </c>
      <c r="R275" s="116"/>
      <c r="S275" s="116" t="s">
        <v>70</v>
      </c>
      <c r="T275" s="38">
        <v>18</v>
      </c>
      <c r="U275" s="38" t="s">
        <v>463</v>
      </c>
      <c r="V275" s="47">
        <f ca="1">DATEDIF(DATE(IF(MID($G275,5,2)+2000&gt;YEAR(TODAY()),MID($G275,5,2)+1900,MID($G275,5,2)+2000),MID($G275,7,2),MID($G275,9,2)),TODAY(),"y")</f>
        <v>37</v>
      </c>
      <c r="W275" s="97">
        <v>11298800</v>
      </c>
      <c r="X275" s="47">
        <v>173</v>
      </c>
      <c r="Y275" s="31"/>
      <c r="Z275" s="31"/>
      <c r="AA275" s="32"/>
      <c r="AB275" s="32"/>
      <c r="AC275" s="116"/>
      <c r="AD275" s="116"/>
      <c r="AE275" s="116"/>
      <c r="AF275" s="116"/>
      <c r="AG275" s="116"/>
      <c r="AH275" s="116"/>
      <c r="AI275" s="31"/>
      <c r="AJ275" s="33">
        <f t="shared" si="114"/>
        <v>0</v>
      </c>
      <c r="AK275" s="54">
        <v>0</v>
      </c>
      <c r="AL275" s="31"/>
      <c r="AM275" s="31"/>
      <c r="AN275" s="34"/>
      <c r="AO275" s="35"/>
      <c r="AP275" s="36"/>
      <c r="AQ275" s="34"/>
      <c r="AR275" s="34"/>
      <c r="AS275" s="36"/>
      <c r="AT275" s="36"/>
      <c r="AU275" s="36"/>
      <c r="AV275" s="116"/>
      <c r="AW275" s="116"/>
      <c r="AX275" s="116"/>
      <c r="AY275" s="34"/>
      <c r="AZ275" s="38"/>
      <c r="BA275" s="31"/>
      <c r="BB275" s="32"/>
      <c r="BC275" s="37"/>
      <c r="BD275" s="37"/>
      <c r="BE275" s="34"/>
      <c r="BF275" s="34"/>
      <c r="BG275" s="59" t="s">
        <v>2120</v>
      </c>
      <c r="BH275" s="59" t="s">
        <v>2121</v>
      </c>
      <c r="BI275" s="38">
        <v>2228197884</v>
      </c>
      <c r="BJ275" s="39" t="s">
        <v>2122</v>
      </c>
      <c r="BK275" s="39" t="s">
        <v>2123</v>
      </c>
      <c r="BL275" s="39" t="s">
        <v>1762</v>
      </c>
      <c r="BM275" s="102" t="s">
        <v>2124</v>
      </c>
      <c r="BN275" s="39"/>
    </row>
    <row r="276" spans="1:66" ht="38.25" x14ac:dyDescent="0.25">
      <c r="A276" s="122">
        <v>92700237</v>
      </c>
      <c r="B276" s="42">
        <v>55</v>
      </c>
      <c r="C276" s="44" t="s">
        <v>2125</v>
      </c>
      <c r="D276" s="102"/>
      <c r="E276" s="39" t="s">
        <v>2126</v>
      </c>
      <c r="F276" s="29" t="s">
        <v>2127</v>
      </c>
      <c r="G276" s="29" t="s">
        <v>2128</v>
      </c>
      <c r="H276" s="48" t="s">
        <v>315</v>
      </c>
      <c r="I276" s="40" t="s">
        <v>930</v>
      </c>
      <c r="J276" s="40" t="s">
        <v>147</v>
      </c>
      <c r="K276" s="117"/>
      <c r="L276" s="29" t="s">
        <v>329</v>
      </c>
      <c r="M276" s="120">
        <v>45717</v>
      </c>
      <c r="N276" s="116"/>
      <c r="O276" s="38"/>
      <c r="P276" s="29"/>
      <c r="Q276" s="116" t="s">
        <v>69</v>
      </c>
      <c r="R276" s="116"/>
      <c r="S276" s="116" t="s">
        <v>148</v>
      </c>
      <c r="T276" s="38">
        <v>11</v>
      </c>
      <c r="U276" s="38" t="s">
        <v>175</v>
      </c>
      <c r="V276" s="47">
        <f ca="1">DATEDIF(DATE(IF(MID($G276,5,2)+2000&gt;YEAR(TODAY()),MID($G276,5,2)+1900,MID($G276,5,2)+2000),MID($G276,7,2),MID($G276,9,2)),TODAY(),"y")</f>
        <v>30</v>
      </c>
      <c r="W276" s="97">
        <v>12556300</v>
      </c>
      <c r="X276" s="47">
        <v>185</v>
      </c>
      <c r="Y276" s="38"/>
      <c r="Z276" s="38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54">
        <v>0</v>
      </c>
      <c r="AL276" s="116"/>
      <c r="AM276" s="116"/>
      <c r="AN276" s="116"/>
      <c r="AO276" s="116"/>
      <c r="AP276" s="36"/>
      <c r="AQ276" s="116"/>
      <c r="AR276" s="36"/>
      <c r="AS276" s="36"/>
      <c r="AT276" s="36"/>
      <c r="AU276" s="36"/>
      <c r="AV276" s="116"/>
      <c r="AW276" s="116"/>
      <c r="AX276" s="116"/>
      <c r="AY276" s="36"/>
      <c r="AZ276" s="38"/>
      <c r="BA276" s="116"/>
      <c r="BB276" s="116"/>
      <c r="BC276" s="116"/>
      <c r="BD276" s="116"/>
      <c r="BE276" s="116"/>
      <c r="BF276" s="116"/>
      <c r="BG276" s="59" t="s">
        <v>2129</v>
      </c>
      <c r="BH276" s="59" t="s">
        <v>2130</v>
      </c>
      <c r="BI276" s="38">
        <v>2211209309</v>
      </c>
      <c r="BJ276" s="39" t="s">
        <v>2131</v>
      </c>
      <c r="BK276" s="39" t="s">
        <v>2132</v>
      </c>
      <c r="BL276" s="39" t="s">
        <v>2133</v>
      </c>
      <c r="BM276" s="102" t="s">
        <v>2134</v>
      </c>
      <c r="BN276" s="39"/>
    </row>
    <row r="277" spans="1:66" ht="25.5" hidden="1" x14ac:dyDescent="0.25">
      <c r="A277" s="122">
        <v>92700238</v>
      </c>
      <c r="B277" s="122">
        <v>45</v>
      </c>
      <c r="C277" s="44" t="s">
        <v>2135</v>
      </c>
      <c r="D277" s="77" t="s">
        <v>2136</v>
      </c>
      <c r="E277" s="39" t="s">
        <v>2137</v>
      </c>
      <c r="F277" s="29" t="s">
        <v>2138</v>
      </c>
      <c r="G277" s="29" t="s">
        <v>2139</v>
      </c>
      <c r="H277" s="38" t="s">
        <v>315</v>
      </c>
      <c r="I277" s="40" t="s">
        <v>930</v>
      </c>
      <c r="J277" s="40" t="s">
        <v>399</v>
      </c>
      <c r="K277" s="117" t="s">
        <v>653</v>
      </c>
      <c r="L277" s="29" t="s">
        <v>11</v>
      </c>
      <c r="M277" s="120">
        <v>45732</v>
      </c>
      <c r="N277" s="116"/>
      <c r="O277" s="120">
        <v>45930</v>
      </c>
      <c r="P277" s="29"/>
      <c r="Q277" s="116" t="s">
        <v>69</v>
      </c>
      <c r="R277" s="116"/>
      <c r="S277" s="116" t="s">
        <v>148</v>
      </c>
      <c r="T277" s="38">
        <v>9</v>
      </c>
      <c r="U277" s="38" t="s">
        <v>463</v>
      </c>
      <c r="V277" s="47">
        <f ca="1">DATEDIF(DATE(IF(MID($G277,5,2)+2000&gt;YEAR(TODAY()),MID($G277,5,2)+1900,MID($G277,5,2)+2000),MID($G277,7,2),MID($G277,9,2)),TODAY(),"y")</f>
        <v>26</v>
      </c>
      <c r="W277" s="97">
        <v>12556400</v>
      </c>
      <c r="X277" s="38"/>
      <c r="Y277" s="38"/>
      <c r="Z277" s="38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54">
        <v>0</v>
      </c>
      <c r="AL277" s="116"/>
      <c r="AM277" s="116"/>
      <c r="AN277" s="116"/>
      <c r="AO277" s="116"/>
      <c r="AP277" s="36"/>
      <c r="AQ277" s="116"/>
      <c r="AR277" s="36"/>
      <c r="AS277" s="36"/>
      <c r="AT277" s="36"/>
      <c r="AU277" s="36"/>
      <c r="AV277" s="116"/>
      <c r="AW277" s="116"/>
      <c r="AX277" s="116"/>
      <c r="AY277" s="36"/>
      <c r="AZ277" s="38"/>
      <c r="BA277" s="116"/>
      <c r="BB277" s="116"/>
      <c r="BC277" s="116"/>
      <c r="BD277" s="116"/>
      <c r="BE277" s="116"/>
      <c r="BF277" s="116"/>
      <c r="BG277" s="59" t="s">
        <v>2140</v>
      </c>
      <c r="BH277" s="59" t="s">
        <v>2141</v>
      </c>
      <c r="BI277" s="38">
        <v>7721232050</v>
      </c>
      <c r="BJ277" s="39" t="s">
        <v>2142</v>
      </c>
      <c r="BK277" s="39" t="s">
        <v>2143</v>
      </c>
      <c r="BL277" s="39" t="s">
        <v>2144</v>
      </c>
      <c r="BM277" s="102" t="s">
        <v>2145</v>
      </c>
      <c r="BN277" s="39"/>
    </row>
    <row r="278" spans="1:66" ht="25.5" x14ac:dyDescent="0.25">
      <c r="A278" s="122">
        <v>92700239</v>
      </c>
      <c r="B278" s="42">
        <v>51</v>
      </c>
      <c r="C278" s="44" t="s">
        <v>2146</v>
      </c>
      <c r="D278" s="102"/>
      <c r="E278" s="39" t="s">
        <v>2147</v>
      </c>
      <c r="F278" s="29" t="s">
        <v>2148</v>
      </c>
      <c r="G278" s="29" t="s">
        <v>2149</v>
      </c>
      <c r="H278" s="48" t="s">
        <v>140</v>
      </c>
      <c r="I278" s="118" t="s">
        <v>2150</v>
      </c>
      <c r="J278" s="40" t="s">
        <v>86</v>
      </c>
      <c r="K278" s="117"/>
      <c r="L278" s="29" t="s">
        <v>329</v>
      </c>
      <c r="M278" s="120">
        <v>45732</v>
      </c>
      <c r="N278" s="116"/>
      <c r="O278" s="38"/>
      <c r="P278" s="29"/>
      <c r="Q278" s="116" t="s">
        <v>69</v>
      </c>
      <c r="R278" s="116"/>
      <c r="S278" s="116" t="s">
        <v>148</v>
      </c>
      <c r="T278" s="38">
        <v>22</v>
      </c>
      <c r="U278" s="38" t="s">
        <v>116</v>
      </c>
      <c r="V278" s="47">
        <f ca="1">DATEDIF(DATE(IF(MID($G278,5,2)+2000&gt;YEAR(TODAY()),MID($G278,5,2)+1900,MID($G278,5,2)+2000),MID($G278,7,2),MID($G278,9,2)),TODAY(),"y")</f>
        <v>29</v>
      </c>
      <c r="W278" s="97">
        <v>12557300</v>
      </c>
      <c r="X278" s="47">
        <v>191</v>
      </c>
      <c r="Y278" s="38"/>
      <c r="Z278" s="38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54">
        <v>0</v>
      </c>
      <c r="AL278" s="116"/>
      <c r="AM278" s="116"/>
      <c r="AN278" s="116"/>
      <c r="AO278" s="116"/>
      <c r="AP278" s="36"/>
      <c r="AQ278" s="116"/>
      <c r="AR278" s="36"/>
      <c r="AS278" s="36"/>
      <c r="AT278" s="36"/>
      <c r="AU278" s="36"/>
      <c r="AV278" s="116"/>
      <c r="AW278" s="116"/>
      <c r="AX278" s="116"/>
      <c r="AY278" s="36"/>
      <c r="AZ278" s="38"/>
      <c r="BA278" s="116"/>
      <c r="BB278" s="116"/>
      <c r="BC278" s="116"/>
      <c r="BD278" s="116"/>
      <c r="BE278" s="116"/>
      <c r="BF278" s="116"/>
      <c r="BG278" s="59" t="s">
        <v>2151</v>
      </c>
      <c r="BH278" s="59" t="s">
        <v>2152</v>
      </c>
      <c r="BI278" s="38">
        <v>2212598414</v>
      </c>
      <c r="BJ278" s="39" t="s">
        <v>2153</v>
      </c>
      <c r="BK278" s="39" t="s">
        <v>2154</v>
      </c>
      <c r="BL278" s="39" t="s">
        <v>1752</v>
      </c>
      <c r="BM278" s="102" t="s">
        <v>2155</v>
      </c>
      <c r="BN278" s="39"/>
    </row>
    <row r="279" spans="1:66" ht="38.25" hidden="1" x14ac:dyDescent="0.25">
      <c r="A279" s="122">
        <v>92700240</v>
      </c>
      <c r="B279" s="122">
        <v>9</v>
      </c>
      <c r="C279" s="102" t="s">
        <v>2156</v>
      </c>
      <c r="D279" s="102" t="s">
        <v>2157</v>
      </c>
      <c r="E279" s="39" t="s">
        <v>2158</v>
      </c>
      <c r="F279" s="29" t="s">
        <v>2159</v>
      </c>
      <c r="G279" s="29" t="s">
        <v>2160</v>
      </c>
      <c r="H279" s="38" t="s">
        <v>315</v>
      </c>
      <c r="I279" s="117" t="s">
        <v>930</v>
      </c>
      <c r="J279" s="40" t="s">
        <v>325</v>
      </c>
      <c r="K279" s="117" t="s">
        <v>2005</v>
      </c>
      <c r="L279" s="29" t="s">
        <v>320</v>
      </c>
      <c r="M279" s="120">
        <v>45748</v>
      </c>
      <c r="N279" s="116"/>
      <c r="O279" s="38"/>
      <c r="P279" s="29"/>
      <c r="Q279" s="116" t="s">
        <v>69</v>
      </c>
      <c r="R279" s="116"/>
      <c r="S279" s="116" t="s">
        <v>70</v>
      </c>
      <c r="T279" s="38">
        <v>11</v>
      </c>
      <c r="U279" s="38" t="s">
        <v>215</v>
      </c>
      <c r="V279" s="47">
        <f t="shared" ref="V279:V325" ca="1" si="128">DATEDIF(DATE(IF(MID($G279,5,2)+2000&gt;YEAR(TODAY()),MID($G279,5,2)+1900,MID($G279,5,2)+2000),MID($G279,7,2),MID($G279,9,2)),TODAY(),"y")</f>
        <v>35</v>
      </c>
      <c r="W279" s="97"/>
      <c r="X279" s="38"/>
      <c r="Y279" s="38"/>
      <c r="Z279" s="38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54">
        <v>0</v>
      </c>
      <c r="AL279" s="116"/>
      <c r="AM279" s="116"/>
      <c r="AN279" s="116"/>
      <c r="AO279" s="116"/>
      <c r="AP279" s="36"/>
      <c r="AQ279" s="116"/>
      <c r="AR279" s="36"/>
      <c r="AS279" s="36"/>
      <c r="AT279" s="36"/>
      <c r="AU279" s="36"/>
      <c r="AV279" s="116"/>
      <c r="AW279" s="116"/>
      <c r="AX279" s="116"/>
      <c r="AY279" s="36"/>
      <c r="AZ279" s="38"/>
      <c r="BA279" s="116"/>
      <c r="BB279" s="116"/>
      <c r="BC279" s="116"/>
      <c r="BD279" s="116"/>
      <c r="BE279" s="116"/>
      <c r="BF279" s="116"/>
      <c r="BG279" s="59" t="s">
        <v>2161</v>
      </c>
      <c r="BH279" s="59" t="s">
        <v>2162</v>
      </c>
      <c r="BI279" s="38">
        <v>2381859560</v>
      </c>
      <c r="BJ279" s="39" t="s">
        <v>2163</v>
      </c>
      <c r="BK279" s="39" t="s">
        <v>2164</v>
      </c>
      <c r="BL279" s="39" t="s">
        <v>2165</v>
      </c>
      <c r="BM279" s="102" t="s">
        <v>2166</v>
      </c>
      <c r="BN279" s="39"/>
    </row>
    <row r="280" spans="1:66" ht="38.25" hidden="1" x14ac:dyDescent="0.25">
      <c r="A280" s="122">
        <v>92700240</v>
      </c>
      <c r="B280" s="122">
        <v>38</v>
      </c>
      <c r="C280" s="102" t="s">
        <v>2157</v>
      </c>
      <c r="D280" s="102" t="s">
        <v>2167</v>
      </c>
      <c r="E280" s="39" t="s">
        <v>2158</v>
      </c>
      <c r="F280" s="29" t="s">
        <v>2159</v>
      </c>
      <c r="G280" s="29" t="s">
        <v>2160</v>
      </c>
      <c r="H280" s="38" t="s">
        <v>315</v>
      </c>
      <c r="I280" s="117" t="s">
        <v>930</v>
      </c>
      <c r="J280" s="40" t="s">
        <v>325</v>
      </c>
      <c r="K280" s="117" t="s">
        <v>1986</v>
      </c>
      <c r="L280" s="29" t="s">
        <v>11</v>
      </c>
      <c r="M280" s="38"/>
      <c r="N280" s="120">
        <v>45763</v>
      </c>
      <c r="O280" s="120">
        <v>45961</v>
      </c>
      <c r="P280" s="29"/>
      <c r="Q280" s="116" t="s">
        <v>69</v>
      </c>
      <c r="R280" s="116"/>
      <c r="S280" s="116" t="s">
        <v>70</v>
      </c>
      <c r="T280" s="38">
        <v>11</v>
      </c>
      <c r="U280" s="38" t="s">
        <v>215</v>
      </c>
      <c r="V280" s="47">
        <f t="shared" ca="1" si="128"/>
        <v>35</v>
      </c>
      <c r="W280" s="97"/>
      <c r="X280" s="38"/>
      <c r="Y280" s="38"/>
      <c r="Z280" s="38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54">
        <v>0</v>
      </c>
      <c r="AL280" s="116"/>
      <c r="AM280" s="116"/>
      <c r="AN280" s="116"/>
      <c r="AO280" s="116"/>
      <c r="AP280" s="36"/>
      <c r="AQ280" s="116"/>
      <c r="AR280" s="36"/>
      <c r="AS280" s="36"/>
      <c r="AT280" s="36"/>
      <c r="AU280" s="36"/>
      <c r="AV280" s="116"/>
      <c r="AW280" s="116"/>
      <c r="AX280" s="116"/>
      <c r="AY280" s="36"/>
      <c r="AZ280" s="38"/>
      <c r="BA280" s="116"/>
      <c r="BB280" s="116"/>
      <c r="BC280" s="116"/>
      <c r="BD280" s="116"/>
      <c r="BE280" s="116"/>
      <c r="BF280" s="116"/>
      <c r="BG280" s="59" t="s">
        <v>2161</v>
      </c>
      <c r="BH280" s="59" t="s">
        <v>2162</v>
      </c>
      <c r="BI280" s="38">
        <v>2381859560</v>
      </c>
      <c r="BJ280" s="39" t="s">
        <v>2163</v>
      </c>
      <c r="BK280" s="39" t="s">
        <v>2164</v>
      </c>
      <c r="BL280" s="39" t="s">
        <v>2165</v>
      </c>
      <c r="BM280" s="102" t="s">
        <v>2166</v>
      </c>
      <c r="BN280" s="39"/>
    </row>
    <row r="281" spans="1:66" ht="38.25" hidden="1" x14ac:dyDescent="0.25">
      <c r="A281" s="122">
        <v>92700241</v>
      </c>
      <c r="B281" s="122">
        <v>61</v>
      </c>
      <c r="C281" s="102" t="s">
        <v>2168</v>
      </c>
      <c r="D281" s="44" t="s">
        <v>2169</v>
      </c>
      <c r="E281" s="39" t="s">
        <v>2170</v>
      </c>
      <c r="F281" s="29" t="s">
        <v>2171</v>
      </c>
      <c r="G281" s="29" t="s">
        <v>2172</v>
      </c>
      <c r="H281" s="38" t="s">
        <v>315</v>
      </c>
      <c r="I281" s="117" t="s">
        <v>930</v>
      </c>
      <c r="J281" s="40" t="s">
        <v>86</v>
      </c>
      <c r="K281" s="40" t="s">
        <v>174</v>
      </c>
      <c r="L281" s="29" t="s">
        <v>10</v>
      </c>
      <c r="M281" s="120">
        <v>45748</v>
      </c>
      <c r="N281" s="116"/>
      <c r="O281" s="38"/>
      <c r="P281" s="29"/>
      <c r="Q281" s="116" t="s">
        <v>69</v>
      </c>
      <c r="R281" s="116"/>
      <c r="S281" s="116" t="s">
        <v>148</v>
      </c>
      <c r="T281" s="38">
        <v>24</v>
      </c>
      <c r="U281" s="38" t="s">
        <v>71</v>
      </c>
      <c r="V281" s="47">
        <f t="shared" ca="1" si="128"/>
        <v>29</v>
      </c>
      <c r="W281" s="97">
        <v>12558100</v>
      </c>
      <c r="X281" s="38"/>
      <c r="Y281" s="38"/>
      <c r="Z281" s="38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54">
        <v>0</v>
      </c>
      <c r="AL281" s="116"/>
      <c r="AM281" s="116"/>
      <c r="AN281" s="116"/>
      <c r="AO281" s="116"/>
      <c r="AP281" s="36"/>
      <c r="AQ281" s="116"/>
      <c r="AR281" s="36"/>
      <c r="AS281" s="36"/>
      <c r="AT281" s="36"/>
      <c r="AU281" s="36"/>
      <c r="AV281" s="116"/>
      <c r="AW281" s="116"/>
      <c r="AX281" s="116"/>
      <c r="AY281" s="36"/>
      <c r="AZ281" s="38"/>
      <c r="BA281" s="116"/>
      <c r="BB281" s="116"/>
      <c r="BC281" s="116"/>
      <c r="BD281" s="116"/>
      <c r="BE281" s="116"/>
      <c r="BF281" s="116"/>
      <c r="BG281" s="59" t="s">
        <v>2173</v>
      </c>
      <c r="BH281" s="59" t="s">
        <v>2174</v>
      </c>
      <c r="BI281" s="38">
        <v>2215738845</v>
      </c>
      <c r="BJ281" s="39" t="s">
        <v>2175</v>
      </c>
      <c r="BK281" s="39" t="s">
        <v>2176</v>
      </c>
      <c r="BL281" s="39" t="s">
        <v>2177</v>
      </c>
      <c r="BM281" s="102" t="s">
        <v>2178</v>
      </c>
      <c r="BN281" s="39"/>
    </row>
    <row r="282" spans="1:66" ht="38.25" hidden="1" x14ac:dyDescent="0.25">
      <c r="A282" s="122">
        <v>92700241</v>
      </c>
      <c r="B282" s="122">
        <v>5</v>
      </c>
      <c r="C282" s="44" t="s">
        <v>2169</v>
      </c>
      <c r="D282" s="77" t="s">
        <v>2179</v>
      </c>
      <c r="E282" s="39" t="s">
        <v>2170</v>
      </c>
      <c r="F282" s="29" t="s">
        <v>2171</v>
      </c>
      <c r="G282" s="29" t="s">
        <v>2172</v>
      </c>
      <c r="H282" s="88" t="s">
        <v>84</v>
      </c>
      <c r="I282" s="40" t="s">
        <v>2180</v>
      </c>
      <c r="J282" s="40" t="s">
        <v>86</v>
      </c>
      <c r="K282" s="40" t="s">
        <v>174</v>
      </c>
      <c r="L282" s="29" t="s">
        <v>11</v>
      </c>
      <c r="M282" s="38"/>
      <c r="N282" s="120">
        <v>45778</v>
      </c>
      <c r="O282" s="120">
        <v>45945</v>
      </c>
      <c r="P282" s="29"/>
      <c r="Q282" s="116" t="s">
        <v>69</v>
      </c>
      <c r="R282" s="116"/>
      <c r="S282" s="116" t="s">
        <v>148</v>
      </c>
      <c r="T282" s="38">
        <v>24</v>
      </c>
      <c r="U282" s="38" t="s">
        <v>71</v>
      </c>
      <c r="V282" s="47">
        <f t="shared" ca="1" si="128"/>
        <v>29</v>
      </c>
      <c r="W282" s="97">
        <v>12558100</v>
      </c>
      <c r="X282" s="38"/>
      <c r="Y282" s="38"/>
      <c r="Z282" s="38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54">
        <v>0</v>
      </c>
      <c r="AL282" s="116"/>
      <c r="AM282" s="116"/>
      <c r="AN282" s="116"/>
      <c r="AO282" s="116"/>
      <c r="AP282" s="36"/>
      <c r="AQ282" s="116"/>
      <c r="AR282" s="36"/>
      <c r="AS282" s="36"/>
      <c r="AT282" s="36"/>
      <c r="AU282" s="36"/>
      <c r="AV282" s="116"/>
      <c r="AW282" s="116"/>
      <c r="AX282" s="116"/>
      <c r="AY282" s="36"/>
      <c r="AZ282" s="38"/>
      <c r="BA282" s="116"/>
      <c r="BB282" s="116"/>
      <c r="BC282" s="116"/>
      <c r="BD282" s="116"/>
      <c r="BE282" s="116"/>
      <c r="BF282" s="116"/>
      <c r="BG282" s="59" t="s">
        <v>2173</v>
      </c>
      <c r="BH282" s="59" t="s">
        <v>2174</v>
      </c>
      <c r="BI282" s="38">
        <v>2215738845</v>
      </c>
      <c r="BJ282" s="39" t="s">
        <v>2175</v>
      </c>
      <c r="BK282" s="39" t="s">
        <v>2176</v>
      </c>
      <c r="BL282" s="39" t="s">
        <v>2177</v>
      </c>
      <c r="BM282" s="102" t="s">
        <v>2178</v>
      </c>
      <c r="BN282" s="39"/>
    </row>
    <row r="283" spans="1:66" ht="25.5" hidden="1" x14ac:dyDescent="0.25">
      <c r="A283" s="122" t="s">
        <v>2181</v>
      </c>
      <c r="B283" s="122">
        <v>7</v>
      </c>
      <c r="C283" s="44" t="s">
        <v>2182</v>
      </c>
      <c r="D283" s="77" t="s">
        <v>2183</v>
      </c>
      <c r="E283" s="39" t="s">
        <v>2184</v>
      </c>
      <c r="F283" s="29" t="s">
        <v>2185</v>
      </c>
      <c r="G283" s="29" t="s">
        <v>2186</v>
      </c>
      <c r="H283" s="88" t="s">
        <v>140</v>
      </c>
      <c r="I283" s="118" t="s">
        <v>2187</v>
      </c>
      <c r="J283" s="40" t="s">
        <v>325</v>
      </c>
      <c r="K283" s="40" t="s">
        <v>325</v>
      </c>
      <c r="L283" s="29" t="s">
        <v>11</v>
      </c>
      <c r="M283" s="120">
        <v>45748</v>
      </c>
      <c r="N283" s="116"/>
      <c r="O283" s="120">
        <v>45808</v>
      </c>
      <c r="P283" s="29"/>
      <c r="Q283" s="116" t="s">
        <v>69</v>
      </c>
      <c r="R283" s="116"/>
      <c r="S283" s="116" t="s">
        <v>70</v>
      </c>
      <c r="T283" s="38">
        <v>23</v>
      </c>
      <c r="U283" s="38" t="s">
        <v>463</v>
      </c>
      <c r="V283" s="38">
        <f t="shared" ca="1" si="128"/>
        <v>40</v>
      </c>
      <c r="W283" s="97"/>
      <c r="X283" s="38"/>
      <c r="Y283" s="38"/>
      <c r="Z283" s="38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54">
        <v>0</v>
      </c>
      <c r="AL283" s="116"/>
      <c r="AM283" s="116"/>
      <c r="AN283" s="116"/>
      <c r="AO283" s="116"/>
      <c r="AP283" s="36"/>
      <c r="AQ283" s="116"/>
      <c r="AR283" s="36"/>
      <c r="AS283" s="36"/>
      <c r="AT283" s="36"/>
      <c r="AU283" s="36"/>
      <c r="AV283" s="116"/>
      <c r="AW283" s="116"/>
      <c r="AX283" s="116"/>
      <c r="AY283" s="36"/>
      <c r="AZ283" s="38"/>
      <c r="BA283" s="116"/>
      <c r="BB283" s="116"/>
      <c r="BC283" s="116"/>
      <c r="BD283" s="116"/>
      <c r="BE283" s="116"/>
      <c r="BF283" s="116"/>
      <c r="BG283" s="59"/>
      <c r="BH283" s="59" t="s">
        <v>2188</v>
      </c>
      <c r="BI283" s="38">
        <v>2227169740</v>
      </c>
      <c r="BJ283" s="39" t="s">
        <v>2189</v>
      </c>
      <c r="BK283" s="39" t="s">
        <v>2190</v>
      </c>
      <c r="BL283" s="39" t="s">
        <v>1875</v>
      </c>
      <c r="BM283" s="102" t="s">
        <v>2191</v>
      </c>
      <c r="BN283" s="39"/>
    </row>
    <row r="284" spans="1:66" ht="25.5" x14ac:dyDescent="0.25">
      <c r="A284" s="122">
        <v>92700242</v>
      </c>
      <c r="B284" s="42">
        <v>79</v>
      </c>
      <c r="C284" s="102" t="s">
        <v>2192</v>
      </c>
      <c r="D284" s="102"/>
      <c r="E284" s="39" t="s">
        <v>2193</v>
      </c>
      <c r="F284" s="29" t="s">
        <v>2194</v>
      </c>
      <c r="G284" s="29" t="s">
        <v>2195</v>
      </c>
      <c r="H284" s="48" t="s">
        <v>315</v>
      </c>
      <c r="I284" s="117" t="s">
        <v>930</v>
      </c>
      <c r="J284" s="40" t="s">
        <v>325</v>
      </c>
      <c r="K284" s="40" t="s">
        <v>927</v>
      </c>
      <c r="L284" s="29" t="s">
        <v>329</v>
      </c>
      <c r="M284" s="120">
        <v>45763</v>
      </c>
      <c r="N284" s="116"/>
      <c r="O284" s="38"/>
      <c r="P284" s="29"/>
      <c r="Q284" s="116" t="s">
        <v>69</v>
      </c>
      <c r="R284" s="116"/>
      <c r="S284" s="116" t="s">
        <v>148</v>
      </c>
      <c r="T284" s="38">
        <v>8</v>
      </c>
      <c r="U284" s="38" t="s">
        <v>116</v>
      </c>
      <c r="V284" s="38">
        <f t="shared" ca="1" si="128"/>
        <v>41</v>
      </c>
      <c r="W284" s="97"/>
      <c r="X284" s="47" t="s">
        <v>2481</v>
      </c>
      <c r="Y284" s="38"/>
      <c r="Z284" s="38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54">
        <v>0</v>
      </c>
      <c r="AL284" s="116"/>
      <c r="AM284" s="116"/>
      <c r="AN284" s="116"/>
      <c r="AO284" s="116"/>
      <c r="AP284" s="36"/>
      <c r="AQ284" s="116"/>
      <c r="AR284" s="36"/>
      <c r="AS284" s="36"/>
      <c r="AT284" s="36"/>
      <c r="AU284" s="36"/>
      <c r="AV284" s="116"/>
      <c r="AW284" s="116"/>
      <c r="AX284" s="116"/>
      <c r="AY284" s="36"/>
      <c r="AZ284" s="38"/>
      <c r="BA284" s="116"/>
      <c r="BB284" s="116"/>
      <c r="BC284" s="116"/>
      <c r="BD284" s="116"/>
      <c r="BE284" s="116"/>
      <c r="BF284" s="116"/>
      <c r="BG284" s="59" t="s">
        <v>2196</v>
      </c>
      <c r="BH284" s="59" t="s">
        <v>2197</v>
      </c>
      <c r="BI284" s="38">
        <v>2331166412</v>
      </c>
      <c r="BJ284" s="39" t="s">
        <v>2198</v>
      </c>
      <c r="BK284" s="39" t="s">
        <v>2199</v>
      </c>
      <c r="BL284" s="39" t="s">
        <v>2200</v>
      </c>
      <c r="BM284" s="102" t="s">
        <v>2201</v>
      </c>
      <c r="BN284" s="39"/>
    </row>
    <row r="285" spans="1:66" ht="38.25" hidden="1" x14ac:dyDescent="0.25">
      <c r="A285" s="122">
        <v>92700243</v>
      </c>
      <c r="B285" s="122">
        <v>35</v>
      </c>
      <c r="C285" s="102" t="s">
        <v>2202</v>
      </c>
      <c r="D285" s="77" t="s">
        <v>2203</v>
      </c>
      <c r="E285" s="39" t="s">
        <v>2204</v>
      </c>
      <c r="F285" s="29" t="s">
        <v>2205</v>
      </c>
      <c r="G285" s="29" t="s">
        <v>2206</v>
      </c>
      <c r="H285" s="88" t="s">
        <v>84</v>
      </c>
      <c r="I285" s="40" t="s">
        <v>1878</v>
      </c>
      <c r="J285" s="40" t="s">
        <v>688</v>
      </c>
      <c r="K285" s="40" t="s">
        <v>478</v>
      </c>
      <c r="L285" s="29" t="s">
        <v>10</v>
      </c>
      <c r="M285" s="120">
        <v>45763</v>
      </c>
      <c r="N285" s="116"/>
      <c r="O285" s="38"/>
      <c r="P285" s="29"/>
      <c r="Q285" s="116" t="s">
        <v>69</v>
      </c>
      <c r="R285" s="116"/>
      <c r="S285" s="116" t="s">
        <v>148</v>
      </c>
      <c r="T285" s="38">
        <v>23</v>
      </c>
      <c r="U285" s="38" t="s">
        <v>103</v>
      </c>
      <c r="V285" s="47">
        <f t="shared" ca="1" si="128"/>
        <v>44</v>
      </c>
      <c r="W285" s="97"/>
      <c r="X285" s="38"/>
      <c r="Y285" s="38"/>
      <c r="Z285" s="38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54">
        <v>0</v>
      </c>
      <c r="AL285" s="116"/>
      <c r="AM285" s="116"/>
      <c r="AN285" s="116"/>
      <c r="AO285" s="116"/>
      <c r="AP285" s="36"/>
      <c r="AQ285" s="116"/>
      <c r="AR285" s="36"/>
      <c r="AS285" s="36"/>
      <c r="AT285" s="36"/>
      <c r="AU285" s="36"/>
      <c r="AV285" s="116"/>
      <c r="AW285" s="116"/>
      <c r="AX285" s="116"/>
      <c r="AY285" s="36"/>
      <c r="AZ285" s="38"/>
      <c r="BA285" s="116"/>
      <c r="BB285" s="116"/>
      <c r="BC285" s="116"/>
      <c r="BD285" s="116"/>
      <c r="BE285" s="116"/>
      <c r="BF285" s="116"/>
      <c r="BG285" s="59" t="s">
        <v>2207</v>
      </c>
      <c r="BH285" s="59" t="s">
        <v>2208</v>
      </c>
      <c r="BI285" s="38">
        <v>2381192343</v>
      </c>
      <c r="BJ285" s="39" t="s">
        <v>2209</v>
      </c>
      <c r="BK285" s="39" t="s">
        <v>2210</v>
      </c>
      <c r="BL285" s="39" t="s">
        <v>2144</v>
      </c>
      <c r="BM285" s="102" t="s">
        <v>2211</v>
      </c>
      <c r="BN285" s="39"/>
    </row>
    <row r="286" spans="1:66" ht="38.25" hidden="1" x14ac:dyDescent="0.25">
      <c r="A286" s="122">
        <v>92700243</v>
      </c>
      <c r="B286" s="122">
        <v>56</v>
      </c>
      <c r="C286" s="77" t="s">
        <v>2203</v>
      </c>
      <c r="D286" s="102" t="s">
        <v>2212</v>
      </c>
      <c r="E286" s="39" t="s">
        <v>2204</v>
      </c>
      <c r="F286" s="29" t="s">
        <v>2205</v>
      </c>
      <c r="G286" s="29" t="s">
        <v>2206</v>
      </c>
      <c r="H286" s="38" t="s">
        <v>315</v>
      </c>
      <c r="I286" s="117" t="s">
        <v>930</v>
      </c>
      <c r="J286" s="40" t="s">
        <v>86</v>
      </c>
      <c r="K286" s="40" t="s">
        <v>938</v>
      </c>
      <c r="L286" s="29" t="s">
        <v>11</v>
      </c>
      <c r="M286" s="38"/>
      <c r="N286" s="120">
        <v>45793</v>
      </c>
      <c r="O286" s="120">
        <v>45854</v>
      </c>
      <c r="P286" s="29"/>
      <c r="Q286" s="116" t="s">
        <v>69</v>
      </c>
      <c r="R286" s="116"/>
      <c r="S286" s="116" t="s">
        <v>148</v>
      </c>
      <c r="T286" s="38">
        <v>23</v>
      </c>
      <c r="U286" s="38" t="s">
        <v>103</v>
      </c>
      <c r="V286" s="47">
        <f t="shared" ca="1" si="128"/>
        <v>44</v>
      </c>
      <c r="W286" s="97"/>
      <c r="X286" s="38"/>
      <c r="Y286" s="38"/>
      <c r="Z286" s="38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54">
        <v>0</v>
      </c>
      <c r="AL286" s="116"/>
      <c r="AM286" s="116"/>
      <c r="AN286" s="116"/>
      <c r="AO286" s="116"/>
      <c r="AP286" s="36"/>
      <c r="AQ286" s="116"/>
      <c r="AR286" s="36"/>
      <c r="AS286" s="36"/>
      <c r="AT286" s="36"/>
      <c r="AU286" s="36"/>
      <c r="AV286" s="116"/>
      <c r="AW286" s="116"/>
      <c r="AX286" s="116"/>
      <c r="AY286" s="36"/>
      <c r="AZ286" s="38"/>
      <c r="BA286" s="116"/>
      <c r="BB286" s="116"/>
      <c r="BC286" s="116"/>
      <c r="BD286" s="116"/>
      <c r="BE286" s="116"/>
      <c r="BF286" s="116"/>
      <c r="BG286" s="59" t="s">
        <v>2207</v>
      </c>
      <c r="BH286" s="59" t="s">
        <v>2208</v>
      </c>
      <c r="BI286" s="38">
        <v>2381192343</v>
      </c>
      <c r="BJ286" s="39" t="s">
        <v>2209</v>
      </c>
      <c r="BK286" s="39" t="s">
        <v>2210</v>
      </c>
      <c r="BL286" s="39" t="s">
        <v>2144</v>
      </c>
      <c r="BM286" s="102" t="s">
        <v>2211</v>
      </c>
      <c r="BN286" s="39"/>
    </row>
    <row r="287" spans="1:66" ht="25.5" x14ac:dyDescent="0.25">
      <c r="A287" s="122">
        <v>92700244</v>
      </c>
      <c r="B287" s="42">
        <v>14</v>
      </c>
      <c r="C287" s="77" t="s">
        <v>2213</v>
      </c>
      <c r="D287" s="102"/>
      <c r="E287" s="39" t="s">
        <v>2214</v>
      </c>
      <c r="F287" s="29" t="s">
        <v>2215</v>
      </c>
      <c r="G287" s="29" t="s">
        <v>2216</v>
      </c>
      <c r="H287" s="48" t="s">
        <v>315</v>
      </c>
      <c r="I287" s="117" t="s">
        <v>930</v>
      </c>
      <c r="J287" s="117" t="s">
        <v>1534</v>
      </c>
      <c r="K287" s="117" t="s">
        <v>129</v>
      </c>
      <c r="L287" s="29" t="s">
        <v>329</v>
      </c>
      <c r="M287" s="120">
        <v>45778</v>
      </c>
      <c r="N287" s="116"/>
      <c r="O287" s="38"/>
      <c r="P287" s="29"/>
      <c r="Q287" s="116" t="s">
        <v>69</v>
      </c>
      <c r="R287" s="116"/>
      <c r="S287" s="116" t="s">
        <v>148</v>
      </c>
      <c r="T287" s="38">
        <v>24</v>
      </c>
      <c r="U287" s="38" t="s">
        <v>337</v>
      </c>
      <c r="V287" s="47">
        <f t="shared" ca="1" si="128"/>
        <v>35</v>
      </c>
      <c r="W287" s="97">
        <v>12576100</v>
      </c>
      <c r="X287" s="47">
        <v>167</v>
      </c>
      <c r="Y287" s="38"/>
      <c r="Z287" s="38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54">
        <v>0</v>
      </c>
      <c r="AL287" s="116"/>
      <c r="AM287" s="116"/>
      <c r="AN287" s="116"/>
      <c r="AO287" s="116"/>
      <c r="AP287" s="36"/>
      <c r="AQ287" s="116"/>
      <c r="AR287" s="36"/>
      <c r="AS287" s="36"/>
      <c r="AT287" s="36"/>
      <c r="AU287" s="36"/>
      <c r="AV287" s="116"/>
      <c r="AW287" s="116"/>
      <c r="AX287" s="116"/>
      <c r="AY287" s="36"/>
      <c r="AZ287" s="38"/>
      <c r="BA287" s="116"/>
      <c r="BB287" s="116"/>
      <c r="BC287" s="116"/>
      <c r="BD287" s="116"/>
      <c r="BE287" s="116"/>
      <c r="BF287" s="116"/>
      <c r="BG287" s="59" t="s">
        <v>2217</v>
      </c>
      <c r="BH287" s="59" t="s">
        <v>2218</v>
      </c>
      <c r="BI287" s="38">
        <v>2381358040</v>
      </c>
      <c r="BJ287" s="39" t="s">
        <v>2219</v>
      </c>
      <c r="BK287" s="39" t="s">
        <v>2220</v>
      </c>
      <c r="BL287" s="39" t="s">
        <v>2221</v>
      </c>
      <c r="BM287" s="102" t="s">
        <v>2222</v>
      </c>
      <c r="BN287" s="39"/>
    </row>
    <row r="288" spans="1:66" ht="38.25" x14ac:dyDescent="0.25">
      <c r="A288" s="122">
        <v>84662</v>
      </c>
      <c r="B288" s="42">
        <v>9</v>
      </c>
      <c r="C288" s="77" t="s">
        <v>2223</v>
      </c>
      <c r="D288" s="102"/>
      <c r="E288" s="39" t="s">
        <v>2224</v>
      </c>
      <c r="F288" s="29" t="s">
        <v>2225</v>
      </c>
      <c r="G288" s="29" t="s">
        <v>2226</v>
      </c>
      <c r="H288" s="48" t="s">
        <v>315</v>
      </c>
      <c r="I288" s="117" t="s">
        <v>930</v>
      </c>
      <c r="J288" s="40" t="s">
        <v>325</v>
      </c>
      <c r="K288" s="117" t="s">
        <v>2005</v>
      </c>
      <c r="L288" s="29" t="s">
        <v>329</v>
      </c>
      <c r="M288" s="120">
        <v>45778</v>
      </c>
      <c r="N288" s="116"/>
      <c r="O288" s="38"/>
      <c r="P288" s="29"/>
      <c r="Q288" s="116" t="s">
        <v>69</v>
      </c>
      <c r="R288" s="116"/>
      <c r="S288" s="116" t="s">
        <v>70</v>
      </c>
      <c r="T288" s="38">
        <v>27</v>
      </c>
      <c r="U288" s="38" t="s">
        <v>215</v>
      </c>
      <c r="V288" s="47">
        <f t="shared" ca="1" si="128"/>
        <v>43</v>
      </c>
      <c r="W288" s="97">
        <v>12623500</v>
      </c>
      <c r="X288" s="47" t="s">
        <v>2484</v>
      </c>
      <c r="Y288" s="38"/>
      <c r="Z288" s="38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54">
        <v>0</v>
      </c>
      <c r="AL288" s="116"/>
      <c r="AM288" s="116"/>
      <c r="AN288" s="116"/>
      <c r="AO288" s="116"/>
      <c r="AP288" s="36"/>
      <c r="AQ288" s="116"/>
      <c r="AR288" s="36"/>
      <c r="AS288" s="36"/>
      <c r="AT288" s="36"/>
      <c r="AU288" s="36"/>
      <c r="AV288" s="116"/>
      <c r="AW288" s="116"/>
      <c r="AX288" s="116"/>
      <c r="AY288" s="36"/>
      <c r="AZ288" s="38"/>
      <c r="BA288" s="116"/>
      <c r="BB288" s="116"/>
      <c r="BC288" s="116"/>
      <c r="BD288" s="116"/>
      <c r="BE288" s="116"/>
      <c r="BF288" s="116"/>
      <c r="BG288" s="59" t="s">
        <v>2227</v>
      </c>
      <c r="BH288" s="59" t="s">
        <v>2228</v>
      </c>
      <c r="BI288" s="38">
        <v>2224634471</v>
      </c>
      <c r="BJ288" s="39" t="s">
        <v>2229</v>
      </c>
      <c r="BK288" s="39" t="s">
        <v>2230</v>
      </c>
      <c r="BL288" s="39" t="s">
        <v>2231</v>
      </c>
      <c r="BM288" s="102" t="s">
        <v>2232</v>
      </c>
      <c r="BN288" s="39"/>
    </row>
    <row r="289" spans="1:66" ht="25.5" hidden="1" x14ac:dyDescent="0.25">
      <c r="A289" s="122">
        <v>92700245</v>
      </c>
      <c r="B289" s="122">
        <v>21</v>
      </c>
      <c r="C289" s="77" t="s">
        <v>2233</v>
      </c>
      <c r="D289" s="77" t="s">
        <v>2234</v>
      </c>
      <c r="E289" s="39" t="s">
        <v>2235</v>
      </c>
      <c r="F289" s="29" t="s">
        <v>2236</v>
      </c>
      <c r="G289" s="29" t="s">
        <v>2237</v>
      </c>
      <c r="H289" s="38" t="s">
        <v>315</v>
      </c>
      <c r="I289" s="117" t="s">
        <v>930</v>
      </c>
      <c r="J289" s="117" t="s">
        <v>328</v>
      </c>
      <c r="K289" s="117" t="s">
        <v>327</v>
      </c>
      <c r="L289" s="29" t="s">
        <v>320</v>
      </c>
      <c r="M289" s="120">
        <v>45778</v>
      </c>
      <c r="N289" s="116"/>
      <c r="O289" s="38"/>
      <c r="P289" s="29"/>
      <c r="Q289" s="116" t="s">
        <v>69</v>
      </c>
      <c r="R289" s="116"/>
      <c r="S289" s="116" t="s">
        <v>148</v>
      </c>
      <c r="T289" s="38">
        <v>21</v>
      </c>
      <c r="U289" s="38" t="s">
        <v>337</v>
      </c>
      <c r="V289" s="47">
        <f t="shared" ca="1" si="128"/>
        <v>25</v>
      </c>
      <c r="W289" s="97"/>
      <c r="X289" s="38"/>
      <c r="Y289" s="38"/>
      <c r="Z289" s="38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54">
        <v>0</v>
      </c>
      <c r="AL289" s="116"/>
      <c r="AM289" s="116"/>
      <c r="AN289" s="116"/>
      <c r="AO289" s="116"/>
      <c r="AP289" s="36"/>
      <c r="AQ289" s="116"/>
      <c r="AR289" s="36"/>
      <c r="AS289" s="36"/>
      <c r="AT289" s="36"/>
      <c r="AU289" s="36"/>
      <c r="AV289" s="116"/>
      <c r="AW289" s="116"/>
      <c r="AX289" s="116"/>
      <c r="AY289" s="36"/>
      <c r="AZ289" s="38"/>
      <c r="BA289" s="116"/>
      <c r="BB289" s="116"/>
      <c r="BC289" s="116"/>
      <c r="BD289" s="116"/>
      <c r="BE289" s="116"/>
      <c r="BF289" s="116"/>
      <c r="BG289" s="59" t="s">
        <v>2238</v>
      </c>
      <c r="BH289" s="59" t="s">
        <v>2239</v>
      </c>
      <c r="BI289" s="38">
        <v>2381133895</v>
      </c>
      <c r="BJ289" s="39" t="s">
        <v>2240</v>
      </c>
      <c r="BK289" s="39" t="s">
        <v>2241</v>
      </c>
      <c r="BL289" s="39" t="s">
        <v>1762</v>
      </c>
      <c r="BM289" s="102" t="s">
        <v>2242</v>
      </c>
      <c r="BN289" s="39"/>
    </row>
    <row r="290" spans="1:66" ht="25.5" hidden="1" x14ac:dyDescent="0.25">
      <c r="A290" s="122">
        <v>92700245</v>
      </c>
      <c r="B290" s="122">
        <v>54</v>
      </c>
      <c r="C290" s="77" t="s">
        <v>2234</v>
      </c>
      <c r="D290" s="102" t="s">
        <v>2243</v>
      </c>
      <c r="E290" s="39" t="s">
        <v>2235</v>
      </c>
      <c r="F290" s="29" t="s">
        <v>2236</v>
      </c>
      <c r="G290" s="29" t="s">
        <v>2237</v>
      </c>
      <c r="H290" s="38" t="s">
        <v>315</v>
      </c>
      <c r="I290" s="117" t="s">
        <v>930</v>
      </c>
      <c r="J290" s="40" t="s">
        <v>86</v>
      </c>
      <c r="K290" s="40" t="s">
        <v>87</v>
      </c>
      <c r="L290" s="29" t="s">
        <v>11</v>
      </c>
      <c r="M290" s="38"/>
      <c r="N290" s="120">
        <v>45809</v>
      </c>
      <c r="O290" s="120">
        <v>45853</v>
      </c>
      <c r="P290" s="29"/>
      <c r="Q290" s="116" t="s">
        <v>69</v>
      </c>
      <c r="R290" s="116"/>
      <c r="S290" s="116" t="s">
        <v>148</v>
      </c>
      <c r="T290" s="38">
        <v>21</v>
      </c>
      <c r="U290" s="38" t="s">
        <v>337</v>
      </c>
      <c r="V290" s="47">
        <f t="shared" ca="1" si="128"/>
        <v>25</v>
      </c>
      <c r="W290" s="97"/>
      <c r="X290" s="38"/>
      <c r="Y290" s="38"/>
      <c r="Z290" s="38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54">
        <v>0</v>
      </c>
      <c r="AL290" s="116"/>
      <c r="AM290" s="116"/>
      <c r="AN290" s="116"/>
      <c r="AO290" s="116"/>
      <c r="AP290" s="36"/>
      <c r="AQ290" s="116"/>
      <c r="AR290" s="36"/>
      <c r="AS290" s="36"/>
      <c r="AT290" s="36"/>
      <c r="AU290" s="36"/>
      <c r="AV290" s="116"/>
      <c r="AW290" s="116"/>
      <c r="AX290" s="116"/>
      <c r="AY290" s="36"/>
      <c r="AZ290" s="38"/>
      <c r="BA290" s="116"/>
      <c r="BB290" s="116"/>
      <c r="BC290" s="116"/>
      <c r="BD290" s="116"/>
      <c r="BE290" s="116"/>
      <c r="BF290" s="116"/>
      <c r="BG290" s="59" t="s">
        <v>2238</v>
      </c>
      <c r="BH290" s="59" t="s">
        <v>2239</v>
      </c>
      <c r="BI290" s="38">
        <v>2381133895</v>
      </c>
      <c r="BJ290" s="39" t="s">
        <v>2240</v>
      </c>
      <c r="BK290" s="39" t="s">
        <v>2241</v>
      </c>
      <c r="BL290" s="39" t="s">
        <v>1762</v>
      </c>
      <c r="BM290" s="102" t="s">
        <v>2242</v>
      </c>
      <c r="BN290" s="39"/>
    </row>
    <row r="291" spans="1:66" ht="38.25" hidden="1" x14ac:dyDescent="0.25">
      <c r="A291" s="122">
        <v>92700246</v>
      </c>
      <c r="B291" s="122">
        <v>10</v>
      </c>
      <c r="C291" s="77" t="s">
        <v>2244</v>
      </c>
      <c r="D291" s="77" t="s">
        <v>2245</v>
      </c>
      <c r="E291" s="39" t="s">
        <v>2246</v>
      </c>
      <c r="F291" s="29" t="s">
        <v>2247</v>
      </c>
      <c r="G291" s="29" t="s">
        <v>2248</v>
      </c>
      <c r="H291" s="38" t="s">
        <v>315</v>
      </c>
      <c r="I291" s="117" t="s">
        <v>930</v>
      </c>
      <c r="J291" s="40" t="s">
        <v>86</v>
      </c>
      <c r="K291" s="40" t="s">
        <v>2249</v>
      </c>
      <c r="L291" s="29" t="s">
        <v>10</v>
      </c>
      <c r="M291" s="120">
        <v>45793</v>
      </c>
      <c r="N291" s="116"/>
      <c r="O291" s="38"/>
      <c r="P291" s="29"/>
      <c r="Q291" s="116" t="s">
        <v>69</v>
      </c>
      <c r="R291" s="116"/>
      <c r="S291" s="116" t="s">
        <v>70</v>
      </c>
      <c r="T291" s="38">
        <v>3</v>
      </c>
      <c r="U291" s="38" t="s">
        <v>337</v>
      </c>
      <c r="V291" s="47">
        <f t="shared" ca="1" si="128"/>
        <v>26</v>
      </c>
      <c r="W291" s="97">
        <v>12576300</v>
      </c>
      <c r="X291" s="38"/>
      <c r="Y291" s="38"/>
      <c r="Z291" s="38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54">
        <v>0</v>
      </c>
      <c r="AL291" s="116"/>
      <c r="AM291" s="116"/>
      <c r="AN291" s="116"/>
      <c r="AO291" s="116"/>
      <c r="AP291" s="36"/>
      <c r="AQ291" s="116"/>
      <c r="AR291" s="36"/>
      <c r="AS291" s="36"/>
      <c r="AT291" s="36"/>
      <c r="AU291" s="36"/>
      <c r="AV291" s="116"/>
      <c r="AW291" s="116"/>
      <c r="AX291" s="116"/>
      <c r="AY291" s="36"/>
      <c r="AZ291" s="38"/>
      <c r="BA291" s="116"/>
      <c r="BB291" s="116"/>
      <c r="BC291" s="116"/>
      <c r="BD291" s="116"/>
      <c r="BE291" s="116"/>
      <c r="BF291" s="116"/>
      <c r="BG291" s="59" t="s">
        <v>2250</v>
      </c>
      <c r="BH291" s="59" t="s">
        <v>2251</v>
      </c>
      <c r="BI291" s="38">
        <v>2223450887</v>
      </c>
      <c r="BJ291" s="39" t="s">
        <v>2252</v>
      </c>
      <c r="BK291" s="39" t="s">
        <v>2253</v>
      </c>
      <c r="BL291" s="39" t="s">
        <v>2254</v>
      </c>
      <c r="BM291" s="102" t="s">
        <v>2255</v>
      </c>
      <c r="BN291" s="39"/>
    </row>
    <row r="292" spans="1:66" ht="38.25" x14ac:dyDescent="0.25">
      <c r="A292" s="122">
        <v>92700246</v>
      </c>
      <c r="B292" s="42">
        <v>5</v>
      </c>
      <c r="C292" s="77" t="s">
        <v>2245</v>
      </c>
      <c r="D292" s="102"/>
      <c r="E292" s="39" t="s">
        <v>2246</v>
      </c>
      <c r="F292" s="29" t="s">
        <v>2247</v>
      </c>
      <c r="G292" s="29" t="s">
        <v>2248</v>
      </c>
      <c r="H292" s="48" t="s">
        <v>84</v>
      </c>
      <c r="I292" s="40" t="s">
        <v>1348</v>
      </c>
      <c r="J292" s="40" t="s">
        <v>86</v>
      </c>
      <c r="K292" s="40" t="s">
        <v>2249</v>
      </c>
      <c r="L292" s="29" t="s">
        <v>329</v>
      </c>
      <c r="M292" s="38"/>
      <c r="N292" s="120">
        <v>45946</v>
      </c>
      <c r="O292" s="38"/>
      <c r="P292" s="29"/>
      <c r="Q292" s="116" t="s">
        <v>69</v>
      </c>
      <c r="R292" s="116"/>
      <c r="S292" s="116" t="s">
        <v>70</v>
      </c>
      <c r="T292" s="38">
        <v>3</v>
      </c>
      <c r="U292" s="38" t="s">
        <v>337</v>
      </c>
      <c r="V292" s="47">
        <f t="shared" ca="1" si="128"/>
        <v>26</v>
      </c>
      <c r="W292" s="97">
        <v>12576300</v>
      </c>
      <c r="X292" s="47">
        <v>192</v>
      </c>
      <c r="Y292" s="38"/>
      <c r="Z292" s="38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54">
        <v>0</v>
      </c>
      <c r="AL292" s="116"/>
      <c r="AM292" s="116"/>
      <c r="AN292" s="116"/>
      <c r="AO292" s="116"/>
      <c r="AP292" s="36"/>
      <c r="AQ292" s="116"/>
      <c r="AR292" s="36"/>
      <c r="AS292" s="36"/>
      <c r="AT292" s="36"/>
      <c r="AU292" s="36"/>
      <c r="AV292" s="116"/>
      <c r="AW292" s="116"/>
      <c r="AX292" s="116"/>
      <c r="AY292" s="36"/>
      <c r="AZ292" s="38"/>
      <c r="BA292" s="116"/>
      <c r="BB292" s="116"/>
      <c r="BC292" s="116"/>
      <c r="BD292" s="116"/>
      <c r="BE292" s="116"/>
      <c r="BF292" s="116"/>
      <c r="BG292" s="59" t="s">
        <v>2250</v>
      </c>
      <c r="BH292" s="59" t="s">
        <v>2251</v>
      </c>
      <c r="BI292" s="38">
        <v>2223450887</v>
      </c>
      <c r="BJ292" s="39" t="s">
        <v>2252</v>
      </c>
      <c r="BK292" s="39" t="s">
        <v>2253</v>
      </c>
      <c r="BL292" s="39" t="s">
        <v>2254</v>
      </c>
      <c r="BM292" s="102" t="s">
        <v>2255</v>
      </c>
      <c r="BN292" s="39"/>
    </row>
    <row r="293" spans="1:66" ht="38.25" x14ac:dyDescent="0.25">
      <c r="A293" s="122">
        <v>92700247</v>
      </c>
      <c r="B293" s="42">
        <v>62</v>
      </c>
      <c r="C293" s="77" t="s">
        <v>2256</v>
      </c>
      <c r="D293" s="102"/>
      <c r="E293" s="39" t="s">
        <v>2257</v>
      </c>
      <c r="F293" s="29" t="s">
        <v>2258</v>
      </c>
      <c r="G293" s="29" t="s">
        <v>2259</v>
      </c>
      <c r="H293" s="48" t="s">
        <v>315</v>
      </c>
      <c r="I293" s="117" t="s">
        <v>930</v>
      </c>
      <c r="J293" s="40" t="s">
        <v>325</v>
      </c>
      <c r="K293" s="117" t="s">
        <v>2053</v>
      </c>
      <c r="L293" s="29" t="s">
        <v>329</v>
      </c>
      <c r="M293" s="120">
        <v>45793</v>
      </c>
      <c r="N293" s="116"/>
      <c r="O293" s="38"/>
      <c r="P293" s="29"/>
      <c r="Q293" s="116" t="s">
        <v>69</v>
      </c>
      <c r="R293" s="116"/>
      <c r="S293" s="116" t="s">
        <v>70</v>
      </c>
      <c r="T293" s="38">
        <v>8</v>
      </c>
      <c r="U293" s="38" t="s">
        <v>337</v>
      </c>
      <c r="V293" s="47">
        <f ca="1">DATEDIF(DATE(IF(MID($G293,5,2)+2000&gt;YEAR(TODAY()),MID($G293,5,2)+1900,MID($G293,5,2)+2000),MID($G293,7,2),MID($G293,9,2)),TODAY(),"y")</f>
        <v>26</v>
      </c>
      <c r="W293" s="97">
        <v>12623600</v>
      </c>
      <c r="X293" s="47" t="s">
        <v>2485</v>
      </c>
      <c r="Y293" s="38"/>
      <c r="Z293" s="38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54">
        <v>0</v>
      </c>
      <c r="AL293" s="116"/>
      <c r="AM293" s="116"/>
      <c r="AN293" s="116"/>
      <c r="AO293" s="116"/>
      <c r="AP293" s="36"/>
      <c r="AQ293" s="116"/>
      <c r="AR293" s="36"/>
      <c r="AS293" s="36"/>
      <c r="AT293" s="36"/>
      <c r="AU293" s="36"/>
      <c r="AV293" s="116"/>
      <c r="AW293" s="116"/>
      <c r="AX293" s="116"/>
      <c r="AY293" s="36"/>
      <c r="AZ293" s="38"/>
      <c r="BA293" s="116"/>
      <c r="BB293" s="116"/>
      <c r="BC293" s="116"/>
      <c r="BD293" s="116"/>
      <c r="BE293" s="116"/>
      <c r="BF293" s="116"/>
      <c r="BG293" s="59" t="s">
        <v>2260</v>
      </c>
      <c r="BH293" s="59" t="s">
        <v>2261</v>
      </c>
      <c r="BI293" s="38">
        <v>6863885208</v>
      </c>
      <c r="BJ293" s="39" t="s">
        <v>2262</v>
      </c>
      <c r="BK293" s="39" t="s">
        <v>2263</v>
      </c>
      <c r="BL293" s="39" t="s">
        <v>2264</v>
      </c>
      <c r="BM293" s="102" t="s">
        <v>2265</v>
      </c>
      <c r="BN293" s="39"/>
    </row>
    <row r="294" spans="1:66" ht="38.25" hidden="1" x14ac:dyDescent="0.25">
      <c r="A294" s="122">
        <v>92700248</v>
      </c>
      <c r="B294" s="122">
        <v>8</v>
      </c>
      <c r="C294" s="77" t="s">
        <v>2266</v>
      </c>
      <c r="D294" s="77" t="s">
        <v>2267</v>
      </c>
      <c r="E294" s="39" t="s">
        <v>2268</v>
      </c>
      <c r="F294" s="29" t="s">
        <v>2269</v>
      </c>
      <c r="G294" s="29" t="s">
        <v>2270</v>
      </c>
      <c r="H294" s="38" t="s">
        <v>315</v>
      </c>
      <c r="I294" s="117" t="s">
        <v>930</v>
      </c>
      <c r="J294" s="40" t="s">
        <v>325</v>
      </c>
      <c r="K294" s="117" t="s">
        <v>1966</v>
      </c>
      <c r="L294" s="29" t="s">
        <v>320</v>
      </c>
      <c r="M294" s="120">
        <v>45793</v>
      </c>
      <c r="N294" s="116"/>
      <c r="O294" s="38"/>
      <c r="P294" s="29"/>
      <c r="Q294" s="116" t="s">
        <v>69</v>
      </c>
      <c r="R294" s="116"/>
      <c r="S294" s="116" t="s">
        <v>70</v>
      </c>
      <c r="T294" s="38">
        <v>17</v>
      </c>
      <c r="U294" s="38" t="s">
        <v>463</v>
      </c>
      <c r="V294" s="47">
        <f t="shared" ref="V294:V297" ca="1" si="129">DATEDIF(DATE(IF(MID($G294,5,2)+2000&gt;YEAR(TODAY()),MID($G294,5,2)+1900,MID($G294,5,2)+2000),MID($G294,7,2),MID($G294,9,2)),TODAY(),"y")</f>
        <v>37</v>
      </c>
      <c r="W294" s="97">
        <v>12577800</v>
      </c>
      <c r="X294" s="38"/>
      <c r="Y294" s="38"/>
      <c r="Z294" s="38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54">
        <v>0</v>
      </c>
      <c r="AL294" s="116"/>
      <c r="AM294" s="116"/>
      <c r="AN294" s="116"/>
      <c r="AO294" s="116"/>
      <c r="AP294" s="36"/>
      <c r="AQ294" s="116"/>
      <c r="AR294" s="36"/>
      <c r="AS294" s="36"/>
      <c r="AT294" s="36"/>
      <c r="AU294" s="36"/>
      <c r="AV294" s="116"/>
      <c r="AW294" s="116"/>
      <c r="AX294" s="116"/>
      <c r="AY294" s="36"/>
      <c r="AZ294" s="38"/>
      <c r="BA294" s="116"/>
      <c r="BB294" s="116"/>
      <c r="BC294" s="116"/>
      <c r="BD294" s="116"/>
      <c r="BE294" s="116"/>
      <c r="BF294" s="116"/>
      <c r="BG294" s="59" t="s">
        <v>2271</v>
      </c>
      <c r="BH294" s="59" t="s">
        <v>2272</v>
      </c>
      <c r="BI294" s="38">
        <v>2229298474</v>
      </c>
      <c r="BJ294" s="39" t="s">
        <v>2273</v>
      </c>
      <c r="BK294" s="39" t="s">
        <v>2274</v>
      </c>
      <c r="BL294" s="39" t="s">
        <v>2275</v>
      </c>
      <c r="BM294" s="102" t="s">
        <v>2276</v>
      </c>
      <c r="BN294" s="39"/>
    </row>
    <row r="295" spans="1:66" ht="38.25" hidden="1" x14ac:dyDescent="0.25">
      <c r="A295" s="122">
        <v>92700248</v>
      </c>
      <c r="B295" s="122">
        <v>80</v>
      </c>
      <c r="C295" s="77" t="s">
        <v>2267</v>
      </c>
      <c r="D295" s="102" t="s">
        <v>2277</v>
      </c>
      <c r="E295" s="39" t="s">
        <v>2268</v>
      </c>
      <c r="F295" s="29" t="s">
        <v>2269</v>
      </c>
      <c r="G295" s="29" t="s">
        <v>2270</v>
      </c>
      <c r="H295" s="38" t="s">
        <v>315</v>
      </c>
      <c r="I295" s="117" t="s">
        <v>930</v>
      </c>
      <c r="J295" s="40" t="s">
        <v>325</v>
      </c>
      <c r="K295" s="117" t="s">
        <v>326</v>
      </c>
      <c r="L295" s="29" t="s">
        <v>320</v>
      </c>
      <c r="M295" s="120">
        <v>45809</v>
      </c>
      <c r="N295" s="116"/>
      <c r="O295" s="38"/>
      <c r="P295" s="29"/>
      <c r="Q295" s="116" t="s">
        <v>69</v>
      </c>
      <c r="R295" s="116"/>
      <c r="S295" s="116" t="s">
        <v>70</v>
      </c>
      <c r="T295" s="38">
        <v>17</v>
      </c>
      <c r="U295" s="38" t="s">
        <v>463</v>
      </c>
      <c r="V295" s="47">
        <f t="shared" ca="1" si="129"/>
        <v>37</v>
      </c>
      <c r="W295" s="97">
        <v>12577800</v>
      </c>
      <c r="X295" s="38"/>
      <c r="Y295" s="38"/>
      <c r="Z295" s="38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54">
        <v>0</v>
      </c>
      <c r="AL295" s="116"/>
      <c r="AM295" s="116"/>
      <c r="AN295" s="116"/>
      <c r="AO295" s="116"/>
      <c r="AP295" s="36"/>
      <c r="AQ295" s="116"/>
      <c r="AR295" s="36"/>
      <c r="AS295" s="36"/>
      <c r="AT295" s="36"/>
      <c r="AU295" s="36"/>
      <c r="AV295" s="116"/>
      <c r="AW295" s="116"/>
      <c r="AX295" s="116"/>
      <c r="AY295" s="36"/>
      <c r="AZ295" s="38"/>
      <c r="BA295" s="116"/>
      <c r="BB295" s="116"/>
      <c r="BC295" s="116"/>
      <c r="BD295" s="116"/>
      <c r="BE295" s="116"/>
      <c r="BF295" s="116"/>
      <c r="BG295" s="29" t="s">
        <v>2271</v>
      </c>
      <c r="BH295" s="59" t="s">
        <v>2272</v>
      </c>
      <c r="BI295" s="38">
        <v>2229298474</v>
      </c>
      <c r="BJ295" s="39" t="s">
        <v>2273</v>
      </c>
      <c r="BK295" s="39" t="s">
        <v>2274</v>
      </c>
      <c r="BL295" s="39" t="s">
        <v>2275</v>
      </c>
      <c r="BM295" s="102" t="s">
        <v>2276</v>
      </c>
      <c r="BN295" s="39"/>
    </row>
    <row r="296" spans="1:66" ht="38.25" x14ac:dyDescent="0.25">
      <c r="A296" s="122">
        <v>92700248</v>
      </c>
      <c r="B296" s="42">
        <v>8</v>
      </c>
      <c r="C296" s="102" t="s">
        <v>2277</v>
      </c>
      <c r="D296" s="102"/>
      <c r="E296" s="39" t="s">
        <v>2268</v>
      </c>
      <c r="F296" s="29" t="s">
        <v>2269</v>
      </c>
      <c r="G296" s="29" t="s">
        <v>2270</v>
      </c>
      <c r="H296" s="48" t="s">
        <v>315</v>
      </c>
      <c r="I296" s="117" t="s">
        <v>930</v>
      </c>
      <c r="J296" s="40" t="s">
        <v>325</v>
      </c>
      <c r="K296" s="117" t="s">
        <v>1966</v>
      </c>
      <c r="L296" s="29" t="s">
        <v>329</v>
      </c>
      <c r="M296" s="120">
        <v>45901</v>
      </c>
      <c r="N296" s="116"/>
      <c r="O296" s="38"/>
      <c r="P296" s="29"/>
      <c r="Q296" s="116" t="s">
        <v>69</v>
      </c>
      <c r="R296" s="116"/>
      <c r="S296" s="116" t="s">
        <v>70</v>
      </c>
      <c r="T296" s="38">
        <v>17</v>
      </c>
      <c r="U296" s="38" t="s">
        <v>463</v>
      </c>
      <c r="V296" s="47">
        <f t="shared" ca="1" si="129"/>
        <v>37</v>
      </c>
      <c r="W296" s="97">
        <v>12577800</v>
      </c>
      <c r="X296" s="47">
        <v>1902</v>
      </c>
      <c r="Y296" s="38"/>
      <c r="Z296" s="38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54">
        <v>0</v>
      </c>
      <c r="AL296" s="116"/>
      <c r="AM296" s="116"/>
      <c r="AN296" s="116"/>
      <c r="AO296" s="116"/>
      <c r="AP296" s="36"/>
      <c r="AQ296" s="116"/>
      <c r="AR296" s="36"/>
      <c r="AS296" s="36"/>
      <c r="AT296" s="36"/>
      <c r="AU296" s="36"/>
      <c r="AV296" s="116"/>
      <c r="AW296" s="116"/>
      <c r="AX296" s="116"/>
      <c r="AY296" s="36"/>
      <c r="AZ296" s="38"/>
      <c r="BA296" s="116"/>
      <c r="BB296" s="116"/>
      <c r="BC296" s="116"/>
      <c r="BD296" s="116"/>
      <c r="BE296" s="116"/>
      <c r="BF296" s="116"/>
      <c r="BG296" s="29" t="s">
        <v>2271</v>
      </c>
      <c r="BH296" s="59" t="s">
        <v>2272</v>
      </c>
      <c r="BI296" s="38">
        <v>2229298474</v>
      </c>
      <c r="BJ296" s="39" t="s">
        <v>2273</v>
      </c>
      <c r="BK296" s="39" t="s">
        <v>2274</v>
      </c>
      <c r="BL296" s="39" t="s">
        <v>2275</v>
      </c>
      <c r="BM296" s="102" t="s">
        <v>2276</v>
      </c>
      <c r="BN296" s="39"/>
    </row>
    <row r="297" spans="1:66" ht="38.25" x14ac:dyDescent="0.25">
      <c r="A297" s="122">
        <v>92700249</v>
      </c>
      <c r="B297" s="42">
        <v>44</v>
      </c>
      <c r="C297" s="77" t="s">
        <v>2278</v>
      </c>
      <c r="D297" s="102"/>
      <c r="E297" s="39" t="s">
        <v>2279</v>
      </c>
      <c r="F297" s="29" t="s">
        <v>2280</v>
      </c>
      <c r="G297" s="29" t="s">
        <v>2281</v>
      </c>
      <c r="H297" s="48" t="s">
        <v>315</v>
      </c>
      <c r="I297" s="117" t="s">
        <v>930</v>
      </c>
      <c r="J297" s="117" t="s">
        <v>688</v>
      </c>
      <c r="K297" s="117" t="s">
        <v>478</v>
      </c>
      <c r="L297" s="29" t="s">
        <v>329</v>
      </c>
      <c r="M297" s="120">
        <v>45809</v>
      </c>
      <c r="N297" s="116"/>
      <c r="O297" s="38"/>
      <c r="P297" s="29"/>
      <c r="Q297" s="116" t="s">
        <v>69</v>
      </c>
      <c r="R297" s="116"/>
      <c r="S297" s="116" t="s">
        <v>148</v>
      </c>
      <c r="T297" s="38">
        <v>15</v>
      </c>
      <c r="U297" s="38" t="s">
        <v>305</v>
      </c>
      <c r="V297" s="47">
        <f t="shared" ca="1" si="129"/>
        <v>28</v>
      </c>
      <c r="W297" s="97">
        <v>12623700</v>
      </c>
      <c r="X297" s="47">
        <v>180</v>
      </c>
      <c r="Y297" s="38"/>
      <c r="Z297" s="38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54">
        <v>0</v>
      </c>
      <c r="AL297" s="116"/>
      <c r="AM297" s="116"/>
      <c r="AN297" s="116"/>
      <c r="AO297" s="116"/>
      <c r="AP297" s="36"/>
      <c r="AQ297" s="116"/>
      <c r="AR297" s="36"/>
      <c r="AS297" s="36"/>
      <c r="AT297" s="36"/>
      <c r="AU297" s="36"/>
      <c r="AV297" s="116"/>
      <c r="AW297" s="116"/>
      <c r="AX297" s="116"/>
      <c r="AY297" s="36"/>
      <c r="AZ297" s="38"/>
      <c r="BA297" s="116"/>
      <c r="BB297" s="116"/>
      <c r="BC297" s="116"/>
      <c r="BD297" s="116"/>
      <c r="BE297" s="116"/>
      <c r="BF297" s="116"/>
      <c r="BG297" s="59" t="s">
        <v>2282</v>
      </c>
      <c r="BH297" s="59" t="s">
        <v>2283</v>
      </c>
      <c r="BI297" s="38">
        <v>2224006860</v>
      </c>
      <c r="BJ297" s="39" t="s">
        <v>2284</v>
      </c>
      <c r="BK297" s="39" t="s">
        <v>2285</v>
      </c>
      <c r="BL297" s="39" t="s">
        <v>2286</v>
      </c>
      <c r="BM297" s="102" t="s">
        <v>2287</v>
      </c>
      <c r="BN297" s="39"/>
    </row>
    <row r="298" spans="1:66" ht="38.25" hidden="1" x14ac:dyDescent="0.25">
      <c r="A298" s="122">
        <v>92700250</v>
      </c>
      <c r="B298" s="122">
        <v>41</v>
      </c>
      <c r="C298" s="77" t="s">
        <v>2288</v>
      </c>
      <c r="D298" s="77" t="s">
        <v>2289</v>
      </c>
      <c r="E298" s="39" t="s">
        <v>2290</v>
      </c>
      <c r="F298" s="29" t="s">
        <v>2291</v>
      </c>
      <c r="G298" s="29" t="s">
        <v>2292</v>
      </c>
      <c r="H298" s="38" t="s">
        <v>1958</v>
      </c>
      <c r="I298" s="117" t="s">
        <v>1915</v>
      </c>
      <c r="J298" s="117" t="s">
        <v>129</v>
      </c>
      <c r="K298" s="117" t="s">
        <v>129</v>
      </c>
      <c r="L298" s="29" t="s">
        <v>11</v>
      </c>
      <c r="M298" s="120">
        <v>45809</v>
      </c>
      <c r="N298" s="116"/>
      <c r="O298" s="120">
        <v>45930</v>
      </c>
      <c r="P298" s="29"/>
      <c r="Q298" s="116" t="s">
        <v>69</v>
      </c>
      <c r="R298" s="116"/>
      <c r="S298" s="116" t="s">
        <v>70</v>
      </c>
      <c r="T298" s="38">
        <v>14</v>
      </c>
      <c r="U298" s="38" t="s">
        <v>103</v>
      </c>
      <c r="V298" s="47">
        <f t="shared" ca="1" si="128"/>
        <v>58</v>
      </c>
      <c r="W298" s="97"/>
      <c r="X298" s="38"/>
      <c r="Y298" s="38"/>
      <c r="Z298" s="38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54">
        <v>0</v>
      </c>
      <c r="AL298" s="116"/>
      <c r="AM298" s="116"/>
      <c r="AN298" s="116"/>
      <c r="AO298" s="116"/>
      <c r="AP298" s="36"/>
      <c r="AQ298" s="116"/>
      <c r="AR298" s="36"/>
      <c r="AS298" s="36"/>
      <c r="AT298" s="36"/>
      <c r="AU298" s="36"/>
      <c r="AV298" s="116"/>
      <c r="AW298" s="116"/>
      <c r="AX298" s="116"/>
      <c r="AY298" s="36"/>
      <c r="AZ298" s="38"/>
      <c r="BA298" s="116"/>
      <c r="BB298" s="116"/>
      <c r="BC298" s="116"/>
      <c r="BD298" s="116"/>
      <c r="BE298" s="116"/>
      <c r="BF298" s="116"/>
      <c r="BG298" s="59" t="s">
        <v>2293</v>
      </c>
      <c r="BH298" s="59" t="s">
        <v>2294</v>
      </c>
      <c r="BI298" s="38">
        <v>2227491063</v>
      </c>
      <c r="BJ298" s="39" t="s">
        <v>2295</v>
      </c>
      <c r="BK298" s="39" t="s">
        <v>2296</v>
      </c>
      <c r="BL298" s="39" t="s">
        <v>1938</v>
      </c>
      <c r="BM298" s="102" t="s">
        <v>2297</v>
      </c>
      <c r="BN298" s="39"/>
    </row>
    <row r="299" spans="1:66" ht="25.5" hidden="1" x14ac:dyDescent="0.25">
      <c r="A299" s="122">
        <v>92700251</v>
      </c>
      <c r="B299" s="122">
        <v>4</v>
      </c>
      <c r="C299" s="77" t="s">
        <v>2298</v>
      </c>
      <c r="D299" s="77" t="s">
        <v>2299</v>
      </c>
      <c r="E299" s="39" t="s">
        <v>2300</v>
      </c>
      <c r="F299" s="29" t="s">
        <v>2301</v>
      </c>
      <c r="G299" s="29" t="s">
        <v>2302</v>
      </c>
      <c r="H299" s="38" t="s">
        <v>84</v>
      </c>
      <c r="I299" s="117" t="s">
        <v>1885</v>
      </c>
      <c r="J299" s="117" t="s">
        <v>1534</v>
      </c>
      <c r="K299" s="117" t="s">
        <v>129</v>
      </c>
      <c r="L299" s="29" t="s">
        <v>11</v>
      </c>
      <c r="M299" s="120">
        <v>45809</v>
      </c>
      <c r="N299" s="116"/>
      <c r="O299" s="120">
        <v>45900</v>
      </c>
      <c r="P299" s="29"/>
      <c r="Q299" s="116" t="s">
        <v>69</v>
      </c>
      <c r="R299" s="116"/>
      <c r="S299" s="116" t="s">
        <v>70</v>
      </c>
      <c r="T299" s="38">
        <v>11</v>
      </c>
      <c r="U299" s="38" t="s">
        <v>88</v>
      </c>
      <c r="V299" s="47">
        <f t="shared" ca="1" si="128"/>
        <v>69</v>
      </c>
      <c r="W299" s="97"/>
      <c r="X299" s="38"/>
      <c r="Y299" s="38"/>
      <c r="Z299" s="38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54">
        <v>0</v>
      </c>
      <c r="AL299" s="116"/>
      <c r="AM299" s="116"/>
      <c r="AN299" s="116"/>
      <c r="AO299" s="116"/>
      <c r="AP299" s="36"/>
      <c r="AQ299" s="116"/>
      <c r="AR299" s="36"/>
      <c r="AS299" s="36"/>
      <c r="AT299" s="36"/>
      <c r="AU299" s="36"/>
      <c r="AV299" s="116"/>
      <c r="AW299" s="116"/>
      <c r="AX299" s="116"/>
      <c r="AY299" s="36"/>
      <c r="AZ299" s="38"/>
      <c r="BA299" s="116"/>
      <c r="BB299" s="116"/>
      <c r="BC299" s="116"/>
      <c r="BD299" s="116"/>
      <c r="BE299" s="116"/>
      <c r="BF299" s="116"/>
      <c r="BG299" s="59" t="s">
        <v>2303</v>
      </c>
      <c r="BH299" s="59" t="s">
        <v>2304</v>
      </c>
      <c r="BI299" s="38">
        <v>2212625999</v>
      </c>
      <c r="BJ299" s="39" t="s">
        <v>2305</v>
      </c>
      <c r="BK299" s="39"/>
      <c r="BL299" s="39"/>
      <c r="BM299" s="102" t="s">
        <v>2306</v>
      </c>
      <c r="BN299" s="39"/>
    </row>
    <row r="300" spans="1:66" ht="38.25" hidden="1" x14ac:dyDescent="0.25">
      <c r="A300" s="122">
        <v>92700252</v>
      </c>
      <c r="B300" s="122">
        <v>72</v>
      </c>
      <c r="C300" s="77" t="s">
        <v>2115</v>
      </c>
      <c r="D300" s="102" t="s">
        <v>2307</v>
      </c>
      <c r="E300" s="39" t="s">
        <v>2308</v>
      </c>
      <c r="F300" s="29" t="s">
        <v>2309</v>
      </c>
      <c r="G300" s="29" t="s">
        <v>2310</v>
      </c>
      <c r="H300" s="38" t="s">
        <v>315</v>
      </c>
      <c r="I300" s="117" t="s">
        <v>930</v>
      </c>
      <c r="J300" s="117" t="s">
        <v>450</v>
      </c>
      <c r="K300" s="117" t="s">
        <v>322</v>
      </c>
      <c r="L300" s="29" t="s">
        <v>320</v>
      </c>
      <c r="M300" s="120">
        <v>45824</v>
      </c>
      <c r="N300" s="116"/>
      <c r="O300" s="38"/>
      <c r="P300" s="29"/>
      <c r="Q300" s="116" t="s">
        <v>69</v>
      </c>
      <c r="R300" s="116"/>
      <c r="S300" s="116" t="s">
        <v>70</v>
      </c>
      <c r="T300" s="38">
        <v>12</v>
      </c>
      <c r="U300" s="38" t="s">
        <v>400</v>
      </c>
      <c r="V300" s="47">
        <f t="shared" ca="1" si="128"/>
        <v>50</v>
      </c>
      <c r="W300" s="97"/>
      <c r="X300" s="38"/>
      <c r="Y300" s="38"/>
      <c r="Z300" s="38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54">
        <v>0</v>
      </c>
      <c r="AL300" s="116"/>
      <c r="AM300" s="116"/>
      <c r="AN300" s="116"/>
      <c r="AO300" s="116"/>
      <c r="AP300" s="36"/>
      <c r="AQ300" s="116"/>
      <c r="AR300" s="36"/>
      <c r="AS300" s="36"/>
      <c r="AT300" s="36"/>
      <c r="AU300" s="36"/>
      <c r="AV300" s="116"/>
      <c r="AW300" s="116"/>
      <c r="AX300" s="116"/>
      <c r="AY300" s="36"/>
      <c r="AZ300" s="38"/>
      <c r="BA300" s="116"/>
      <c r="BB300" s="116"/>
      <c r="BC300" s="116"/>
      <c r="BD300" s="116"/>
      <c r="BE300" s="116"/>
      <c r="BF300" s="116"/>
      <c r="BG300" s="59" t="s">
        <v>2311</v>
      </c>
      <c r="BH300" s="59" t="s">
        <v>2312</v>
      </c>
      <c r="BI300" s="38">
        <v>2447859813</v>
      </c>
      <c r="BJ300" s="39" t="s">
        <v>2313</v>
      </c>
      <c r="BK300" s="39" t="s">
        <v>2314</v>
      </c>
      <c r="BL300" s="39" t="s">
        <v>2315</v>
      </c>
      <c r="BM300" s="102" t="s">
        <v>2316</v>
      </c>
      <c r="BN300" s="39"/>
    </row>
    <row r="301" spans="1:66" ht="38.25" x14ac:dyDescent="0.25">
      <c r="A301" s="122">
        <v>92700252</v>
      </c>
      <c r="B301" s="42">
        <v>50</v>
      </c>
      <c r="C301" s="102" t="s">
        <v>2307</v>
      </c>
      <c r="D301" s="102"/>
      <c r="E301" s="39" t="s">
        <v>2308</v>
      </c>
      <c r="F301" s="29" t="s">
        <v>2309</v>
      </c>
      <c r="G301" s="29" t="s">
        <v>2310</v>
      </c>
      <c r="H301" s="48" t="s">
        <v>315</v>
      </c>
      <c r="I301" s="117" t="s">
        <v>930</v>
      </c>
      <c r="J301" s="117" t="s">
        <v>450</v>
      </c>
      <c r="K301" s="117" t="s">
        <v>322</v>
      </c>
      <c r="L301" s="29" t="s">
        <v>329</v>
      </c>
      <c r="M301" s="120"/>
      <c r="N301" s="120">
        <v>45946</v>
      </c>
      <c r="O301" s="38"/>
      <c r="P301" s="29"/>
      <c r="Q301" s="116" t="s">
        <v>69</v>
      </c>
      <c r="R301" s="116"/>
      <c r="S301" s="116" t="s">
        <v>70</v>
      </c>
      <c r="T301" s="38">
        <v>12</v>
      </c>
      <c r="U301" s="38" t="s">
        <v>400</v>
      </c>
      <c r="V301" s="47">
        <f t="shared" ca="1" si="128"/>
        <v>50</v>
      </c>
      <c r="W301" s="97"/>
      <c r="X301" s="47">
        <v>189</v>
      </c>
      <c r="Y301" s="38"/>
      <c r="Z301" s="38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54">
        <v>0</v>
      </c>
      <c r="AL301" s="116"/>
      <c r="AM301" s="116"/>
      <c r="AN301" s="116"/>
      <c r="AO301" s="116"/>
      <c r="AP301" s="36"/>
      <c r="AQ301" s="116"/>
      <c r="AR301" s="36"/>
      <c r="AS301" s="36"/>
      <c r="AT301" s="36"/>
      <c r="AU301" s="36"/>
      <c r="AV301" s="116"/>
      <c r="AW301" s="116"/>
      <c r="AX301" s="116"/>
      <c r="AY301" s="36"/>
      <c r="AZ301" s="38"/>
      <c r="BA301" s="116"/>
      <c r="BB301" s="116"/>
      <c r="BC301" s="116"/>
      <c r="BD301" s="116"/>
      <c r="BE301" s="116"/>
      <c r="BF301" s="116"/>
      <c r="BG301" s="59" t="s">
        <v>2311</v>
      </c>
      <c r="BH301" s="59" t="s">
        <v>2312</v>
      </c>
      <c r="BI301" s="38">
        <v>2447859813</v>
      </c>
      <c r="BJ301" s="39" t="s">
        <v>2313</v>
      </c>
      <c r="BK301" s="39" t="s">
        <v>2314</v>
      </c>
      <c r="BL301" s="39" t="s">
        <v>2315</v>
      </c>
      <c r="BM301" s="102" t="s">
        <v>2316</v>
      </c>
      <c r="BN301" s="39"/>
    </row>
    <row r="302" spans="1:66" ht="38.25" x14ac:dyDescent="0.25">
      <c r="A302" s="122">
        <v>92700253</v>
      </c>
      <c r="B302" s="42">
        <v>56</v>
      </c>
      <c r="C302" s="102" t="s">
        <v>2317</v>
      </c>
      <c r="D302" s="102"/>
      <c r="E302" s="39" t="s">
        <v>2318</v>
      </c>
      <c r="F302" s="29" t="s">
        <v>2319</v>
      </c>
      <c r="G302" s="29" t="s">
        <v>2320</v>
      </c>
      <c r="H302" s="48" t="s">
        <v>315</v>
      </c>
      <c r="I302" s="117" t="s">
        <v>930</v>
      </c>
      <c r="J302" s="117" t="s">
        <v>938</v>
      </c>
      <c r="K302" s="117" t="s">
        <v>86</v>
      </c>
      <c r="L302" s="29" t="s">
        <v>329</v>
      </c>
      <c r="M302" s="120">
        <v>45854</v>
      </c>
      <c r="N302" s="116"/>
      <c r="O302" s="38"/>
      <c r="P302" s="29"/>
      <c r="Q302" s="116" t="s">
        <v>69</v>
      </c>
      <c r="R302" s="116"/>
      <c r="S302" s="116" t="s">
        <v>148</v>
      </c>
      <c r="T302" s="38">
        <v>29</v>
      </c>
      <c r="U302" s="38" t="s">
        <v>215</v>
      </c>
      <c r="V302" s="47">
        <f t="shared" ca="1" si="128"/>
        <v>53</v>
      </c>
      <c r="W302" s="97">
        <v>12623800</v>
      </c>
      <c r="X302" s="47">
        <v>194</v>
      </c>
      <c r="Y302" s="38"/>
      <c r="Z302" s="38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54">
        <v>0</v>
      </c>
      <c r="AL302" s="116"/>
      <c r="AM302" s="116"/>
      <c r="AN302" s="116"/>
      <c r="AO302" s="116"/>
      <c r="AP302" s="36"/>
      <c r="AQ302" s="116"/>
      <c r="AR302" s="36"/>
      <c r="AS302" s="36"/>
      <c r="AT302" s="36"/>
      <c r="AU302" s="36"/>
      <c r="AV302" s="116"/>
      <c r="AW302" s="116"/>
      <c r="AX302" s="116"/>
      <c r="AY302" s="36"/>
      <c r="AZ302" s="38"/>
      <c r="BA302" s="116"/>
      <c r="BB302" s="116"/>
      <c r="BC302" s="116"/>
      <c r="BD302" s="116"/>
      <c r="BE302" s="116"/>
      <c r="BF302" s="116"/>
      <c r="BG302" s="59" t="s">
        <v>2321</v>
      </c>
      <c r="BH302" s="59" t="s">
        <v>2322</v>
      </c>
      <c r="BI302" s="38">
        <v>2214035303</v>
      </c>
      <c r="BJ302" s="39" t="s">
        <v>2323</v>
      </c>
      <c r="BK302" s="39" t="s">
        <v>2324</v>
      </c>
      <c r="BL302" s="39" t="s">
        <v>1752</v>
      </c>
      <c r="BM302" s="102" t="s">
        <v>2325</v>
      </c>
      <c r="BN302" s="39"/>
    </row>
    <row r="303" spans="1:66" ht="25.5" hidden="1" x14ac:dyDescent="0.25">
      <c r="A303" s="122">
        <v>92700254</v>
      </c>
      <c r="B303" s="122">
        <v>73</v>
      </c>
      <c r="C303" s="102" t="s">
        <v>2326</v>
      </c>
      <c r="D303" s="102" t="s">
        <v>2327</v>
      </c>
      <c r="E303" s="39" t="s">
        <v>2328</v>
      </c>
      <c r="F303" s="29" t="s">
        <v>2329</v>
      </c>
      <c r="G303" s="29" t="s">
        <v>2330</v>
      </c>
      <c r="H303" s="38" t="s">
        <v>65</v>
      </c>
      <c r="I303" s="40" t="s">
        <v>693</v>
      </c>
      <c r="J303" s="40" t="s">
        <v>147</v>
      </c>
      <c r="K303" s="117"/>
      <c r="L303" s="29" t="s">
        <v>11</v>
      </c>
      <c r="M303" s="120">
        <v>45870</v>
      </c>
      <c r="N303" s="116"/>
      <c r="O303" s="120">
        <v>45884</v>
      </c>
      <c r="P303" s="29"/>
      <c r="Q303" s="116" t="s">
        <v>69</v>
      </c>
      <c r="R303" s="116"/>
      <c r="S303" s="116" t="s">
        <v>70</v>
      </c>
      <c r="T303" s="38">
        <v>2</v>
      </c>
      <c r="U303" s="38" t="s">
        <v>88</v>
      </c>
      <c r="V303" s="47">
        <f t="shared" ca="1" si="128"/>
        <v>31</v>
      </c>
      <c r="W303" s="97"/>
      <c r="X303" s="38"/>
      <c r="Y303" s="38"/>
      <c r="Z303" s="38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54">
        <v>0</v>
      </c>
      <c r="AL303" s="116"/>
      <c r="AM303" s="116"/>
      <c r="AN303" s="116"/>
      <c r="AO303" s="116"/>
      <c r="AP303" s="36"/>
      <c r="AQ303" s="116"/>
      <c r="AR303" s="36"/>
      <c r="AS303" s="36"/>
      <c r="AT303" s="36"/>
      <c r="AU303" s="36"/>
      <c r="AV303" s="116"/>
      <c r="AW303" s="116"/>
      <c r="AX303" s="116"/>
      <c r="AY303" s="36"/>
      <c r="AZ303" s="38"/>
      <c r="BA303" s="116"/>
      <c r="BB303" s="116"/>
      <c r="BC303" s="116"/>
      <c r="BD303" s="116"/>
      <c r="BE303" s="116"/>
      <c r="BF303" s="116"/>
      <c r="BG303" s="29"/>
      <c r="BH303" s="59" t="s">
        <v>2331</v>
      </c>
      <c r="BI303" s="38">
        <v>2221518370</v>
      </c>
      <c r="BJ303" s="39" t="s">
        <v>2332</v>
      </c>
      <c r="BK303" s="39" t="s">
        <v>2333</v>
      </c>
      <c r="BL303" s="39" t="s">
        <v>2334</v>
      </c>
      <c r="BM303" s="102" t="s">
        <v>2335</v>
      </c>
      <c r="BN303" s="39"/>
    </row>
    <row r="304" spans="1:66" ht="25.5" hidden="1" x14ac:dyDescent="0.25">
      <c r="A304" s="122">
        <v>92700255</v>
      </c>
      <c r="B304" s="122">
        <v>4</v>
      </c>
      <c r="C304" s="102" t="s">
        <v>2336</v>
      </c>
      <c r="D304" s="102" t="s">
        <v>2337</v>
      </c>
      <c r="E304" s="39" t="s">
        <v>2338</v>
      </c>
      <c r="F304" s="29" t="s">
        <v>2339</v>
      </c>
      <c r="G304" s="29" t="s">
        <v>2340</v>
      </c>
      <c r="H304" s="38" t="s">
        <v>84</v>
      </c>
      <c r="I304" s="117" t="s">
        <v>1885</v>
      </c>
      <c r="J304" s="117" t="s">
        <v>129</v>
      </c>
      <c r="K304" s="117" t="s">
        <v>1534</v>
      </c>
      <c r="L304" s="29" t="s">
        <v>11</v>
      </c>
      <c r="M304" s="120">
        <v>45901</v>
      </c>
      <c r="N304" s="116"/>
      <c r="O304" s="120">
        <v>45991</v>
      </c>
      <c r="P304" s="29"/>
      <c r="Q304" s="116" t="s">
        <v>69</v>
      </c>
      <c r="R304" s="116"/>
      <c r="S304" s="116" t="s">
        <v>148</v>
      </c>
      <c r="T304" s="38">
        <v>14</v>
      </c>
      <c r="U304" s="38" t="s">
        <v>463</v>
      </c>
      <c r="V304" s="47">
        <f t="shared" ca="1" si="128"/>
        <v>35</v>
      </c>
      <c r="W304" s="97"/>
      <c r="X304" s="38"/>
      <c r="Y304" s="38"/>
      <c r="Z304" s="38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54">
        <v>0</v>
      </c>
      <c r="AL304" s="116"/>
      <c r="AM304" s="116"/>
      <c r="AN304" s="116"/>
      <c r="AO304" s="116"/>
      <c r="AP304" s="36"/>
      <c r="AQ304" s="116"/>
      <c r="AR304" s="36"/>
      <c r="AS304" s="36"/>
      <c r="AT304" s="36"/>
      <c r="AU304" s="36"/>
      <c r="AV304" s="116"/>
      <c r="AW304" s="116"/>
      <c r="AX304" s="116"/>
      <c r="AY304" s="36"/>
      <c r="AZ304" s="38"/>
      <c r="BA304" s="116"/>
      <c r="BB304" s="116"/>
      <c r="BC304" s="116"/>
      <c r="BD304" s="116"/>
      <c r="BE304" s="116"/>
      <c r="BF304" s="116"/>
      <c r="BG304" s="59" t="s">
        <v>2341</v>
      </c>
      <c r="BH304" s="59" t="s">
        <v>2342</v>
      </c>
      <c r="BI304" s="38">
        <v>2231136803</v>
      </c>
      <c r="BJ304" s="39" t="s">
        <v>2343</v>
      </c>
      <c r="BK304" s="39" t="s">
        <v>2344</v>
      </c>
      <c r="BL304" s="39" t="s">
        <v>2345</v>
      </c>
      <c r="BM304" s="102" t="s">
        <v>2346</v>
      </c>
      <c r="BN304" s="39"/>
    </row>
    <row r="305" spans="1:66" ht="25.5" x14ac:dyDescent="0.25">
      <c r="A305" s="122">
        <v>92700256</v>
      </c>
      <c r="B305" s="42">
        <v>54</v>
      </c>
      <c r="C305" s="102" t="s">
        <v>2347</v>
      </c>
      <c r="D305" s="102"/>
      <c r="E305" s="39" t="s">
        <v>2348</v>
      </c>
      <c r="F305" s="29" t="s">
        <v>2349</v>
      </c>
      <c r="G305" s="29" t="s">
        <v>2350</v>
      </c>
      <c r="H305" s="48" t="s">
        <v>315</v>
      </c>
      <c r="I305" s="117" t="s">
        <v>930</v>
      </c>
      <c r="J305" s="40" t="s">
        <v>86</v>
      </c>
      <c r="K305" s="40" t="s">
        <v>87</v>
      </c>
      <c r="L305" s="29" t="s">
        <v>329</v>
      </c>
      <c r="M305" s="120">
        <v>45916</v>
      </c>
      <c r="N305" s="116"/>
      <c r="O305" s="38"/>
      <c r="P305" s="29"/>
      <c r="Q305" s="116" t="s">
        <v>69</v>
      </c>
      <c r="R305" s="116"/>
      <c r="S305" s="116" t="s">
        <v>70</v>
      </c>
      <c r="T305" s="38">
        <v>30</v>
      </c>
      <c r="U305" s="38" t="s">
        <v>71</v>
      </c>
      <c r="V305" s="47">
        <f t="shared" ca="1" si="128"/>
        <v>29</v>
      </c>
      <c r="W305" s="97"/>
      <c r="X305" s="47">
        <v>193</v>
      </c>
      <c r="Y305" s="38"/>
      <c r="Z305" s="38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54">
        <v>0</v>
      </c>
      <c r="AL305" s="116"/>
      <c r="AM305" s="116"/>
      <c r="AN305" s="116"/>
      <c r="AO305" s="116"/>
      <c r="AP305" s="36"/>
      <c r="AQ305" s="116"/>
      <c r="AR305" s="36"/>
      <c r="AS305" s="36"/>
      <c r="AT305" s="36"/>
      <c r="AU305" s="36"/>
      <c r="AV305" s="116"/>
      <c r="AW305" s="116"/>
      <c r="AX305" s="116"/>
      <c r="AY305" s="36"/>
      <c r="AZ305" s="38"/>
      <c r="BA305" s="116"/>
      <c r="BB305" s="116"/>
      <c r="BC305" s="116"/>
      <c r="BD305" s="116"/>
      <c r="BE305" s="116"/>
      <c r="BF305" s="116"/>
      <c r="BG305" s="59" t="s">
        <v>2351</v>
      </c>
      <c r="BH305" s="59" t="s">
        <v>2352</v>
      </c>
      <c r="BI305" s="38">
        <v>2221768400</v>
      </c>
      <c r="BJ305" s="39" t="s">
        <v>2353</v>
      </c>
      <c r="BK305" s="39" t="s">
        <v>2354</v>
      </c>
      <c r="BL305" s="39" t="s">
        <v>1938</v>
      </c>
      <c r="BM305" s="102" t="s">
        <v>2355</v>
      </c>
      <c r="BN305" s="39"/>
    </row>
    <row r="306" spans="1:66" ht="38.25" x14ac:dyDescent="0.25">
      <c r="A306" s="122">
        <v>92700257</v>
      </c>
      <c r="B306" s="42">
        <v>30</v>
      </c>
      <c r="C306" s="77" t="s">
        <v>2356</v>
      </c>
      <c r="D306" s="102"/>
      <c r="E306" s="39" t="s">
        <v>2357</v>
      </c>
      <c r="F306" s="29" t="s">
        <v>2358</v>
      </c>
      <c r="G306" s="29" t="s">
        <v>2359</v>
      </c>
      <c r="H306" s="48" t="s">
        <v>315</v>
      </c>
      <c r="I306" s="117" t="s">
        <v>930</v>
      </c>
      <c r="J306" s="40" t="s">
        <v>86</v>
      </c>
      <c r="K306" s="40" t="s">
        <v>938</v>
      </c>
      <c r="L306" s="29" t="s">
        <v>329</v>
      </c>
      <c r="M306" s="120">
        <v>45946</v>
      </c>
      <c r="N306" s="116"/>
      <c r="O306" s="38"/>
      <c r="P306" s="29"/>
      <c r="Q306" s="116" t="s">
        <v>69</v>
      </c>
      <c r="R306" s="116"/>
      <c r="S306" s="116" t="s">
        <v>148</v>
      </c>
      <c r="T306" s="38">
        <v>5</v>
      </c>
      <c r="U306" s="38" t="s">
        <v>88</v>
      </c>
      <c r="V306" s="47">
        <f t="shared" ca="1" si="128"/>
        <v>35</v>
      </c>
      <c r="W306" s="97"/>
      <c r="X306" s="47">
        <v>194</v>
      </c>
      <c r="Y306" s="38"/>
      <c r="Z306" s="38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54">
        <v>0</v>
      </c>
      <c r="AL306" s="116"/>
      <c r="AM306" s="116"/>
      <c r="AN306" s="116"/>
      <c r="AO306" s="116"/>
      <c r="AP306" s="36"/>
      <c r="AQ306" s="116"/>
      <c r="AR306" s="36"/>
      <c r="AS306" s="36"/>
      <c r="AT306" s="36"/>
      <c r="AU306" s="36"/>
      <c r="AV306" s="116"/>
      <c r="AW306" s="116"/>
      <c r="AX306" s="116"/>
      <c r="AY306" s="36"/>
      <c r="AZ306" s="38"/>
      <c r="BA306" s="116"/>
      <c r="BB306" s="116"/>
      <c r="BC306" s="116"/>
      <c r="BD306" s="116"/>
      <c r="BE306" s="116"/>
      <c r="BF306" s="116"/>
      <c r="BG306" s="59" t="s">
        <v>2360</v>
      </c>
      <c r="BH306" s="59" t="s">
        <v>2361</v>
      </c>
      <c r="BI306" s="38">
        <v>2381111571</v>
      </c>
      <c r="BJ306" s="39" t="s">
        <v>2362</v>
      </c>
      <c r="BK306" s="39" t="s">
        <v>2363</v>
      </c>
      <c r="BL306" s="39" t="s">
        <v>2364</v>
      </c>
      <c r="BM306" s="102" t="s">
        <v>2365</v>
      </c>
      <c r="BN306" s="39"/>
    </row>
    <row r="307" spans="1:66" ht="25.5" x14ac:dyDescent="0.25">
      <c r="A307" s="122">
        <v>92700258</v>
      </c>
      <c r="B307" s="42">
        <v>10</v>
      </c>
      <c r="C307" s="77" t="s">
        <v>2366</v>
      </c>
      <c r="D307" s="102"/>
      <c r="E307" s="39" t="s">
        <v>2367</v>
      </c>
      <c r="F307" s="29" t="s">
        <v>2368</v>
      </c>
      <c r="G307" s="29" t="s">
        <v>2369</v>
      </c>
      <c r="H307" s="48" t="s">
        <v>315</v>
      </c>
      <c r="I307" s="117" t="s">
        <v>930</v>
      </c>
      <c r="J307" s="40" t="s">
        <v>86</v>
      </c>
      <c r="K307" s="40" t="s">
        <v>2249</v>
      </c>
      <c r="L307" s="29" t="s">
        <v>329</v>
      </c>
      <c r="M307" s="120">
        <v>45946</v>
      </c>
      <c r="N307" s="116"/>
      <c r="O307" s="38"/>
      <c r="P307" s="29"/>
      <c r="Q307" s="116" t="s">
        <v>69</v>
      </c>
      <c r="R307" s="116"/>
      <c r="S307" s="116" t="s">
        <v>70</v>
      </c>
      <c r="T307" s="38">
        <v>18</v>
      </c>
      <c r="U307" s="38" t="s">
        <v>149</v>
      </c>
      <c r="V307" s="47">
        <f t="shared" ca="1" si="128"/>
        <v>27</v>
      </c>
      <c r="W307" s="97"/>
      <c r="X307" s="47">
        <v>192</v>
      </c>
      <c r="Y307" s="38"/>
      <c r="Z307" s="38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54">
        <v>0</v>
      </c>
      <c r="AL307" s="116"/>
      <c r="AM307" s="116"/>
      <c r="AN307" s="116"/>
      <c r="AO307" s="116"/>
      <c r="AP307" s="36"/>
      <c r="AQ307" s="116"/>
      <c r="AR307" s="36"/>
      <c r="AS307" s="36"/>
      <c r="AT307" s="36"/>
      <c r="AU307" s="36"/>
      <c r="AV307" s="116"/>
      <c r="AW307" s="116"/>
      <c r="AX307" s="116"/>
      <c r="AY307" s="36"/>
      <c r="AZ307" s="38"/>
      <c r="BA307" s="116"/>
      <c r="BB307" s="116"/>
      <c r="BC307" s="116"/>
      <c r="BD307" s="116"/>
      <c r="BE307" s="116"/>
      <c r="BF307" s="116"/>
      <c r="BG307" s="59" t="s">
        <v>2370</v>
      </c>
      <c r="BH307" s="59" t="s">
        <v>2371</v>
      </c>
      <c r="BI307" s="38">
        <v>2225461786</v>
      </c>
      <c r="BJ307" s="39" t="s">
        <v>2372</v>
      </c>
      <c r="BK307" s="39" t="s">
        <v>2373</v>
      </c>
      <c r="BL307" s="39" t="s">
        <v>2374</v>
      </c>
      <c r="BM307" s="102" t="s">
        <v>2375</v>
      </c>
      <c r="BN307" s="39"/>
    </row>
    <row r="308" spans="1:66" ht="38.25" x14ac:dyDescent="0.25">
      <c r="A308" s="122">
        <v>92700259</v>
      </c>
      <c r="B308" s="42">
        <v>72</v>
      </c>
      <c r="C308" s="102" t="s">
        <v>2376</v>
      </c>
      <c r="D308" s="102"/>
      <c r="E308" s="39" t="s">
        <v>2377</v>
      </c>
      <c r="F308" s="29" t="s">
        <v>2378</v>
      </c>
      <c r="G308" s="29" t="s">
        <v>2379</v>
      </c>
      <c r="H308" s="48" t="s">
        <v>315</v>
      </c>
      <c r="I308" s="117" t="s">
        <v>930</v>
      </c>
      <c r="J308" s="117" t="s">
        <v>450</v>
      </c>
      <c r="K308" s="117" t="s">
        <v>322</v>
      </c>
      <c r="L308" s="29" t="s">
        <v>329</v>
      </c>
      <c r="M308" s="120">
        <v>45946</v>
      </c>
      <c r="N308" s="116"/>
      <c r="O308" s="38"/>
      <c r="P308" s="29"/>
      <c r="Q308" s="116" t="s">
        <v>69</v>
      </c>
      <c r="R308" s="116"/>
      <c r="S308" s="116" t="s">
        <v>70</v>
      </c>
      <c r="T308" s="38">
        <v>12</v>
      </c>
      <c r="U308" s="38" t="s">
        <v>243</v>
      </c>
      <c r="V308" s="47">
        <f t="shared" ca="1" si="128"/>
        <v>32</v>
      </c>
      <c r="W308" s="97"/>
      <c r="X308" s="47">
        <v>189</v>
      </c>
      <c r="Y308" s="38"/>
      <c r="Z308" s="38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54">
        <v>0</v>
      </c>
      <c r="AL308" s="116"/>
      <c r="AM308" s="116"/>
      <c r="AN308" s="116"/>
      <c r="AO308" s="116"/>
      <c r="AP308" s="36"/>
      <c r="AQ308" s="116"/>
      <c r="AR308" s="36"/>
      <c r="AS308" s="36"/>
      <c r="AT308" s="36"/>
      <c r="AU308" s="36"/>
      <c r="AV308" s="116"/>
      <c r="AW308" s="116"/>
      <c r="AX308" s="116"/>
      <c r="AY308" s="36"/>
      <c r="AZ308" s="38"/>
      <c r="BA308" s="116"/>
      <c r="BB308" s="116"/>
      <c r="BC308" s="116"/>
      <c r="BD308" s="116"/>
      <c r="BE308" s="116"/>
      <c r="BF308" s="116"/>
      <c r="BG308" s="59" t="s">
        <v>2380</v>
      </c>
      <c r="BH308" s="59" t="s">
        <v>2381</v>
      </c>
      <c r="BI308" s="38">
        <v>2381553591</v>
      </c>
      <c r="BJ308" s="39" t="s">
        <v>2382</v>
      </c>
      <c r="BK308" s="39" t="s">
        <v>2383</v>
      </c>
      <c r="BL308" s="39" t="s">
        <v>2384</v>
      </c>
      <c r="BM308" s="102" t="s">
        <v>2385</v>
      </c>
      <c r="BN308" s="39"/>
    </row>
    <row r="309" spans="1:66" ht="25.5" x14ac:dyDescent="0.25">
      <c r="A309" s="122">
        <v>41679</v>
      </c>
      <c r="B309" s="42"/>
      <c r="C309" s="102" t="s">
        <v>2386</v>
      </c>
      <c r="D309" s="102"/>
      <c r="E309" s="39" t="s">
        <v>2387</v>
      </c>
      <c r="F309" s="29" t="s">
        <v>2388</v>
      </c>
      <c r="G309" s="29" t="s">
        <v>2389</v>
      </c>
      <c r="H309" s="48"/>
      <c r="I309" s="117" t="s">
        <v>2390</v>
      </c>
      <c r="J309" s="117" t="s">
        <v>129</v>
      </c>
      <c r="K309" s="117" t="s">
        <v>129</v>
      </c>
      <c r="L309" s="29" t="s">
        <v>329</v>
      </c>
      <c r="M309" s="120">
        <v>45962</v>
      </c>
      <c r="N309" s="116"/>
      <c r="O309" s="38"/>
      <c r="P309" s="29"/>
      <c r="Q309" s="116" t="s">
        <v>69</v>
      </c>
      <c r="R309" s="116"/>
      <c r="S309" s="116" t="s">
        <v>148</v>
      </c>
      <c r="T309" s="38">
        <v>14</v>
      </c>
      <c r="U309" s="38" t="s">
        <v>243</v>
      </c>
      <c r="V309" s="47">
        <f t="shared" ca="1" si="128"/>
        <v>53</v>
      </c>
      <c r="W309" s="97"/>
      <c r="X309" s="47"/>
      <c r="Y309" s="38"/>
      <c r="Z309" s="38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54">
        <v>0</v>
      </c>
      <c r="AL309" s="116"/>
      <c r="AM309" s="116"/>
      <c r="AN309" s="116"/>
      <c r="AO309" s="116"/>
      <c r="AP309" s="36"/>
      <c r="AQ309" s="116"/>
      <c r="AR309" s="36"/>
      <c r="AS309" s="36"/>
      <c r="AT309" s="36"/>
      <c r="AU309" s="36"/>
      <c r="AV309" s="116"/>
      <c r="AW309" s="116"/>
      <c r="AX309" s="116"/>
      <c r="AY309" s="36"/>
      <c r="AZ309" s="38"/>
      <c r="BA309" s="116"/>
      <c r="BB309" s="116"/>
      <c r="BC309" s="116"/>
      <c r="BD309" s="116"/>
      <c r="BE309" s="116"/>
      <c r="BF309" s="116"/>
      <c r="BG309" s="59" t="s">
        <v>2391</v>
      </c>
      <c r="BH309" s="59" t="s">
        <v>2392</v>
      </c>
      <c r="BI309" s="38">
        <v>2228773570</v>
      </c>
      <c r="BJ309" s="39" t="s">
        <v>2393</v>
      </c>
      <c r="BK309" s="39" t="s">
        <v>2394</v>
      </c>
      <c r="BL309" s="39" t="s">
        <v>1938</v>
      </c>
      <c r="BM309" s="102" t="s">
        <v>2395</v>
      </c>
      <c r="BN309" s="39"/>
    </row>
    <row r="310" spans="1:66" ht="25.5" x14ac:dyDescent="0.25">
      <c r="A310" s="122">
        <v>92700260</v>
      </c>
      <c r="B310" s="42"/>
      <c r="C310" s="102" t="s">
        <v>2396</v>
      </c>
      <c r="D310" s="102"/>
      <c r="E310" s="39" t="s">
        <v>2397</v>
      </c>
      <c r="F310" s="29" t="s">
        <v>2398</v>
      </c>
      <c r="G310" s="29" t="s">
        <v>2399</v>
      </c>
      <c r="H310" s="48"/>
      <c r="I310" s="117" t="s">
        <v>930</v>
      </c>
      <c r="J310" s="40" t="s">
        <v>325</v>
      </c>
      <c r="K310" s="117" t="s">
        <v>1986</v>
      </c>
      <c r="L310" s="29" t="s">
        <v>329</v>
      </c>
      <c r="M310" s="120">
        <v>45962</v>
      </c>
      <c r="N310" s="116"/>
      <c r="O310" s="38"/>
      <c r="P310" s="29"/>
      <c r="Q310" s="116" t="s">
        <v>69</v>
      </c>
      <c r="R310" s="116"/>
      <c r="S310" s="116" t="s">
        <v>148</v>
      </c>
      <c r="T310" s="38">
        <v>23</v>
      </c>
      <c r="U310" s="38" t="s">
        <v>175</v>
      </c>
      <c r="V310" s="47">
        <f t="shared" ca="1" si="128"/>
        <v>64</v>
      </c>
      <c r="W310" s="97"/>
      <c r="X310" s="47"/>
      <c r="Y310" s="38"/>
      <c r="Z310" s="38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54">
        <v>0</v>
      </c>
      <c r="AL310" s="116"/>
      <c r="AM310" s="116"/>
      <c r="AN310" s="116"/>
      <c r="AO310" s="116"/>
      <c r="AP310" s="36"/>
      <c r="AQ310" s="116"/>
      <c r="AR310" s="36"/>
      <c r="AS310" s="36"/>
      <c r="AT310" s="36"/>
      <c r="AU310" s="36"/>
      <c r="AV310" s="116"/>
      <c r="AW310" s="116"/>
      <c r="AX310" s="116"/>
      <c r="AY310" s="36"/>
      <c r="AZ310" s="38"/>
      <c r="BA310" s="116"/>
      <c r="BB310" s="116"/>
      <c r="BC310" s="116"/>
      <c r="BD310" s="116"/>
      <c r="BE310" s="116"/>
      <c r="BF310" s="116"/>
      <c r="BG310" s="59" t="s">
        <v>2400</v>
      </c>
      <c r="BH310" s="59" t="s">
        <v>2401</v>
      </c>
      <c r="BI310" s="38">
        <v>2381644154</v>
      </c>
      <c r="BJ310" s="39" t="s">
        <v>2402</v>
      </c>
      <c r="BK310" s="39" t="s">
        <v>2403</v>
      </c>
      <c r="BL310" s="39" t="s">
        <v>2404</v>
      </c>
      <c r="BM310" s="102" t="s">
        <v>2405</v>
      </c>
      <c r="BN310" s="39"/>
    </row>
    <row r="311" spans="1:66" hidden="1" x14ac:dyDescent="0.25">
      <c r="A311" s="122">
        <v>92700261</v>
      </c>
      <c r="B311" s="122"/>
      <c r="C311" s="102"/>
      <c r="D311" s="102"/>
      <c r="E311" s="39" t="s">
        <v>2406</v>
      </c>
      <c r="F311" s="29"/>
      <c r="G311" s="29"/>
      <c r="H311" s="38"/>
      <c r="I311" s="117"/>
      <c r="J311" s="117"/>
      <c r="K311" s="117"/>
      <c r="L311" s="29"/>
      <c r="M311" s="38"/>
      <c r="N311" s="116"/>
      <c r="O311" s="38"/>
      <c r="P311" s="29"/>
      <c r="Q311" s="116"/>
      <c r="R311" s="116"/>
      <c r="S311" s="116"/>
      <c r="T311" s="38"/>
      <c r="U311" s="38"/>
      <c r="V311" s="47" t="e">
        <f t="shared" ca="1" si="128"/>
        <v>#VALUE!</v>
      </c>
      <c r="W311" s="97"/>
      <c r="X311" s="38"/>
      <c r="Y311" s="38"/>
      <c r="Z311" s="38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54">
        <v>0</v>
      </c>
      <c r="AL311" s="116"/>
      <c r="AM311" s="116"/>
      <c r="AN311" s="116"/>
      <c r="AO311" s="116"/>
      <c r="AP311" s="36"/>
      <c r="AQ311" s="116"/>
      <c r="AR311" s="36"/>
      <c r="AS311" s="36"/>
      <c r="AT311" s="36"/>
      <c r="AU311" s="36"/>
      <c r="AV311" s="116"/>
      <c r="AW311" s="116"/>
      <c r="AX311" s="116"/>
      <c r="AY311" s="36"/>
      <c r="AZ311" s="38"/>
      <c r="BA311" s="116"/>
      <c r="BB311" s="116"/>
      <c r="BC311" s="116"/>
      <c r="BD311" s="116"/>
      <c r="BE311" s="116"/>
      <c r="BF311" s="116"/>
      <c r="BG311" s="29"/>
      <c r="BH311" s="29"/>
      <c r="BI311" s="38"/>
      <c r="BJ311" s="39"/>
      <c r="BK311" s="39"/>
      <c r="BL311" s="39"/>
      <c r="BM311" s="102"/>
      <c r="BN311" s="39"/>
    </row>
    <row r="312" spans="1:66" ht="38.25" x14ac:dyDescent="0.25">
      <c r="A312" s="122">
        <v>92700262</v>
      </c>
      <c r="B312" s="42"/>
      <c r="C312" s="102"/>
      <c r="D312" s="102"/>
      <c r="E312" s="39" t="s">
        <v>2407</v>
      </c>
      <c r="F312" s="29" t="s">
        <v>2408</v>
      </c>
      <c r="G312" s="29" t="s">
        <v>2409</v>
      </c>
      <c r="H312" s="48"/>
      <c r="I312" s="40" t="s">
        <v>1609</v>
      </c>
      <c r="J312" s="40" t="s">
        <v>478</v>
      </c>
      <c r="K312" s="30" t="s">
        <v>688</v>
      </c>
      <c r="L312" s="29" t="s">
        <v>329</v>
      </c>
      <c r="M312" s="120">
        <v>45962</v>
      </c>
      <c r="N312" s="116"/>
      <c r="O312" s="38"/>
      <c r="P312" s="29"/>
      <c r="Q312" s="116" t="s">
        <v>69</v>
      </c>
      <c r="R312" s="116"/>
      <c r="S312" s="116" t="s">
        <v>148</v>
      </c>
      <c r="T312" s="38">
        <v>24</v>
      </c>
      <c r="U312" s="38" t="s">
        <v>337</v>
      </c>
      <c r="V312" s="47">
        <f t="shared" ca="1" si="128"/>
        <v>28</v>
      </c>
      <c r="W312" s="97"/>
      <c r="X312" s="47"/>
      <c r="Y312" s="38"/>
      <c r="Z312" s="38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54">
        <v>0</v>
      </c>
      <c r="AL312" s="116"/>
      <c r="AM312" s="116"/>
      <c r="AN312" s="116"/>
      <c r="AO312" s="116"/>
      <c r="AP312" s="36"/>
      <c r="AQ312" s="116"/>
      <c r="AR312" s="36"/>
      <c r="AS312" s="36"/>
      <c r="AT312" s="36"/>
      <c r="AU312" s="36"/>
      <c r="AV312" s="116"/>
      <c r="AW312" s="116"/>
      <c r="AX312" s="116"/>
      <c r="AY312" s="36"/>
      <c r="AZ312" s="38"/>
      <c r="BA312" s="116"/>
      <c r="BB312" s="116"/>
      <c r="BC312" s="116"/>
      <c r="BD312" s="116"/>
      <c r="BE312" s="116"/>
      <c r="BF312" s="116"/>
      <c r="BG312" s="59" t="s">
        <v>2410</v>
      </c>
      <c r="BH312" s="59" t="s">
        <v>2411</v>
      </c>
      <c r="BI312" s="38">
        <v>2382483461</v>
      </c>
      <c r="BJ312" s="39" t="s">
        <v>2412</v>
      </c>
      <c r="BK312" s="39" t="s">
        <v>2413</v>
      </c>
      <c r="BL312" s="39" t="s">
        <v>2414</v>
      </c>
      <c r="BM312" s="102" t="s">
        <v>2415</v>
      </c>
      <c r="BN312" s="39"/>
    </row>
    <row r="313" spans="1:66" hidden="1" x14ac:dyDescent="0.25">
      <c r="A313" s="122">
        <v>92700263</v>
      </c>
      <c r="B313" s="122"/>
      <c r="C313" s="102"/>
      <c r="D313" s="102"/>
      <c r="E313" s="39"/>
      <c r="F313" s="29"/>
      <c r="G313" s="29"/>
      <c r="H313" s="38"/>
      <c r="I313" s="117"/>
      <c r="J313" s="117"/>
      <c r="K313" s="117"/>
      <c r="L313" s="29"/>
      <c r="M313" s="38"/>
      <c r="N313" s="116"/>
      <c r="O313" s="38"/>
      <c r="P313" s="29"/>
      <c r="Q313" s="116"/>
      <c r="R313" s="116"/>
      <c r="S313" s="116"/>
      <c r="T313" s="38"/>
      <c r="U313" s="38"/>
      <c r="V313" s="47" t="e">
        <f t="shared" ca="1" si="128"/>
        <v>#VALUE!</v>
      </c>
      <c r="W313" s="97"/>
      <c r="X313" s="38"/>
      <c r="Y313" s="38"/>
      <c r="Z313" s="38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54">
        <v>0</v>
      </c>
      <c r="AL313" s="116"/>
      <c r="AM313" s="116"/>
      <c r="AN313" s="116"/>
      <c r="AO313" s="116"/>
      <c r="AP313" s="36"/>
      <c r="AQ313" s="116"/>
      <c r="AR313" s="36"/>
      <c r="AS313" s="36"/>
      <c r="AT313" s="36"/>
      <c r="AU313" s="36"/>
      <c r="AV313" s="116"/>
      <c r="AW313" s="116"/>
      <c r="AX313" s="116"/>
      <c r="AY313" s="36"/>
      <c r="AZ313" s="38"/>
      <c r="BA313" s="116"/>
      <c r="BB313" s="116"/>
      <c r="BC313" s="116"/>
      <c r="BD313" s="116"/>
      <c r="BE313" s="116"/>
      <c r="BF313" s="116"/>
      <c r="BG313" s="29"/>
      <c r="BH313" s="29"/>
      <c r="BI313" s="38"/>
      <c r="BJ313" s="39"/>
      <c r="BK313" s="39"/>
      <c r="BL313" s="39"/>
      <c r="BM313" s="102"/>
      <c r="BN313" s="39"/>
    </row>
    <row r="314" spans="1:66" hidden="1" x14ac:dyDescent="0.25">
      <c r="A314" s="122">
        <v>92700264</v>
      </c>
      <c r="B314" s="122"/>
      <c r="C314" s="102"/>
      <c r="D314" s="102"/>
      <c r="E314" s="39"/>
      <c r="F314" s="29"/>
      <c r="G314" s="29"/>
      <c r="H314" s="38"/>
      <c r="I314" s="117"/>
      <c r="J314" s="117"/>
      <c r="K314" s="117"/>
      <c r="L314" s="29"/>
      <c r="M314" s="38"/>
      <c r="N314" s="116"/>
      <c r="O314" s="38"/>
      <c r="P314" s="29"/>
      <c r="Q314" s="116"/>
      <c r="R314" s="116"/>
      <c r="S314" s="116"/>
      <c r="T314" s="38"/>
      <c r="U314" s="38"/>
      <c r="V314" s="47" t="e">
        <f t="shared" ca="1" si="128"/>
        <v>#VALUE!</v>
      </c>
      <c r="W314" s="97"/>
      <c r="X314" s="38"/>
      <c r="Y314" s="38"/>
      <c r="Z314" s="38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54">
        <v>0</v>
      </c>
      <c r="AL314" s="116"/>
      <c r="AM314" s="116"/>
      <c r="AN314" s="116"/>
      <c r="AO314" s="116"/>
      <c r="AP314" s="36"/>
      <c r="AQ314" s="116"/>
      <c r="AR314" s="36"/>
      <c r="AS314" s="36"/>
      <c r="AT314" s="36"/>
      <c r="AU314" s="36"/>
      <c r="AV314" s="116"/>
      <c r="AW314" s="116"/>
      <c r="AX314" s="116"/>
      <c r="AY314" s="36"/>
      <c r="AZ314" s="38"/>
      <c r="BA314" s="116"/>
      <c r="BB314" s="116"/>
      <c r="BC314" s="116"/>
      <c r="BD314" s="116"/>
      <c r="BE314" s="116"/>
      <c r="BF314" s="116"/>
      <c r="BG314" s="29"/>
      <c r="BH314" s="29"/>
      <c r="BI314" s="38"/>
      <c r="BJ314" s="39"/>
      <c r="BK314" s="39"/>
      <c r="BL314" s="39"/>
      <c r="BM314" s="102"/>
      <c r="BN314" s="39"/>
    </row>
    <row r="315" spans="1:66" hidden="1" x14ac:dyDescent="0.25">
      <c r="A315" s="122">
        <v>92700265</v>
      </c>
      <c r="B315" s="122"/>
      <c r="C315" s="102"/>
      <c r="D315" s="102"/>
      <c r="E315" s="39"/>
      <c r="F315" s="29"/>
      <c r="G315" s="29"/>
      <c r="H315" s="38"/>
      <c r="I315" s="117"/>
      <c r="J315" s="117"/>
      <c r="K315" s="117"/>
      <c r="L315" s="29"/>
      <c r="M315" s="38"/>
      <c r="N315" s="116"/>
      <c r="O315" s="38"/>
      <c r="P315" s="29"/>
      <c r="Q315" s="116"/>
      <c r="R315" s="116"/>
      <c r="S315" s="116"/>
      <c r="T315" s="38"/>
      <c r="U315" s="38"/>
      <c r="V315" s="47" t="e">
        <f t="shared" ca="1" si="128"/>
        <v>#VALUE!</v>
      </c>
      <c r="W315" s="97"/>
      <c r="X315" s="38"/>
      <c r="Y315" s="38"/>
      <c r="Z315" s="38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54">
        <v>0</v>
      </c>
      <c r="AL315" s="116"/>
      <c r="AM315" s="116"/>
      <c r="AN315" s="116"/>
      <c r="AO315" s="116"/>
      <c r="AP315" s="36"/>
      <c r="AQ315" s="116"/>
      <c r="AR315" s="36"/>
      <c r="AS315" s="36"/>
      <c r="AT315" s="36"/>
      <c r="AU315" s="36"/>
      <c r="AV315" s="116"/>
      <c r="AW315" s="116"/>
      <c r="AX315" s="116"/>
      <c r="AY315" s="36"/>
      <c r="AZ315" s="38"/>
      <c r="BA315" s="116"/>
      <c r="BB315" s="116"/>
      <c r="BC315" s="116"/>
      <c r="BD315" s="116"/>
      <c r="BE315" s="116"/>
      <c r="BF315" s="116"/>
      <c r="BG315" s="29"/>
      <c r="BH315" s="29"/>
      <c r="BI315" s="38"/>
      <c r="BJ315" s="39"/>
      <c r="BK315" s="39"/>
      <c r="BL315" s="39"/>
      <c r="BM315" s="102"/>
      <c r="BN315" s="39"/>
    </row>
    <row r="316" spans="1:66" hidden="1" x14ac:dyDescent="0.25">
      <c r="A316" s="122">
        <v>92700266</v>
      </c>
      <c r="B316" s="122"/>
      <c r="C316" s="102"/>
      <c r="D316" s="102"/>
      <c r="E316" s="39"/>
      <c r="F316" s="29"/>
      <c r="G316" s="29"/>
      <c r="H316" s="38"/>
      <c r="I316" s="117"/>
      <c r="J316" s="117"/>
      <c r="K316" s="117"/>
      <c r="L316" s="29"/>
      <c r="M316" s="38"/>
      <c r="N316" s="116"/>
      <c r="O316" s="38"/>
      <c r="P316" s="29"/>
      <c r="Q316" s="116"/>
      <c r="R316" s="116"/>
      <c r="S316" s="116"/>
      <c r="T316" s="38"/>
      <c r="U316" s="38"/>
      <c r="V316" s="47" t="e">
        <f t="shared" ca="1" si="128"/>
        <v>#VALUE!</v>
      </c>
      <c r="W316" s="97"/>
      <c r="X316" s="38"/>
      <c r="Y316" s="38"/>
      <c r="Z316" s="38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54">
        <v>0</v>
      </c>
      <c r="AL316" s="116"/>
      <c r="AM316" s="116"/>
      <c r="AN316" s="116"/>
      <c r="AO316" s="116"/>
      <c r="AP316" s="36"/>
      <c r="AQ316" s="116"/>
      <c r="AR316" s="36"/>
      <c r="AS316" s="36"/>
      <c r="AT316" s="36"/>
      <c r="AU316" s="36"/>
      <c r="AV316" s="116"/>
      <c r="AW316" s="116"/>
      <c r="AX316" s="116"/>
      <c r="AY316" s="36"/>
      <c r="AZ316" s="38"/>
      <c r="BA316" s="116"/>
      <c r="BB316" s="116"/>
      <c r="BC316" s="116"/>
      <c r="BD316" s="116"/>
      <c r="BE316" s="116"/>
      <c r="BF316" s="116"/>
      <c r="BG316" s="29"/>
      <c r="BH316" s="29"/>
      <c r="BI316" s="38"/>
      <c r="BJ316" s="39"/>
      <c r="BK316" s="39"/>
      <c r="BL316" s="39"/>
      <c r="BM316" s="102"/>
      <c r="BN316" s="39"/>
    </row>
    <row r="317" spans="1:66" hidden="1" x14ac:dyDescent="0.25">
      <c r="A317" s="122">
        <v>92700267</v>
      </c>
      <c r="B317" s="122"/>
      <c r="C317" s="102"/>
      <c r="D317" s="102"/>
      <c r="E317" s="39"/>
      <c r="F317" s="29"/>
      <c r="G317" s="29"/>
      <c r="H317" s="38"/>
      <c r="I317" s="117"/>
      <c r="J317" s="117"/>
      <c r="K317" s="117"/>
      <c r="L317" s="29"/>
      <c r="M317" s="38"/>
      <c r="N317" s="116"/>
      <c r="O317" s="38"/>
      <c r="P317" s="29"/>
      <c r="Q317" s="116"/>
      <c r="R317" s="116"/>
      <c r="S317" s="116"/>
      <c r="T317" s="38"/>
      <c r="U317" s="38"/>
      <c r="V317" s="47" t="e">
        <f t="shared" ca="1" si="128"/>
        <v>#VALUE!</v>
      </c>
      <c r="W317" s="97"/>
      <c r="X317" s="38"/>
      <c r="Y317" s="38"/>
      <c r="Z317" s="38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54">
        <v>0</v>
      </c>
      <c r="AL317" s="116"/>
      <c r="AM317" s="116"/>
      <c r="AN317" s="116"/>
      <c r="AO317" s="116"/>
      <c r="AP317" s="36"/>
      <c r="AQ317" s="116"/>
      <c r="AR317" s="36"/>
      <c r="AS317" s="36"/>
      <c r="AT317" s="36"/>
      <c r="AU317" s="36"/>
      <c r="AV317" s="116"/>
      <c r="AW317" s="116"/>
      <c r="AX317" s="116"/>
      <c r="AY317" s="36"/>
      <c r="AZ317" s="38"/>
      <c r="BA317" s="116"/>
      <c r="BB317" s="116"/>
      <c r="BC317" s="116"/>
      <c r="BD317" s="116"/>
      <c r="BE317" s="116"/>
      <c r="BF317" s="116"/>
      <c r="BG317" s="29"/>
      <c r="BH317" s="29"/>
      <c r="BI317" s="38"/>
      <c r="BJ317" s="39"/>
      <c r="BK317" s="39"/>
      <c r="BL317" s="39"/>
      <c r="BM317" s="102"/>
      <c r="BN317" s="39"/>
    </row>
    <row r="318" spans="1:66" hidden="1" x14ac:dyDescent="0.25">
      <c r="A318" s="122">
        <v>92700268</v>
      </c>
      <c r="B318" s="122"/>
      <c r="C318" s="102"/>
      <c r="D318" s="102"/>
      <c r="E318" s="39"/>
      <c r="F318" s="29"/>
      <c r="G318" s="29"/>
      <c r="H318" s="38"/>
      <c r="I318" s="117"/>
      <c r="J318" s="117"/>
      <c r="K318" s="117"/>
      <c r="L318" s="29"/>
      <c r="M318" s="38"/>
      <c r="N318" s="116"/>
      <c r="O318" s="38"/>
      <c r="P318" s="29"/>
      <c r="Q318" s="116"/>
      <c r="R318" s="116"/>
      <c r="S318" s="116"/>
      <c r="T318" s="38"/>
      <c r="U318" s="38"/>
      <c r="V318" s="47" t="e">
        <f t="shared" ca="1" si="128"/>
        <v>#VALUE!</v>
      </c>
      <c r="W318" s="97"/>
      <c r="X318" s="38"/>
      <c r="Y318" s="38"/>
      <c r="Z318" s="38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54">
        <v>0</v>
      </c>
      <c r="AL318" s="116"/>
      <c r="AM318" s="116"/>
      <c r="AN318" s="116"/>
      <c r="AO318" s="116"/>
      <c r="AP318" s="36"/>
      <c r="AQ318" s="116"/>
      <c r="AR318" s="36"/>
      <c r="AS318" s="36"/>
      <c r="AT318" s="36"/>
      <c r="AU318" s="36"/>
      <c r="AV318" s="116"/>
      <c r="AW318" s="116"/>
      <c r="AX318" s="116"/>
      <c r="AY318" s="36"/>
      <c r="AZ318" s="38"/>
      <c r="BA318" s="116"/>
      <c r="BB318" s="116"/>
      <c r="BC318" s="116"/>
      <c r="BD318" s="116"/>
      <c r="BE318" s="116"/>
      <c r="BF318" s="116"/>
      <c r="BG318" s="29"/>
      <c r="BH318" s="29"/>
      <c r="BI318" s="38"/>
      <c r="BJ318" s="39"/>
      <c r="BK318" s="39"/>
      <c r="BL318" s="39"/>
      <c r="BM318" s="102"/>
      <c r="BN318" s="39"/>
    </row>
    <row r="319" spans="1:66" hidden="1" x14ac:dyDescent="0.25">
      <c r="A319" s="122">
        <v>92700269</v>
      </c>
      <c r="B319" s="122"/>
      <c r="C319" s="102"/>
      <c r="D319" s="102"/>
      <c r="E319" s="39"/>
      <c r="F319" s="29"/>
      <c r="G319" s="29"/>
      <c r="H319" s="38"/>
      <c r="I319" s="117"/>
      <c r="J319" s="117"/>
      <c r="K319" s="117"/>
      <c r="L319" s="29"/>
      <c r="M319" s="38"/>
      <c r="N319" s="116"/>
      <c r="O319" s="38"/>
      <c r="P319" s="29"/>
      <c r="Q319" s="116"/>
      <c r="R319" s="116"/>
      <c r="S319" s="116"/>
      <c r="T319" s="38"/>
      <c r="U319" s="38"/>
      <c r="V319" s="47" t="e">
        <f t="shared" ca="1" si="128"/>
        <v>#VALUE!</v>
      </c>
      <c r="W319" s="97"/>
      <c r="X319" s="38"/>
      <c r="Y319" s="38"/>
      <c r="Z319" s="38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54">
        <v>0</v>
      </c>
      <c r="AL319" s="116"/>
      <c r="AM319" s="116"/>
      <c r="AN319" s="116"/>
      <c r="AO319" s="116"/>
      <c r="AP319" s="36"/>
      <c r="AQ319" s="116"/>
      <c r="AR319" s="36"/>
      <c r="AS319" s="36"/>
      <c r="AT319" s="36"/>
      <c r="AU319" s="36"/>
      <c r="AV319" s="116"/>
      <c r="AW319" s="116"/>
      <c r="AX319" s="116"/>
      <c r="AY319" s="36"/>
      <c r="AZ319" s="38"/>
      <c r="BA319" s="116"/>
      <c r="BB319" s="116"/>
      <c r="BC319" s="116"/>
      <c r="BD319" s="116"/>
      <c r="BE319" s="116"/>
      <c r="BF319" s="116"/>
      <c r="BG319" s="29"/>
      <c r="BH319" s="29"/>
      <c r="BI319" s="38"/>
      <c r="BJ319" s="39"/>
      <c r="BK319" s="39"/>
      <c r="BL319" s="39"/>
      <c r="BM319" s="102"/>
      <c r="BN319" s="39"/>
    </row>
    <row r="320" spans="1:66" hidden="1" x14ac:dyDescent="0.25">
      <c r="A320" s="122">
        <v>92700270</v>
      </c>
      <c r="B320" s="122"/>
      <c r="C320" s="102"/>
      <c r="D320" s="102"/>
      <c r="E320" s="39"/>
      <c r="F320" s="29"/>
      <c r="G320" s="29"/>
      <c r="H320" s="38"/>
      <c r="I320" s="117"/>
      <c r="J320" s="117"/>
      <c r="K320" s="117"/>
      <c r="L320" s="29"/>
      <c r="M320" s="38"/>
      <c r="N320" s="116"/>
      <c r="O320" s="38"/>
      <c r="P320" s="29"/>
      <c r="Q320" s="116"/>
      <c r="R320" s="116"/>
      <c r="S320" s="116"/>
      <c r="T320" s="38"/>
      <c r="U320" s="38"/>
      <c r="V320" s="47" t="e">
        <f t="shared" ca="1" si="128"/>
        <v>#VALUE!</v>
      </c>
      <c r="W320" s="97"/>
      <c r="X320" s="38"/>
      <c r="Y320" s="38"/>
      <c r="Z320" s="38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54">
        <v>0</v>
      </c>
      <c r="AL320" s="116"/>
      <c r="AM320" s="116"/>
      <c r="AN320" s="116"/>
      <c r="AO320" s="116"/>
      <c r="AP320" s="36"/>
      <c r="AQ320" s="116"/>
      <c r="AR320" s="36"/>
      <c r="AS320" s="36"/>
      <c r="AT320" s="36"/>
      <c r="AU320" s="36"/>
      <c r="AV320" s="116"/>
      <c r="AW320" s="116"/>
      <c r="AX320" s="116"/>
      <c r="AY320" s="36"/>
      <c r="AZ320" s="38"/>
      <c r="BA320" s="116"/>
      <c r="BB320" s="116"/>
      <c r="BC320" s="116"/>
      <c r="BD320" s="116"/>
      <c r="BE320" s="116"/>
      <c r="BF320" s="116"/>
      <c r="BG320" s="29"/>
      <c r="BH320" s="29"/>
      <c r="BI320" s="38"/>
      <c r="BJ320" s="39"/>
      <c r="BK320" s="39"/>
      <c r="BL320" s="39"/>
      <c r="BM320" s="102"/>
      <c r="BN320" s="39"/>
    </row>
    <row r="321" spans="1:66" hidden="1" x14ac:dyDescent="0.25">
      <c r="A321" s="122">
        <v>92700271</v>
      </c>
      <c r="B321" s="122"/>
      <c r="C321" s="102"/>
      <c r="D321" s="102"/>
      <c r="E321" s="39"/>
      <c r="F321" s="29"/>
      <c r="G321" s="29"/>
      <c r="H321" s="38"/>
      <c r="I321" s="117"/>
      <c r="J321" s="117"/>
      <c r="K321" s="117"/>
      <c r="L321" s="29"/>
      <c r="M321" s="38"/>
      <c r="N321" s="116"/>
      <c r="O321" s="38"/>
      <c r="P321" s="29"/>
      <c r="Q321" s="116"/>
      <c r="R321" s="116"/>
      <c r="S321" s="116"/>
      <c r="T321" s="38"/>
      <c r="U321" s="38"/>
      <c r="V321" s="47" t="e">
        <f t="shared" ca="1" si="128"/>
        <v>#VALUE!</v>
      </c>
      <c r="W321" s="97"/>
      <c r="X321" s="38"/>
      <c r="Y321" s="38"/>
      <c r="Z321" s="38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54">
        <v>0</v>
      </c>
      <c r="AL321" s="116"/>
      <c r="AM321" s="116"/>
      <c r="AN321" s="116"/>
      <c r="AO321" s="116"/>
      <c r="AP321" s="36"/>
      <c r="AQ321" s="116"/>
      <c r="AR321" s="36"/>
      <c r="AS321" s="36"/>
      <c r="AT321" s="36"/>
      <c r="AU321" s="36"/>
      <c r="AV321" s="116"/>
      <c r="AW321" s="116"/>
      <c r="AX321" s="116"/>
      <c r="AY321" s="36"/>
      <c r="AZ321" s="38"/>
      <c r="BA321" s="116"/>
      <c r="BB321" s="116"/>
      <c r="BC321" s="116"/>
      <c r="BD321" s="116"/>
      <c r="BE321" s="116"/>
      <c r="BF321" s="116"/>
      <c r="BG321" s="29"/>
      <c r="BH321" s="29"/>
      <c r="BI321" s="38"/>
      <c r="BJ321" s="39"/>
      <c r="BK321" s="39"/>
      <c r="BL321" s="39"/>
      <c r="BM321" s="102"/>
      <c r="BN321" s="39"/>
    </row>
    <row r="322" spans="1:66" hidden="1" x14ac:dyDescent="0.25">
      <c r="A322" s="122">
        <v>92700272</v>
      </c>
      <c r="B322" s="122"/>
      <c r="C322" s="102"/>
      <c r="D322" s="102"/>
      <c r="E322" s="39"/>
      <c r="F322" s="29"/>
      <c r="G322" s="29"/>
      <c r="H322" s="38"/>
      <c r="I322" s="117"/>
      <c r="J322" s="117"/>
      <c r="K322" s="117"/>
      <c r="L322" s="29"/>
      <c r="M322" s="38"/>
      <c r="N322" s="116"/>
      <c r="O322" s="38"/>
      <c r="P322" s="29"/>
      <c r="Q322" s="116"/>
      <c r="R322" s="116"/>
      <c r="S322" s="116"/>
      <c r="T322" s="38"/>
      <c r="U322" s="38"/>
      <c r="V322" s="47" t="e">
        <f t="shared" ca="1" si="128"/>
        <v>#VALUE!</v>
      </c>
      <c r="W322" s="97"/>
      <c r="X322" s="38"/>
      <c r="Y322" s="38"/>
      <c r="Z322" s="38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54">
        <v>0</v>
      </c>
      <c r="AL322" s="116"/>
      <c r="AM322" s="116"/>
      <c r="AN322" s="116"/>
      <c r="AO322" s="116"/>
      <c r="AP322" s="36"/>
      <c r="AQ322" s="116"/>
      <c r="AR322" s="36"/>
      <c r="AS322" s="36"/>
      <c r="AT322" s="36"/>
      <c r="AU322" s="36"/>
      <c r="AV322" s="116"/>
      <c r="AW322" s="116"/>
      <c r="AX322" s="116"/>
      <c r="AY322" s="36"/>
      <c r="AZ322" s="38"/>
      <c r="BA322" s="116"/>
      <c r="BB322" s="116"/>
      <c r="BC322" s="116"/>
      <c r="BD322" s="116"/>
      <c r="BE322" s="116"/>
      <c r="BF322" s="116"/>
      <c r="BG322" s="29"/>
      <c r="BH322" s="29"/>
      <c r="BI322" s="38"/>
      <c r="BJ322" s="39"/>
      <c r="BK322" s="39"/>
      <c r="BL322" s="39"/>
      <c r="BM322" s="102"/>
      <c r="BN322" s="39"/>
    </row>
    <row r="323" spans="1:66" hidden="1" x14ac:dyDescent="0.25">
      <c r="A323" s="122">
        <v>92700273</v>
      </c>
      <c r="B323" s="122"/>
      <c r="C323" s="102"/>
      <c r="D323" s="102"/>
      <c r="E323" s="39"/>
      <c r="F323" s="29"/>
      <c r="G323" s="29"/>
      <c r="H323" s="38"/>
      <c r="I323" s="117"/>
      <c r="J323" s="117"/>
      <c r="K323" s="117"/>
      <c r="L323" s="29"/>
      <c r="M323" s="38"/>
      <c r="N323" s="116"/>
      <c r="O323" s="38"/>
      <c r="P323" s="29"/>
      <c r="Q323" s="116"/>
      <c r="R323" s="116"/>
      <c r="S323" s="116"/>
      <c r="T323" s="38"/>
      <c r="U323" s="38"/>
      <c r="V323" s="47" t="e">
        <f t="shared" ca="1" si="128"/>
        <v>#VALUE!</v>
      </c>
      <c r="W323" s="97"/>
      <c r="X323" s="38"/>
      <c r="Y323" s="38"/>
      <c r="Z323" s="38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54">
        <v>0</v>
      </c>
      <c r="AL323" s="116"/>
      <c r="AM323" s="116"/>
      <c r="AN323" s="116"/>
      <c r="AO323" s="116"/>
      <c r="AP323" s="36"/>
      <c r="AQ323" s="116"/>
      <c r="AR323" s="36"/>
      <c r="AS323" s="36"/>
      <c r="AT323" s="36"/>
      <c r="AU323" s="36"/>
      <c r="AV323" s="116"/>
      <c r="AW323" s="116"/>
      <c r="AX323" s="116"/>
      <c r="AY323" s="36"/>
      <c r="AZ323" s="38"/>
      <c r="BA323" s="116"/>
      <c r="BB323" s="116"/>
      <c r="BC323" s="116"/>
      <c r="BD323" s="116"/>
      <c r="BE323" s="116"/>
      <c r="BF323" s="116"/>
      <c r="BG323" s="29"/>
      <c r="BH323" s="29"/>
      <c r="BI323" s="38"/>
      <c r="BJ323" s="39"/>
      <c r="BK323" s="39"/>
      <c r="BL323" s="39"/>
      <c r="BM323" s="102"/>
      <c r="BN323" s="39"/>
    </row>
    <row r="324" spans="1:66" hidden="1" x14ac:dyDescent="0.25">
      <c r="A324" s="122">
        <v>92700274</v>
      </c>
      <c r="B324" s="122"/>
      <c r="C324" s="102"/>
      <c r="D324" s="102"/>
      <c r="E324" s="39"/>
      <c r="F324" s="29"/>
      <c r="G324" s="29"/>
      <c r="H324" s="38"/>
      <c r="I324" s="117"/>
      <c r="J324" s="117"/>
      <c r="K324" s="117"/>
      <c r="L324" s="29"/>
      <c r="M324" s="38"/>
      <c r="N324" s="116"/>
      <c r="O324" s="38"/>
      <c r="P324" s="29"/>
      <c r="Q324" s="116"/>
      <c r="R324" s="116"/>
      <c r="S324" s="116"/>
      <c r="T324" s="38"/>
      <c r="U324" s="38"/>
      <c r="V324" s="47" t="e">
        <f t="shared" ca="1" si="128"/>
        <v>#VALUE!</v>
      </c>
      <c r="W324" s="97"/>
      <c r="X324" s="38"/>
      <c r="Y324" s="38"/>
      <c r="Z324" s="38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54">
        <v>0</v>
      </c>
      <c r="AL324" s="116"/>
      <c r="AM324" s="116"/>
      <c r="AN324" s="116"/>
      <c r="AO324" s="116"/>
      <c r="AP324" s="36"/>
      <c r="AQ324" s="116"/>
      <c r="AR324" s="36"/>
      <c r="AS324" s="36"/>
      <c r="AT324" s="36"/>
      <c r="AU324" s="36"/>
      <c r="AV324" s="116"/>
      <c r="AW324" s="116"/>
      <c r="AX324" s="116"/>
      <c r="AY324" s="36"/>
      <c r="AZ324" s="38"/>
      <c r="BA324" s="116"/>
      <c r="BB324" s="116"/>
      <c r="BC324" s="116"/>
      <c r="BD324" s="116"/>
      <c r="BE324" s="116"/>
      <c r="BF324" s="116"/>
      <c r="BG324" s="29"/>
      <c r="BH324" s="29"/>
      <c r="BI324" s="38"/>
      <c r="BJ324" s="39"/>
      <c r="BK324" s="39"/>
      <c r="BL324" s="39"/>
      <c r="BM324" s="102"/>
      <c r="BN324" s="39"/>
    </row>
    <row r="325" spans="1:66" hidden="1" x14ac:dyDescent="0.25">
      <c r="A325" s="122">
        <v>92700275</v>
      </c>
      <c r="B325" s="122"/>
      <c r="C325" s="102"/>
      <c r="D325" s="102"/>
      <c r="E325" s="39"/>
      <c r="F325" s="29"/>
      <c r="G325" s="29"/>
      <c r="H325" s="38"/>
      <c r="I325" s="117"/>
      <c r="J325" s="117"/>
      <c r="K325" s="117"/>
      <c r="L325" s="29"/>
      <c r="M325" s="38"/>
      <c r="N325" s="116"/>
      <c r="O325" s="38"/>
      <c r="P325" s="29"/>
      <c r="Q325" s="116"/>
      <c r="R325" s="116"/>
      <c r="S325" s="116"/>
      <c r="T325" s="38"/>
      <c r="U325" s="38"/>
      <c r="V325" s="47" t="e">
        <f t="shared" ca="1" si="128"/>
        <v>#VALUE!</v>
      </c>
      <c r="W325" s="97"/>
      <c r="X325" s="38"/>
      <c r="Y325" s="38"/>
      <c r="Z325" s="38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54">
        <v>0</v>
      </c>
      <c r="AL325" s="116"/>
      <c r="AM325" s="116"/>
      <c r="AN325" s="116"/>
      <c r="AO325" s="116"/>
      <c r="AP325" s="36"/>
      <c r="AQ325" s="116"/>
      <c r="AR325" s="36"/>
      <c r="AS325" s="36"/>
      <c r="AT325" s="36"/>
      <c r="AU325" s="36"/>
      <c r="AV325" s="116"/>
      <c r="AW325" s="116"/>
      <c r="AX325" s="116"/>
      <c r="AY325" s="36"/>
      <c r="AZ325" s="38"/>
      <c r="BA325" s="116"/>
      <c r="BB325" s="116"/>
      <c r="BC325" s="116"/>
      <c r="BD325" s="116"/>
      <c r="BE325" s="116"/>
      <c r="BF325" s="116"/>
      <c r="BG325" s="29"/>
      <c r="BH325" s="29"/>
      <c r="BI325" s="38"/>
      <c r="BJ325" s="39"/>
      <c r="BK325" s="39"/>
      <c r="BL325" s="39"/>
      <c r="BM325" s="102"/>
      <c r="BN325" s="39"/>
    </row>
    <row r="326" spans="1:66" hidden="1" x14ac:dyDescent="0.25">
      <c r="A326" s="122">
        <v>92700276</v>
      </c>
      <c r="B326" s="122"/>
      <c r="C326" s="102"/>
      <c r="D326" s="102"/>
      <c r="E326" s="39"/>
      <c r="F326" s="29"/>
      <c r="G326" s="29"/>
      <c r="H326" s="38"/>
      <c r="I326" s="117"/>
      <c r="J326" s="117"/>
      <c r="K326" s="117"/>
      <c r="L326" s="29"/>
      <c r="M326" s="38"/>
      <c r="N326" s="116"/>
      <c r="O326" s="38"/>
      <c r="P326" s="29"/>
      <c r="Q326" s="116"/>
      <c r="R326" s="116"/>
      <c r="S326" s="116"/>
      <c r="T326" s="38"/>
      <c r="U326" s="38"/>
      <c r="V326" s="38"/>
      <c r="W326" s="97"/>
      <c r="X326" s="38"/>
      <c r="Y326" s="38"/>
      <c r="Z326" s="38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54">
        <v>0</v>
      </c>
      <c r="AL326" s="116"/>
      <c r="AM326" s="116"/>
      <c r="AN326" s="116"/>
      <c r="AO326" s="116"/>
      <c r="AP326" s="36"/>
      <c r="AQ326" s="116"/>
      <c r="AR326" s="36"/>
      <c r="AS326" s="36"/>
      <c r="AT326" s="36"/>
      <c r="AU326" s="36"/>
      <c r="AV326" s="116"/>
      <c r="AW326" s="116"/>
      <c r="AX326" s="116"/>
      <c r="AY326" s="36"/>
      <c r="AZ326" s="38"/>
      <c r="BA326" s="116"/>
      <c r="BB326" s="116"/>
      <c r="BC326" s="116"/>
      <c r="BD326" s="116"/>
      <c r="BE326" s="116"/>
      <c r="BF326" s="116"/>
      <c r="BG326" s="29"/>
      <c r="BH326" s="29"/>
      <c r="BI326" s="38"/>
      <c r="BJ326" s="39"/>
      <c r="BK326" s="39"/>
      <c r="BL326" s="39"/>
      <c r="BM326" s="102"/>
      <c r="BN326" s="126"/>
    </row>
  </sheetData>
  <hyperlinks>
    <hyperlink ref="BG50" r:id="rId1" xr:uid="{8ED95AF2-4D53-4FA9-B6EB-91E35C08CCD0}"/>
    <hyperlink ref="BG51" r:id="rId2" xr:uid="{79AE8160-0BB7-454E-91ED-75D7D0DB1C84}"/>
    <hyperlink ref="BH22" r:id="rId3" xr:uid="{F51ADD55-9280-4BB2-B532-243C459997C3}"/>
    <hyperlink ref="BH27" r:id="rId4" xr:uid="{78698FFA-4138-427C-B009-1EB7719EF598}"/>
    <hyperlink ref="BH28" r:id="rId5" xr:uid="{44D3C5E1-DC1F-4875-8FBE-11F3CC54552F}"/>
    <hyperlink ref="BH45" r:id="rId6" xr:uid="{67A5ED67-0277-4CE9-BC9D-3CD339ED60E5}"/>
    <hyperlink ref="BH52" r:id="rId7" xr:uid="{9C2F8AA3-DDC5-4700-B4C2-9F37980C7B66}"/>
    <hyperlink ref="BG47" r:id="rId8" xr:uid="{4591AD07-EF81-4646-BD1B-94680AB6D095}"/>
    <hyperlink ref="BG168" r:id="rId9" xr:uid="{C6AF288F-7109-4AC6-A864-1355CCD4B751}"/>
    <hyperlink ref="BG170" r:id="rId10" xr:uid="{BCBB97B4-CD1D-4ED7-B76F-C297A137D5E7}"/>
    <hyperlink ref="BG65" r:id="rId11" xr:uid="{AE26408B-4762-4020-9ECC-84C02066D38F}"/>
    <hyperlink ref="BG131" r:id="rId12" xr:uid="{E9E97626-9A44-400F-BED7-F772C7C74A8F}"/>
    <hyperlink ref="BG3" r:id="rId13" xr:uid="{72E18C42-17DF-4345-81AD-2F9AE875B580}"/>
    <hyperlink ref="BG5" r:id="rId14" xr:uid="{2D265383-22F8-4264-B5EE-944EDA696166}"/>
    <hyperlink ref="BG12" r:id="rId15" xr:uid="{7A066EB8-E381-45FA-9E21-35019B2E00CC}"/>
    <hyperlink ref="BG18" r:id="rId16" xr:uid="{95198CD8-8D57-44F4-9E23-7AE429AD1771}"/>
    <hyperlink ref="BG21" r:id="rId17" xr:uid="{D4CABBC0-94DD-45D5-A365-FDEEF74945B6}"/>
    <hyperlink ref="BG45" r:id="rId18" xr:uid="{E07DB31F-131F-4D54-952C-2DCBEB3FF602}"/>
    <hyperlink ref="BG38" r:id="rId19" xr:uid="{CC47854E-3C85-4FED-BA10-77C812044017}"/>
    <hyperlink ref="BG19" r:id="rId20" xr:uid="{078D9D91-1246-48ED-B028-3CD2EC0F3862}"/>
    <hyperlink ref="BG43" r:id="rId21" xr:uid="{1BA4B8B0-1840-4DA3-8017-C4820D9D2E59}"/>
    <hyperlink ref="BG4" r:id="rId22" xr:uid="{904C4731-B02E-4942-B2B4-138423BAE737}"/>
    <hyperlink ref="BG142" r:id="rId23" xr:uid="{197796AF-7790-40BD-B805-8FEEAF59D485}"/>
    <hyperlink ref="BG70" r:id="rId24" xr:uid="{670FE956-6E28-4797-B47C-8F6BD745E9E7}"/>
    <hyperlink ref="BG120" r:id="rId25" xr:uid="{2EB2770B-4F3B-4FD1-A6DF-28BACF0AF348}"/>
    <hyperlink ref="BG124" r:id="rId26" xr:uid="{C94C6642-D4CD-48EC-B593-80BD61D32D49}"/>
    <hyperlink ref="BG175" r:id="rId27" xr:uid="{ECFFFE4C-5777-4E43-BAFE-223A3EB4ED8E}"/>
    <hyperlink ref="BH168" r:id="rId28" xr:uid="{CE4AE7DE-27C9-4038-91EB-84CDEC61CDCA}"/>
    <hyperlink ref="BH175" r:id="rId29" xr:uid="{D1EE2A6B-7650-4EF0-8F69-6BC06D36FBAE}"/>
    <hyperlink ref="BG123" r:id="rId30" xr:uid="{0B11B623-04CE-477D-9035-67118AE49848}"/>
    <hyperlink ref="BH176" r:id="rId31" xr:uid="{B230A176-2FA2-4669-B297-310197E258C8}"/>
    <hyperlink ref="BH178" r:id="rId32" xr:uid="{A7DC89ED-91A1-4FCA-BC3B-0F5A0794C2FD}"/>
    <hyperlink ref="BH179" r:id="rId33" xr:uid="{0C0D0D6D-714F-474F-BF30-7E3A6408469A}"/>
    <hyperlink ref="BG48" r:id="rId34" xr:uid="{B404132F-BD97-45DB-B76C-33330C561B71}"/>
    <hyperlink ref="BH180" r:id="rId35" xr:uid="{4561DB2A-CAB5-49D9-98C5-2B0E7237C9F4}"/>
    <hyperlink ref="BH181" r:id="rId36" xr:uid="{DFA41E26-DA0F-4694-A0D1-FAB61E8FC7F2}"/>
    <hyperlink ref="BG136" r:id="rId37" xr:uid="{9B17F21F-396D-4A65-93E1-3BBAF78061E9}"/>
    <hyperlink ref="BH136" r:id="rId38" xr:uid="{8F129813-4BA1-46CF-999E-C31D879F6031}"/>
    <hyperlink ref="BH111" r:id="rId39" xr:uid="{E4C846B7-907E-469D-8CAE-26DAD620EE12}"/>
    <hyperlink ref="BH2" r:id="rId40" xr:uid="{99D573CB-2412-4168-B160-2C64B711EF19}"/>
    <hyperlink ref="BH36" r:id="rId41" xr:uid="{B862341E-CABD-4D59-8721-68AFB68E6314}"/>
    <hyperlink ref="BH8" r:id="rId42" xr:uid="{FC113247-7824-4461-83AB-B6F110B898B2}"/>
    <hyperlink ref="BG8" r:id="rId43" xr:uid="{56254834-2FDA-48B3-B890-8CA3628E8EE6}"/>
    <hyperlink ref="BH62" r:id="rId44" xr:uid="{09E76059-2877-4502-8574-32B6D60CC089}"/>
    <hyperlink ref="BH35" r:id="rId45" xr:uid="{E5199E47-0415-4256-A91E-33FDC3EFE945}"/>
    <hyperlink ref="BH75" r:id="rId46" xr:uid="{B9632453-FD2A-4561-A080-412B1E6BB349}"/>
    <hyperlink ref="BH49" r:id="rId47" xr:uid="{58E59CBC-67EA-417E-8E07-B92E621A66DC}"/>
    <hyperlink ref="BG152" r:id="rId48" xr:uid="{BC4B55C5-2EA5-4946-A044-387457875728}"/>
    <hyperlink ref="BH152" r:id="rId49" xr:uid="{F29F3B37-E399-428A-9351-F4393A7A75A2}"/>
    <hyperlink ref="BH42" r:id="rId50" xr:uid="{30ECCD9F-8CC9-49A0-B4A0-DF7A8594C7BB}"/>
    <hyperlink ref="BG42" r:id="rId51" xr:uid="{511DCB2F-816B-4224-9884-323AA1EF5E6E}"/>
    <hyperlink ref="BH68" r:id="rId52" xr:uid="{7594305A-1157-4F60-A31A-BD9DBE3BC45E}"/>
    <hyperlink ref="BG68" r:id="rId53" xr:uid="{FE9B289D-506C-49D3-BCAB-324EBFFDE82C}"/>
    <hyperlink ref="BG28" r:id="rId54" xr:uid="{C5918E17-1E07-4D66-B6F2-A41E27910D12}"/>
    <hyperlink ref="BH11" r:id="rId55" xr:uid="{194F7DA4-F79F-4913-93B9-A03C223A3A41}"/>
    <hyperlink ref="BG11" r:id="rId56" xr:uid="{19706F63-DC74-4F82-A984-5DCC0BC5DAE4}"/>
    <hyperlink ref="BH93" r:id="rId57" xr:uid="{BC335B8F-4943-4BDB-A5B8-8226B140D27F}"/>
    <hyperlink ref="BG93" r:id="rId58" xr:uid="{1C71821D-B2EE-4CAE-B9BD-A37CE4D16190}"/>
    <hyperlink ref="BH117" r:id="rId59" xr:uid="{AF840389-AA51-4302-BDC1-1F64F3CB650C}"/>
    <hyperlink ref="BG85" r:id="rId60" xr:uid="{C3CD1AAC-2E48-4917-9DA0-8D452770B5C8}"/>
    <hyperlink ref="BH85" r:id="rId61" xr:uid="{A4867278-3F18-47B2-BEE5-8F990D31B82E}"/>
    <hyperlink ref="BH81" r:id="rId62" xr:uid="{2816700B-D3DA-46BE-87E1-A0528BD2245A}"/>
    <hyperlink ref="BH108" r:id="rId63" xr:uid="{A208353D-D3D3-4699-8D37-8B4E365E3B75}"/>
    <hyperlink ref="BG108" r:id="rId64" xr:uid="{CF53F389-BA74-4165-B8A3-7C181C806CB8}"/>
    <hyperlink ref="BH139" r:id="rId65" xr:uid="{52B7EE4D-AD7D-42D3-A8E3-B9F73589B29B}"/>
    <hyperlink ref="BG139" r:id="rId66" xr:uid="{F2CED5D4-CFD5-42B9-B48B-4EEA0A73F89D}"/>
    <hyperlink ref="BG111" r:id="rId67" xr:uid="{C17355F0-83A9-4D29-A7A2-46DB97FA9109}"/>
    <hyperlink ref="BH59" r:id="rId68" xr:uid="{55CA2818-9392-44D5-B116-0754AB830D3E}"/>
    <hyperlink ref="BG59" r:id="rId69" xr:uid="{1A9F7212-EFC2-4C1D-B2FB-73C7A54724B2}"/>
    <hyperlink ref="BG2" r:id="rId70" xr:uid="{95D4BFBC-9BFD-432A-BFD1-F6C7D1B5A598}"/>
    <hyperlink ref="BG151" r:id="rId71" xr:uid="{AC24E2DD-4590-41CF-ACF9-57445B750DC7}"/>
    <hyperlink ref="BH151" r:id="rId72" xr:uid="{B526B459-AA82-4A9F-8020-B86A1BC36E53}"/>
    <hyperlink ref="BG128" r:id="rId73" xr:uid="{394CF693-C563-4E97-8A5C-8E569805AB3F}"/>
    <hyperlink ref="BH128" r:id="rId74" xr:uid="{B3E375AE-7FFC-4908-80FB-073393436CFA}"/>
    <hyperlink ref="BH148" r:id="rId75" xr:uid="{2BBE8405-743E-4EE4-8830-71EE835F6E89}"/>
    <hyperlink ref="BG148" r:id="rId76" xr:uid="{6E023BD0-49E1-48F8-96AC-B2931DC50CFD}"/>
    <hyperlink ref="BG141" r:id="rId77" xr:uid="{0FB89EF4-E2EE-4361-8138-E214E97EC29F}"/>
    <hyperlink ref="BH141" r:id="rId78" xr:uid="{7F211DDF-AF8C-41D1-A2E4-A2C4DBCCF28F}"/>
    <hyperlink ref="BH145" r:id="rId79" xr:uid="{73BE2921-FD66-4B4F-A8E6-CF81052D5FE6}"/>
    <hyperlink ref="BG145" r:id="rId80" xr:uid="{0CFA401E-93E2-4E9F-A3A1-C4B5585969EA}"/>
    <hyperlink ref="BH96" r:id="rId81" xr:uid="{15721532-32E1-4437-877D-ABAB8C27F3F9}"/>
    <hyperlink ref="BG96" r:id="rId82" xr:uid="{C9D15ED1-8E33-4F40-B27E-11C698AFF7E3}"/>
    <hyperlink ref="BH55" r:id="rId83" xr:uid="{99EA0A09-B237-4EFA-A028-E2947B38C291}"/>
    <hyperlink ref="BG55" r:id="rId84" xr:uid="{1046ECA5-4ECA-4C0D-A415-713ACB0E95FD}"/>
    <hyperlink ref="BG56" r:id="rId85" xr:uid="{6404568B-F54E-4074-A29F-A872CEF72D37}"/>
    <hyperlink ref="BH57" r:id="rId86" xr:uid="{71FE754F-3081-4217-B163-EA8ACF80F9BC}"/>
    <hyperlink ref="BG22" r:id="rId87" xr:uid="{A5361B14-2253-469D-8266-3BDB97E6FA22}"/>
    <hyperlink ref="BH6" r:id="rId88" xr:uid="{D4459CDB-CC04-4A72-87BD-68CBD799F30F}"/>
    <hyperlink ref="BG6" r:id="rId89" xr:uid="{4402D6C2-DE57-4CCF-9AA4-0898F9FB52BE}"/>
    <hyperlink ref="BH46" r:id="rId90" xr:uid="{CB775CA7-D94E-459A-8CCD-8BA8CB688E54}"/>
    <hyperlink ref="BG46" r:id="rId91" xr:uid="{A9D99826-B9DB-4D41-94AE-DB79DB12AA21}"/>
    <hyperlink ref="BH37" r:id="rId92" xr:uid="{F883864C-37D1-44E7-9241-18E87C09542B}"/>
    <hyperlink ref="BG37" r:id="rId93" xr:uid="{01775394-9509-44C7-A248-F81B4CD00090}"/>
    <hyperlink ref="BG180" r:id="rId94" xr:uid="{1CE00550-5705-4AAD-B77A-9CE192FB9501}"/>
    <hyperlink ref="BG179" r:id="rId95" xr:uid="{FCEBE9FC-A820-4DC7-8D39-2DD7AF77EB8D}"/>
    <hyperlink ref="BG178" r:id="rId96" xr:uid="{222EFDE0-3A6D-4CC0-BFCA-18985CDB144D}"/>
    <hyperlink ref="BG176" r:id="rId97" xr:uid="{0A918BBD-88BF-4034-9AEE-64945287A0A3}"/>
    <hyperlink ref="BH160" r:id="rId98" xr:uid="{545EA159-3328-43E7-998A-EF5FDFDE531B}"/>
    <hyperlink ref="BG160" r:id="rId99" xr:uid="{E3A4152B-EFA0-46C7-86F1-A28BC404FE8D}"/>
    <hyperlink ref="BG164" r:id="rId100" xr:uid="{885D0082-B8E9-4A72-B8B9-6A3047C049BE}"/>
    <hyperlink ref="BH164" r:id="rId101" xr:uid="{22E11363-5BE8-4110-A323-4D425FD84D2B}"/>
    <hyperlink ref="BH156" r:id="rId102" xr:uid="{8DE9018E-C553-435B-8D1E-18AE1E44CE03}"/>
    <hyperlink ref="BG156" r:id="rId103" xr:uid="{C5690E17-7F17-49FB-8756-379AD4D2A053}"/>
    <hyperlink ref="BG165" r:id="rId104" xr:uid="{BBA07452-BD54-4AF9-89E0-5874849F484E}"/>
    <hyperlink ref="BH165" r:id="rId105" xr:uid="{ED3496E2-DAB5-4984-9CC2-65FAB342CD8C}"/>
    <hyperlink ref="BG167" r:id="rId106" xr:uid="{5F13C5E9-B73B-4516-A4EF-98EB6A87ACDB}"/>
    <hyperlink ref="BH167" r:id="rId107" xr:uid="{E6DD4C6F-A146-43A0-815E-A6621EFF390D}"/>
    <hyperlink ref="BH170" r:id="rId108" xr:uid="{99022EBB-EAEF-4EE0-9476-BF3ECFC368F9}"/>
    <hyperlink ref="BH185" r:id="rId109" xr:uid="{492C64C7-4967-4ADA-AFFB-9B41F0F0DD3C}"/>
    <hyperlink ref="BH186" r:id="rId110" xr:uid="{6EAC7760-4751-44BB-90E8-B602EEAB6C5D}"/>
    <hyperlink ref="BH112" r:id="rId111" xr:uid="{854E43FE-0D87-47A2-88F1-B67A9E53563E}"/>
    <hyperlink ref="BG112" r:id="rId112" xr:uid="{459BB7F6-616B-4352-AC98-A1BD6A1360E2}"/>
    <hyperlink ref="BH133" r:id="rId113" xr:uid="{6DC7EE05-AB54-4E31-9823-BCCB52AF0005}"/>
    <hyperlink ref="BG172" r:id="rId114" xr:uid="{A4C3FEEB-E95F-4D7F-8C30-9EF09BAEFEBC}"/>
    <hyperlink ref="BH172" r:id="rId115" xr:uid="{AA3E41EB-8819-4B71-BCD1-FB5630B69759}"/>
    <hyperlink ref="BH102" r:id="rId116" xr:uid="{5BFFD905-4211-4D89-9F01-C14D8760C2F1}"/>
    <hyperlink ref="BG102" r:id="rId117" xr:uid="{5F19AA81-E78F-4621-90B3-634F6129B38F}"/>
    <hyperlink ref="BG185" r:id="rId118" xr:uid="{5FC0C02D-D526-4AAA-AE72-F3E250DF764A}"/>
    <hyperlink ref="BG186" r:id="rId119" xr:uid="{F23CBDB3-8232-49EC-98BB-D93F5D0F3AC4}"/>
    <hyperlink ref="BG169" r:id="rId120" xr:uid="{B921936B-1D02-4383-BD46-C556F32E2839}"/>
    <hyperlink ref="BH169" r:id="rId121" xr:uid="{3E0F36BC-05CF-46FB-AD6B-534073224305}"/>
    <hyperlink ref="BH29" r:id="rId122" xr:uid="{7C13B17B-83CE-4F11-B8A3-ACCBB7BE71A9}"/>
    <hyperlink ref="BG29" r:id="rId123" xr:uid="{92913657-CB4E-4528-A385-E10ECA3AC218}"/>
    <hyperlink ref="BH155" r:id="rId124" xr:uid="{6E611547-FCBB-43A1-AA46-51349247F57C}"/>
    <hyperlink ref="BH192" r:id="rId125" xr:uid="{BF7D751C-90C4-414D-9F93-0181C10E1870}"/>
    <hyperlink ref="BH188" r:id="rId126" xr:uid="{906188E2-A9B3-44B8-B44D-67603172F26A}"/>
    <hyperlink ref="BG188" r:id="rId127" xr:uid="{98952000-A63B-40CC-88DD-F45826D022BE}"/>
    <hyperlink ref="BH193" r:id="rId128" xr:uid="{F7EA1899-4BE9-446F-ABC0-51B3EE5E7970}"/>
    <hyperlink ref="BH194" r:id="rId129" xr:uid="{E79DC26E-EE1B-47A2-9ECE-D77BFF7D4C9D}"/>
    <hyperlink ref="BH196" r:id="rId130" xr:uid="{3CE5837E-E4AC-45E5-A67D-E0B3A18DF306}"/>
    <hyperlink ref="BH58" r:id="rId131" xr:uid="{053C1161-F06A-45B3-BB4C-53CABEE5AF55}"/>
    <hyperlink ref="BG129" r:id="rId132" xr:uid="{E9DDF512-1E27-46BC-915D-0027C5D365AA}"/>
    <hyperlink ref="BH129" r:id="rId133" xr:uid="{7FA0C134-7E4D-42A3-B61F-770DABED9533}"/>
    <hyperlink ref="BH30" r:id="rId134" xr:uid="{B119A9D2-AB73-4935-A41D-26D57D7FF742}"/>
    <hyperlink ref="BG30" r:id="rId135" xr:uid="{6638F3AD-10E4-4E45-A7FC-A063A2C9392B}"/>
    <hyperlink ref="BH63" r:id="rId136" xr:uid="{C36420D7-47B2-406B-A825-40634693AC4F}"/>
    <hyperlink ref="BH76" r:id="rId137" xr:uid="{BD476F8F-67DD-4898-BF7D-ECE14A6D34CE}"/>
    <hyperlink ref="BH82" r:id="rId138" xr:uid="{087F44F7-75B4-4AED-819F-23EBC0D9C49E}"/>
    <hyperlink ref="BH94" r:id="rId139" xr:uid="{BE513B47-6D85-4391-A241-0340572B7717}"/>
    <hyperlink ref="BG94" r:id="rId140" xr:uid="{638561E3-0AEF-4FFF-9572-CCEF12ACE466}"/>
    <hyperlink ref="BH103" r:id="rId141" xr:uid="{D9D30372-4C94-4202-B5E6-AFF85541514B}"/>
    <hyperlink ref="BG103" r:id="rId142" xr:uid="{0C12B5F5-3595-456E-B486-A46BC0E9B69B}"/>
    <hyperlink ref="BH113" r:id="rId143" xr:uid="{13072223-7A5E-4FC8-8631-C39492529D3B}"/>
    <hyperlink ref="BG113" r:id="rId144" xr:uid="{29E01A4E-2900-4174-87F6-FA1238222C33}"/>
    <hyperlink ref="BH118" r:id="rId145" xr:uid="{147806BA-E5AD-4431-AEAA-7C2EBFA996A8}"/>
    <hyperlink ref="BH134" r:id="rId146" xr:uid="{5330F557-1D9C-4A20-94BC-CD0FD52394DC}"/>
    <hyperlink ref="BH161" r:id="rId147" xr:uid="{E4A0DE9C-A3E2-49C9-B65A-8ADBE42C5058}"/>
    <hyperlink ref="BG161" r:id="rId148" xr:uid="{F5A7972F-9553-487A-9074-2418FBB9C7E9}"/>
    <hyperlink ref="BG166" r:id="rId149" xr:uid="{BA599D4B-A0FC-44E2-B889-51AA3DC56236}"/>
    <hyperlink ref="BH166" r:id="rId150" xr:uid="{612BAD8A-996A-4757-A9C2-93326CD4A9BA}"/>
    <hyperlink ref="BG171" r:id="rId151" xr:uid="{CB6E6733-061B-48DF-9FA1-6D7CBCE163B2}"/>
    <hyperlink ref="BH171" r:id="rId152" xr:uid="{BE6B63F7-4ED5-4BD4-8D64-DA9BDDAE0D5E}"/>
    <hyperlink ref="BG173" r:id="rId153" xr:uid="{FCA51438-6705-4383-A2FB-4EC144F31C9A}"/>
    <hyperlink ref="BH173" r:id="rId154" xr:uid="{71CD62A8-4AFF-43F3-AE32-8BF63DE6603E}"/>
    <hyperlink ref="BH177" r:id="rId155" xr:uid="{F2636E07-1CBD-4BE9-94E8-76DFA1BF63FF}"/>
    <hyperlink ref="BG177" r:id="rId156" xr:uid="{26E4C735-9CEC-486F-A63B-503194371896}"/>
    <hyperlink ref="BH182" r:id="rId157" xr:uid="{E9D372F8-8547-4E9F-AC97-622EB4DC7A47}"/>
    <hyperlink ref="BH187" r:id="rId158" xr:uid="{51B5B805-4965-468D-8E3B-205D79F1F9A6}"/>
    <hyperlink ref="BG187" r:id="rId159" xr:uid="{8A2089E2-2871-47B5-93CD-3F8C8AE6EC3C}"/>
    <hyperlink ref="BG153" r:id="rId160" xr:uid="{B7232A43-07FD-4EFD-9273-0A408DDDD807}"/>
    <hyperlink ref="BH153" r:id="rId161" xr:uid="{573BCDEA-2977-4676-A885-4000C83FAB15}"/>
    <hyperlink ref="BH157" r:id="rId162" xr:uid="{29C2B344-99E6-4296-9A44-B0E2087BEC35}"/>
    <hyperlink ref="BG157" r:id="rId163" xr:uid="{E7F169C9-15D2-4C13-874B-73ABA13504F2}"/>
    <hyperlink ref="BG193" r:id="rId164" xr:uid="{A9DE4525-9CB4-4284-8EDF-8682400082D0}"/>
    <hyperlink ref="BG192" r:id="rId165" xr:uid="{D0871C1D-282C-4B0E-95BC-A1FD3AC68FE8}"/>
    <hyperlink ref="BG194" r:id="rId166" xr:uid="{1994F753-35DA-4306-A584-1F545980F568}"/>
    <hyperlink ref="BG196" r:id="rId167" xr:uid="{2AE17074-D735-4E5B-8A25-7E02E894F4C7}"/>
    <hyperlink ref="BH197" r:id="rId168" xr:uid="{EAE2DEF3-7C46-4F80-977D-4290F03DC48F}"/>
    <hyperlink ref="BH25" r:id="rId169" xr:uid="{0BEDC451-2204-44A4-A0EC-89C9E809BF04}"/>
    <hyperlink ref="BH65" r:id="rId170" xr:uid="{AD15EFEE-9B96-47A4-A9CD-3CD8ED6E2FBB}"/>
    <hyperlink ref="BH199" r:id="rId171" xr:uid="{6D70A4C2-6E49-45C5-9455-7662A356AB0C}"/>
    <hyperlink ref="BG197" r:id="rId172" xr:uid="{DA1E5B2B-D025-4881-938A-D4FEAD7B4C44}"/>
    <hyperlink ref="BG199" r:id="rId173" xr:uid="{0D01C2A8-A5D9-42B3-A033-CD88A95014C3}"/>
    <hyperlink ref="BH198" r:id="rId174" xr:uid="{A1AD79EC-1057-446E-B242-47279A4DEE6F}"/>
    <hyperlink ref="BG198" r:id="rId175" xr:uid="{80347CBD-1A9A-4F58-B9C8-038F6C18B0FD}"/>
    <hyperlink ref="BH200" r:id="rId176" xr:uid="{B0DD260B-D7D8-4C0D-9861-CE3D924A6047}"/>
    <hyperlink ref="BH201" r:id="rId177" xr:uid="{F772E2A7-B91C-479F-9961-ABFE736814DD}"/>
    <hyperlink ref="BH7" r:id="rId178" xr:uid="{E4FCDBDC-0C0A-42BA-85C3-C5BD7ABEFD45}"/>
    <hyperlink ref="BG7" r:id="rId179" xr:uid="{B8F859BE-69CE-4EB0-BB3C-AB3E35515EEC}"/>
    <hyperlink ref="BH183" r:id="rId180" xr:uid="{1A77D43C-8662-48ED-9C37-9D3D3ABA5D87}"/>
    <hyperlink ref="BH202" r:id="rId181" xr:uid="{9D0A53C2-7B17-44EB-A06C-E644C1387506}"/>
    <hyperlink ref="BG181" r:id="rId182" xr:uid="{FA8EA4EF-C042-4F30-B94E-52B9E184EAF1}"/>
    <hyperlink ref="BG189" r:id="rId183" xr:uid="{F3241423-BBA0-4014-B248-374CBF65620F}"/>
    <hyperlink ref="BH206" r:id="rId184" xr:uid="{A9C49929-F523-4AB0-B538-82C2AF63353F}"/>
    <hyperlink ref="BH207" r:id="rId185" xr:uid="{6DE74345-4426-4DAE-8DD0-9F848F88A0D3}"/>
    <hyperlink ref="BG200" r:id="rId186" xr:uid="{4AC44FEF-32B4-45E1-8F73-C6196B422F18}"/>
    <hyperlink ref="BG206" r:id="rId187" xr:uid="{4720254D-3998-42C9-BD7A-8A3955A7FBC8}"/>
    <hyperlink ref="BG201" r:id="rId188" xr:uid="{3CE3D17D-0725-4BEC-A44C-C9BA90A9C5F7}"/>
    <hyperlink ref="BG202" r:id="rId189" xr:uid="{27FF750E-B172-4929-AD15-B7983F57A0BE}"/>
    <hyperlink ref="BH71" r:id="rId190" xr:uid="{3C4A1E34-47F9-4B92-8CD6-3079324A3365}"/>
    <hyperlink ref="BH208" r:id="rId191" xr:uid="{CDE8D0BE-9EC5-4880-8735-9D194D9BE4EA}"/>
    <hyperlink ref="BH209" r:id="rId192" xr:uid="{20322D53-4654-4129-AEDE-D353920123FA}"/>
    <hyperlink ref="BH210" r:id="rId193" xr:uid="{3BE5E2F4-313A-4036-9611-F815C98E22D2}"/>
    <hyperlink ref="BH211" r:id="rId194" xr:uid="{89C7C8B4-43C3-4BDB-8D8D-CB5F5E652EA1}"/>
    <hyperlink ref="BH212" r:id="rId195" xr:uid="{71FF0FD2-C64C-4286-8CC5-89CA0FB0BB71}"/>
    <hyperlink ref="BH213" r:id="rId196" xr:uid="{4E80FC72-2C33-44BA-AF5E-0D098CECF9B3}"/>
    <hyperlink ref="BH219" r:id="rId197" xr:uid="{74C005BB-E9E2-4EC1-BF20-9647C9858209}"/>
    <hyperlink ref="BH224" r:id="rId198" xr:uid="{DE9DADC2-26B7-490A-8F71-6406ABDEB7AD}"/>
    <hyperlink ref="BH225" r:id="rId199" xr:uid="{AE2B5D13-B2C9-4122-A72D-C1C4A7F37EC2}"/>
    <hyperlink ref="BH215" r:id="rId200" xr:uid="{702C96A6-CAE6-42BA-8BBB-A5405D4C336F}"/>
    <hyperlink ref="BH217" r:id="rId201" xr:uid="{FD7981EB-D537-4E65-BCF0-D22771A5B56D}"/>
    <hyperlink ref="BH226" r:id="rId202" xr:uid="{451F7A06-BA81-48DB-B1FD-7009D6018F98}"/>
    <hyperlink ref="BH228" r:id="rId203" xr:uid="{EFFD537B-1BB5-446B-A47E-A2F95AF7A97A}"/>
    <hyperlink ref="BH232" r:id="rId204" xr:uid="{E3102BC3-AE11-43FC-81B1-D2CD82FD271B}"/>
    <hyperlink ref="BH214" r:id="rId205" xr:uid="{461B4EAD-B70F-4407-9092-1AF59898ECDF}"/>
    <hyperlink ref="BH222" r:id="rId206" xr:uid="{836A6412-FCC1-4D3D-BCDA-358AB951A2E3}"/>
    <hyperlink ref="BH239" r:id="rId207" xr:uid="{D2DEEB86-CBE2-4AE4-BCFE-304729E0FECE}"/>
    <hyperlink ref="BH240" r:id="rId208" xr:uid="{08211B07-2E6F-40D5-A722-8E5B3EE6755C}"/>
    <hyperlink ref="BH242" r:id="rId209" xr:uid="{ECED397E-65AD-4BDA-BBC6-EB958B7D979A}"/>
    <hyperlink ref="BH245" r:id="rId210" xr:uid="{4B1CFDBF-F89C-4DB1-88EF-66CB4482E668}"/>
    <hyperlink ref="BH235" r:id="rId211" xr:uid="{B98C670D-5B28-48B2-B6B3-00E4C8D85EF7}"/>
    <hyperlink ref="BH247" r:id="rId212" xr:uid="{FF81C8AC-6A0A-4DD6-ACAF-17747BB7388E}"/>
    <hyperlink ref="BH253" r:id="rId213" xr:uid="{90FA1AA9-99AF-4B81-9ABE-B75B39DCB3BA}"/>
    <hyperlink ref="BH254" r:id="rId214" xr:uid="{6D395469-C6BD-4CC6-9AAD-C7390DABD374}"/>
    <hyperlink ref="BH256" r:id="rId215" xr:uid="{7E720C36-46BD-464C-A64C-3A87D119E0F1}"/>
    <hyperlink ref="BH257" r:id="rId216" xr:uid="{76AEB5E3-7B4A-488C-A20C-ABAFED78E5A3}"/>
    <hyperlink ref="BH258" r:id="rId217" xr:uid="{8AEBB389-724A-4BFE-8A2D-65A2754C652C}"/>
    <hyperlink ref="BH259" r:id="rId218" xr:uid="{FE1C64DC-BDC4-403B-9C5C-3C416A347DE3}"/>
    <hyperlink ref="BH261" r:id="rId219" xr:uid="{B86A8894-ACF7-4F14-9E88-01C8D7B5C300}"/>
    <hyperlink ref="BH263" r:id="rId220" xr:uid="{BEDDB3C7-4F40-4711-8956-54329BB997E1}"/>
    <hyperlink ref="BH268" r:id="rId221" xr:uid="{90F5B0C2-9EBE-4CA4-9C74-ABF8C1F16386}"/>
    <hyperlink ref="BH269" r:id="rId222" xr:uid="{B480AAED-9DCA-4D0A-96E0-52ED7B9FAC89}"/>
    <hyperlink ref="BH252" r:id="rId223" xr:uid="{789527A1-58EF-4CCD-89EE-DD4CCE1F7B16}"/>
    <hyperlink ref="BH248" r:id="rId224" xr:uid="{B65CED61-0438-40F7-82E4-DF9DC6E1FC8E}"/>
    <hyperlink ref="BH260" r:id="rId225" xr:uid="{AAADB077-381D-4862-9004-69A3DAAA6AD3}"/>
    <hyperlink ref="BH265" r:id="rId226" xr:uid="{1DBAB36E-1199-4B35-A411-E4904A552ADB}"/>
    <hyperlink ref="BH264" r:id="rId227" xr:uid="{371E171C-B350-4361-A04F-9DC8A12DF39B}"/>
    <hyperlink ref="BH270" r:id="rId228" xr:uid="{58D2D8CB-7B0B-46E7-BE98-7AFEF3C30928}"/>
    <hyperlink ref="BH273" r:id="rId229" xr:uid="{6C8EB734-5131-4E35-9815-5B421FBBA8BF}"/>
    <hyperlink ref="BH275" r:id="rId230" xr:uid="{A98E23D4-F01E-4E86-B882-434B106DB0EB}"/>
    <hyperlink ref="BH236" r:id="rId231" xr:uid="{8273CEF5-0138-4276-B594-0C30125DA670}"/>
    <hyperlink ref="BG268" r:id="rId232" xr:uid="{F729A096-E06A-42B7-AE64-DC9672CF9A92}"/>
    <hyperlink ref="BG263" r:id="rId233" xr:uid="{FBFA52F4-C1EE-4711-BC22-AF1EB27405CA}"/>
    <hyperlink ref="BG269" r:id="rId234" xr:uid="{CEC3BA9D-003B-48C9-8AFC-D24E1A1966DC}"/>
    <hyperlink ref="BG217" r:id="rId235" xr:uid="{FFEEBA48-F1BC-4943-AC3F-F5B3E77485FC}"/>
    <hyperlink ref="BG242" r:id="rId236" xr:uid="{DE967FAE-55EE-42A4-A9BC-C9CE338209FF}"/>
    <hyperlink ref="BG232" r:id="rId237" xr:uid="{77940B63-FCDE-424F-A7FE-67214A7ED4FB}"/>
    <hyperlink ref="BG228" r:id="rId238" xr:uid="{B0DCE161-AB91-42F6-9CAC-D18BEE8682F8}"/>
    <hyperlink ref="BG219" r:id="rId239" xr:uid="{AC4EA47B-18F0-425A-8DF6-D4D0F0EFE5B2}"/>
    <hyperlink ref="BG239" r:id="rId240" xr:uid="{64F3A22E-7252-4392-9487-948245332B73}"/>
    <hyperlink ref="BG235" r:id="rId241" xr:uid="{CD993937-1E4A-4A2A-8437-34425FE667F0}"/>
    <hyperlink ref="BG236" r:id="rId242" xr:uid="{6DE45094-80D3-494C-91F9-D7CCD4A12031}"/>
    <hyperlink ref="BG224" r:id="rId243" xr:uid="{8817BF09-A828-44B8-ACB3-39365C6D323D}"/>
    <hyperlink ref="BG226" r:id="rId244" xr:uid="{E4F79126-1183-40AC-8D78-A9096783A89B}"/>
    <hyperlink ref="BG225" r:id="rId245" xr:uid="{45DF2842-5D19-4510-950C-2F7221DD4F1E}"/>
    <hyperlink ref="BG211" r:id="rId246" xr:uid="{A9ECA8F1-3675-4DF4-A9B8-1123D0ED4752}"/>
    <hyperlink ref="BG212" r:id="rId247" xr:uid="{1EE2D28C-7E90-4C7D-B2B6-F0751CE971B6}"/>
    <hyperlink ref="BG213" r:id="rId248" xr:uid="{98D9D378-3F9E-4062-A82D-9D7DC6307F15}"/>
    <hyperlink ref="BG214" r:id="rId249" xr:uid="{DE1C0236-8B1D-45A4-8A19-D4C86A4134FE}"/>
    <hyperlink ref="BG248" r:id="rId250" xr:uid="{2185B821-257B-4E0C-8C5D-9C1B81396EF2}"/>
    <hyperlink ref="BG215" r:id="rId251" xr:uid="{581D45E5-6586-4E5B-8170-FB6A378A71CC}"/>
    <hyperlink ref="BG265" r:id="rId252" xr:uid="{B73985E7-C023-465C-B013-5953FA2E48FF}"/>
    <hyperlink ref="BG210" r:id="rId253" xr:uid="{DA2979EB-867C-4F92-B2D2-40193253FE78}"/>
    <hyperlink ref="BH276" r:id="rId254" xr:uid="{C32F6C48-5BFA-45EA-B382-9E5E389CB13A}"/>
    <hyperlink ref="BH277" r:id="rId255" xr:uid="{7DB10970-32F8-4923-9A94-D65A6785D649}"/>
    <hyperlink ref="BH278" r:id="rId256" xr:uid="{D594B643-E6FC-485B-A191-C28A8B00DFA0}"/>
    <hyperlink ref="BH279" r:id="rId257" xr:uid="{F3B4FEF2-6D07-4353-A3DC-1931E3722BF6}"/>
    <hyperlink ref="BH72" r:id="rId258" xr:uid="{67AC7551-D463-41C2-93FC-44BA52AD06C1}"/>
    <hyperlink ref="BH184" r:id="rId259" xr:uid="{0E088C67-B721-4E47-BADB-3F7BD05B2BC2}"/>
    <hyperlink ref="BH203" r:id="rId260" xr:uid="{40D96E29-4FC5-4A84-A103-4D8642409A99}"/>
    <hyperlink ref="BG203" r:id="rId261" xr:uid="{02ADD760-ED48-4A77-BF5D-F403322D272C}"/>
    <hyperlink ref="BH162" r:id="rId262" xr:uid="{3E803108-724A-4FEC-883C-D74E6C4E2998}"/>
    <hyperlink ref="BG162" r:id="rId263" xr:uid="{530C9887-9CB4-4EA6-AA94-3BC4B59740C9}"/>
    <hyperlink ref="BH195" r:id="rId264" xr:uid="{92CF5BBB-E6D9-4CB9-B335-CC478446F701}"/>
    <hyperlink ref="BG195" r:id="rId265" xr:uid="{510265E0-5949-40D5-9CF0-C9D326B01375}"/>
    <hyperlink ref="BH104" r:id="rId266" xr:uid="{0A280A78-EFE7-4F88-B283-9F708DCDD6A1}"/>
    <hyperlink ref="BG104" r:id="rId267" xr:uid="{B43DFA3C-373E-43A7-91FA-A15487BF6F5B}"/>
    <hyperlink ref="BH241" r:id="rId268" xr:uid="{06120676-5038-48EE-B8C5-4981312893AA}"/>
    <hyperlink ref="BH237" r:id="rId269" xr:uid="{BD1D7F2D-E371-4257-BF15-DC9707274B9D}"/>
    <hyperlink ref="BG237" r:id="rId270" xr:uid="{4F308696-DD69-4BDB-8159-65BC23BF303F}"/>
    <hyperlink ref="BH220" r:id="rId271" xr:uid="{F55C8C3E-E6BF-4398-8A3D-AD34EC7B17EA}"/>
    <hyperlink ref="BG220" r:id="rId272" xr:uid="{43F28CCF-78D1-4DB0-8F55-A2F83F321BE8}"/>
    <hyperlink ref="BH223" r:id="rId273" xr:uid="{2C518C12-1757-4232-831E-818C4833D015}"/>
    <hyperlink ref="BH204" r:id="rId274" xr:uid="{8A6BEA6D-D457-4568-AC96-3FE89FC39E4E}"/>
    <hyperlink ref="BG204" r:id="rId275" xr:uid="{EF848E54-E25E-4094-9897-D64E42ABE354}"/>
    <hyperlink ref="BH229" r:id="rId276" xr:uid="{C0E6D60D-B09A-4013-9744-ACD00AD71D2B}"/>
    <hyperlink ref="BG229" r:id="rId277" xr:uid="{050511C5-7805-4EDE-AC9D-C215B77388E8}"/>
    <hyperlink ref="BH163" r:id="rId278" xr:uid="{28F0DD25-8480-4F47-8E0E-B3B3D07C6032}"/>
    <hyperlink ref="BG163" r:id="rId279" xr:uid="{FE5AE3F3-AE14-49F2-BFAB-1DFA0638C39A}"/>
    <hyperlink ref="BH233" r:id="rId280" xr:uid="{53DC4C88-B4B6-41AE-86A0-7E827884FB5C}"/>
    <hyperlink ref="BG233" r:id="rId281" xr:uid="{B5E671A2-D297-45DF-ABDD-4C1F0C8500A9}"/>
    <hyperlink ref="BH218" r:id="rId282" xr:uid="{FE854556-F53D-413F-B074-FCAFC5A4CC3D}"/>
    <hyperlink ref="BG218" r:id="rId283" xr:uid="{1364BE77-05D0-42AC-AA2D-3CC5DDADF153}"/>
    <hyperlink ref="BH255" r:id="rId284" xr:uid="{B28AF8CB-5BA4-4C47-9A81-09E51F10087F}"/>
    <hyperlink ref="BH230" r:id="rId285" xr:uid="{BC8E6399-3D29-453B-97DF-2BE4579B7497}"/>
    <hyperlink ref="BG230" r:id="rId286" xr:uid="{2CD3D872-414A-4367-B05A-554CB3383500}"/>
    <hyperlink ref="BH216" r:id="rId287" xr:uid="{FA7BAD7A-723B-4C9B-A75A-2D18E4CEB897}"/>
    <hyperlink ref="BG216" r:id="rId288" xr:uid="{B5B3F49F-9A3A-4DC8-8FAB-911FFBC63DE7}"/>
    <hyperlink ref="BH73" r:id="rId289" xr:uid="{DED61FB4-03DC-4346-9136-CFFBC6EC9413}"/>
    <hyperlink ref="BH227" r:id="rId290" xr:uid="{DAC4EA4E-6179-4EF8-B9BA-C9E098A7ECA6}"/>
    <hyperlink ref="BG227" r:id="rId291" xr:uid="{E08FCF11-1C55-4899-9794-43611E675A8B}"/>
    <hyperlink ref="BH105" r:id="rId292" xr:uid="{8A3B9A96-0250-4FB0-9894-03138CCAA1C7}"/>
    <hyperlink ref="BG105" r:id="rId293" xr:uid="{E7AEC2C8-C9DB-4E56-9EC9-CD3A55B459BC}"/>
    <hyperlink ref="BH271" r:id="rId294" xr:uid="{5BFE9A60-ABF6-4734-93A1-5A7C3D86B23E}"/>
    <hyperlink ref="BH243" r:id="rId295" xr:uid="{2B49A3CF-2E63-48E8-967A-CCE73C518503}"/>
    <hyperlink ref="BG243" r:id="rId296" xr:uid="{8648D45D-E844-4E78-A943-BC40ADB59640}"/>
    <hyperlink ref="BH249" r:id="rId297" xr:uid="{6667442B-D530-4379-8FA8-259777D5340F}"/>
    <hyperlink ref="BG249" r:id="rId298" xr:uid="{5F62729C-99CD-425A-9078-ED31E7B1AFBB}"/>
    <hyperlink ref="BH281" r:id="rId299" xr:uid="{840D52B3-DF81-495F-A609-39781A8840EF}"/>
    <hyperlink ref="BH283" r:id="rId300" xr:uid="{08AAF189-D82C-472D-B64A-E8760D4B6690}"/>
    <hyperlink ref="BG278" r:id="rId301" xr:uid="{A7B1B172-87E1-456D-970D-39B49FCA1D62}"/>
    <hyperlink ref="BG276" r:id="rId302" xr:uid="{3D590119-2F36-4120-A761-402D10BF8778}"/>
    <hyperlink ref="BG275" r:id="rId303" xr:uid="{99DB9DBB-E264-4D79-B886-F3A622D010CC}"/>
    <hyperlink ref="BH31" r:id="rId304" xr:uid="{A1F20295-E842-4302-87E2-175E82D6461C}"/>
    <hyperlink ref="BG31" r:id="rId305" xr:uid="{07AA82A5-C884-469B-8FB3-4BB62395408D}"/>
    <hyperlink ref="BH250" r:id="rId306" xr:uid="{771D7DCE-3610-496A-A9F3-8CD7C836875B}"/>
    <hyperlink ref="BG250" r:id="rId307" xr:uid="{82CC8358-9931-4A4F-97B3-78A86086821A}"/>
    <hyperlink ref="BH74" r:id="rId308" xr:uid="{89341529-BA89-46EF-BF5A-13337C896F27}"/>
    <hyperlink ref="BH262" r:id="rId309" xr:uid="{DF486234-3A12-42F7-87D1-15757A2AC4B7}"/>
    <hyperlink ref="BH284" r:id="rId310" xr:uid="{C47AE552-EA56-4702-91D1-BE4B436364EE}"/>
    <hyperlink ref="BH285" r:id="rId311" xr:uid="{183A643D-4EC8-496D-BEB7-C227A4E927D7}"/>
    <hyperlink ref="BG270" r:id="rId312" xr:uid="{8300CA0D-E364-44A0-A0B5-95DA0DEC2E51}"/>
    <hyperlink ref="BH266" r:id="rId313" xr:uid="{17E59E05-835A-4279-99DD-894AFB38A47B}"/>
    <hyperlink ref="BG266" r:id="rId314" xr:uid="{F25EB70E-AE05-4EBC-AF78-5DC73F89AE39}"/>
    <hyperlink ref="BH238" r:id="rId315" xr:uid="{931F5311-130D-4CC0-BF8B-456EADCE8DAA}"/>
    <hyperlink ref="BG238" r:id="rId316" xr:uid="{55BC08C4-A6CB-42EE-8CD9-F8A864786E16}"/>
    <hyperlink ref="BH272" r:id="rId317" xr:uid="{71C6FCD0-1F19-4365-BF9C-0A587D929484}"/>
    <hyperlink ref="BG279" r:id="rId318" xr:uid="{0567CEB3-5346-43F3-BB9B-EF81498796E2}"/>
    <hyperlink ref="BG257" r:id="rId319" xr:uid="{62736CC0-1C58-4251-B702-ACBB4387BD97}"/>
    <hyperlink ref="BH287" r:id="rId320" xr:uid="{265FB460-B9C7-414B-9405-39F060F3595D}"/>
    <hyperlink ref="BH288" r:id="rId321" xr:uid="{3FAAFCDE-432F-46FB-AF74-73876266CA73}"/>
    <hyperlink ref="BH289" r:id="rId322" xr:uid="{4DC6C81B-98C9-4623-AFBD-7AFB9FEC4E99}"/>
    <hyperlink ref="BG273" r:id="rId323" xr:uid="{4A11DD18-F091-48E3-8E52-36BF483548EA}"/>
    <hyperlink ref="BG264" r:id="rId324" xr:uid="{7D3715CB-39C8-473D-A20B-7A634B8EFFC1}"/>
    <hyperlink ref="BH280" r:id="rId325" xr:uid="{08F9984B-A3DC-4797-87A0-F67BC3881705}"/>
    <hyperlink ref="BG280" r:id="rId326" xr:uid="{7FF19171-28A6-41C4-8926-163AED880482}"/>
    <hyperlink ref="BH282" r:id="rId327" xr:uid="{783D8982-5AF8-454C-9D68-CAECD9C7B7FB}"/>
    <hyperlink ref="BH291" r:id="rId328" xr:uid="{A18FCA68-82D8-476D-AFDB-4AEF8367AAE1}"/>
    <hyperlink ref="BH293" r:id="rId329" xr:uid="{247765BF-FF19-4ADC-A8C6-BD0D33377810}"/>
    <hyperlink ref="BH234" r:id="rId330" xr:uid="{A015B5BE-FA83-4D8A-A8CD-028FB411A7F5}"/>
    <hyperlink ref="BG234" r:id="rId331" xr:uid="{AE37141B-03AD-4AC1-8B2E-E41B15013C16}"/>
    <hyperlink ref="BH32" r:id="rId332" xr:uid="{2FFE89F3-27B8-4D66-BE8A-0CA2F4BE2376}"/>
    <hyperlink ref="BG32" r:id="rId333" xr:uid="{20944287-EE8D-49FE-837A-346F4DCA0993}"/>
    <hyperlink ref="BH246" r:id="rId334" xr:uid="{5515132C-78D4-42B6-91BB-AA2F115F4D60}"/>
    <hyperlink ref="BH286" r:id="rId335" xr:uid="{E1227D49-A297-46AB-8226-87ED32C84BAA}"/>
    <hyperlink ref="BH267" r:id="rId336" xr:uid="{FE5B1CF4-ED5E-43DF-8404-699BF35CEF19}"/>
    <hyperlink ref="BG267" r:id="rId337" xr:uid="{8A6FACF3-1889-4362-8435-614216918739}"/>
    <hyperlink ref="BH33" r:id="rId338" xr:uid="{A725A9F9-8902-4348-9717-A9040C93A98F}"/>
    <hyperlink ref="BG33" r:id="rId339" xr:uid="{B5897F8C-1BD2-4913-A887-61B057948C6E}"/>
    <hyperlink ref="BH294" r:id="rId340" xr:uid="{E0EACCB1-FB71-4103-A986-E527DF6F581B}"/>
    <hyperlink ref="BH297" r:id="rId341" xr:uid="{E026A4A7-E5A5-4498-9347-7E7C80018621}"/>
    <hyperlink ref="BH298" r:id="rId342" xr:uid="{87ACD75B-5A3B-4A65-8C3A-A4621255D919}"/>
    <hyperlink ref="BG288" r:id="rId343" xr:uid="{22304BC8-0505-464A-AE7C-EC007BAAFD92}"/>
    <hyperlink ref="BG289" r:id="rId344" xr:uid="{E88F8060-539A-482E-B2FC-7FFB150A048E}"/>
    <hyperlink ref="BG277" r:id="rId345" xr:uid="{89A7AD43-4B41-4695-A604-83012C364A02}"/>
    <hyperlink ref="BG272" r:id="rId346" xr:uid="{257F32F2-3354-4A1C-AEE4-894FFB906F81}"/>
    <hyperlink ref="BG287" r:id="rId347" xr:uid="{F01E3489-3F97-4412-B701-32B21739E38F}"/>
    <hyperlink ref="BG291" r:id="rId348" xr:uid="{5B1FE997-A646-4DFF-97B0-B84EFDACFB37}"/>
    <hyperlink ref="BG293" r:id="rId349" xr:uid="{DFE28389-19B8-48DA-8BAF-3795902832C6}"/>
    <hyperlink ref="BG286" r:id="rId350" xr:uid="{F99CB0D9-2D80-4E3D-9B64-6D07D038E52E}"/>
    <hyperlink ref="BG285" r:id="rId351" xr:uid="{2F6EC733-64EB-47DD-8360-AD2E3577712C}"/>
    <hyperlink ref="BG284" r:id="rId352" xr:uid="{40D028C5-2035-4AB6-954B-CDFDC20CE51C}"/>
    <hyperlink ref="BG282" r:id="rId353" xr:uid="{3D80FB58-6569-49AB-9EA3-EF5A82683907}"/>
    <hyperlink ref="BG281" r:id="rId354" xr:uid="{3FAD9408-E06F-412C-9936-34057829E6BF}"/>
    <hyperlink ref="BG271" r:id="rId355" xr:uid="{676ABC6D-9615-4E0D-AABD-D93269244636}"/>
    <hyperlink ref="BH34" r:id="rId356" xr:uid="{A97E693C-3403-4C67-96F9-E7451D3C1909}"/>
    <hyperlink ref="BG34" r:id="rId357" xr:uid="{8AAA3C3B-0B3E-4EDC-A7EA-1D0792364720}"/>
    <hyperlink ref="BH290" r:id="rId358" xr:uid="{1D5259CA-7EAD-4972-8E00-A83DFD4855BE}"/>
    <hyperlink ref="BG290" r:id="rId359" xr:uid="{83C54FD8-49B6-448A-BEC0-CE850DEDECBD}"/>
    <hyperlink ref="BH244" r:id="rId360" xr:uid="{DF9F8368-C931-49F5-8E18-08D40ABC0CEA}"/>
    <hyperlink ref="BG244" r:id="rId361" xr:uid="{6CA0D401-D82A-4F81-AABA-3F48CF2C7A17}"/>
    <hyperlink ref="BH295" r:id="rId362" xr:uid="{2087AE64-5111-4864-ADE1-2D7EBDEF485A}"/>
    <hyperlink ref="BH274" r:id="rId363" xr:uid="{21B9AE2B-D46F-4989-A498-764C2A97B7BD}"/>
    <hyperlink ref="BG274" r:id="rId364" xr:uid="{62BA1322-26FF-42B8-93BD-4CAC11603027}"/>
    <hyperlink ref="BH299" r:id="rId365" xr:uid="{108953D4-2048-4FD3-8E4F-48711E0F2FC6}"/>
    <hyperlink ref="BH106" r:id="rId366" xr:uid="{3EDD644C-13F9-4E5F-AFE3-1F30B7DF0655}"/>
    <hyperlink ref="BG106" r:id="rId367" xr:uid="{230B08CF-11AB-411B-BA22-4ADFA6617B2D}"/>
    <hyperlink ref="BG297" r:id="rId368" xr:uid="{C359846D-896F-4008-A3B4-F7E4139B7B73}"/>
    <hyperlink ref="BG298" r:id="rId369" xr:uid="{B9944079-853E-4DAC-98DB-0BBD38EB4A60}"/>
    <hyperlink ref="BH302" r:id="rId370" xr:uid="{940A963E-9352-4F9C-96C1-01C47668EDDE}"/>
    <hyperlink ref="BG245" r:id="rId371" xr:uid="{25EB2DA9-720E-48BC-81DA-5362F9333D7F}"/>
    <hyperlink ref="BG246" r:id="rId372" xr:uid="{384BC4DA-F55A-493F-A2C2-26D987F96278}"/>
    <hyperlink ref="BG299" r:id="rId373" xr:uid="{78E12DCC-2D6E-48BD-AC3E-3DDEF75063F2}"/>
    <hyperlink ref="BG300" r:id="rId374" xr:uid="{36CFD063-D036-4C66-A776-547392A1D10E}"/>
    <hyperlink ref="BH231" r:id="rId375" xr:uid="{810CE840-AE49-4CEC-92B9-2E0AAD7C73CD}"/>
    <hyperlink ref="BG231" r:id="rId376" xr:uid="{90CCAFAF-6C30-41C2-B393-63EFD3BE18D7}"/>
    <hyperlink ref="BH221" r:id="rId377" xr:uid="{CE7C7E14-3269-4647-90E3-5200F5D2309B}"/>
    <hyperlink ref="BG221" r:id="rId378" xr:uid="{6B71A9AB-E2D6-4771-8271-6B5C34929196}"/>
    <hyperlink ref="BH251" r:id="rId379" xr:uid="{BAA69DC6-6C36-48E7-B0D5-7CFF48538289}"/>
    <hyperlink ref="BG251" r:id="rId380" xr:uid="{C3FE8C1E-F60D-47F1-B537-66BA5D865899}"/>
    <hyperlink ref="BH303" r:id="rId381" xr:uid="{74FE98FA-A996-4C52-A8D9-3F456387E745}"/>
    <hyperlink ref="BG27" r:id="rId382" xr:uid="{D53FFAE1-D6D8-4304-AF37-EEB15BC6CE98}"/>
    <hyperlink ref="BH300" r:id="rId383" xr:uid="{8B4723CA-B1A5-46EB-B30C-C567BE835BEB}"/>
    <hyperlink ref="BH304" r:id="rId384" xr:uid="{6E0EB0DF-43C3-4FC0-AE18-4674066C617E}"/>
    <hyperlink ref="BH205" r:id="rId385" xr:uid="{31C05C0B-C3E2-411D-A134-70AB0991A883}"/>
    <hyperlink ref="BG205" r:id="rId386" xr:uid="{D424CBDE-AC38-4E45-9B7B-2C35419CC494}"/>
    <hyperlink ref="BH305" r:id="rId387" xr:uid="{4B3715D6-2699-41E4-903A-B65EADA3A5F4}"/>
    <hyperlink ref="BH306" r:id="rId388" xr:uid="{81A95542-A969-4740-A1FD-54347E138D38}"/>
    <hyperlink ref="BH307" r:id="rId389" xr:uid="{B500ED58-27EA-401D-BC9C-17A6F38B9622}"/>
    <hyperlink ref="BH296" r:id="rId390" xr:uid="{B7A4B92E-39D0-44DE-81AD-EE91CE09BF24}"/>
    <hyperlink ref="BH292" r:id="rId391" xr:uid="{345D52ED-426A-477C-9118-9921E6770389}"/>
    <hyperlink ref="BG292" r:id="rId392" xr:uid="{1A56423E-AECF-45E0-A153-153FB6C78699}"/>
    <hyperlink ref="BG304" r:id="rId393" xr:uid="{E3D5F19C-A508-40C7-9E03-6A674D21EB56}"/>
    <hyperlink ref="BG294" r:id="rId394" xr:uid="{8C3A0A6E-7960-4712-B076-CB1DE6DDC0FB}"/>
    <hyperlink ref="BG302" r:id="rId395" xr:uid="{254D9484-39C8-48AF-ABB0-5D9A0F8652F9}"/>
    <hyperlink ref="BH308" r:id="rId396" xr:uid="{A73F6DA3-3BEC-4842-9F7D-27CF453490CD}"/>
    <hyperlink ref="BH309" r:id="rId397" xr:uid="{68DBFBD4-EA42-4B88-BED7-9A321A9A8753}"/>
    <hyperlink ref="BH310" r:id="rId398" xr:uid="{35E91237-05FA-4ED7-A563-5BE3BE349907}"/>
    <hyperlink ref="BH107" r:id="rId399" xr:uid="{629538A6-4DA1-4EF8-9608-51418936F7B0}"/>
    <hyperlink ref="BG107" r:id="rId400" xr:uid="{EA516B8C-83D2-4430-AB38-0C9A814AFF5B}"/>
    <hyperlink ref="BG301" r:id="rId401" xr:uid="{444121D7-57DB-4D8E-9CE5-95A3766A8DB7}"/>
    <hyperlink ref="BH301" r:id="rId402" xr:uid="{D292B65E-80CF-4AC1-A745-7CB335482194}"/>
    <hyperlink ref="BH312" r:id="rId403" xr:uid="{C203775E-3020-4ECE-A565-9F0EFCFA04B7}"/>
    <hyperlink ref="BG305" r:id="rId404" xr:uid="{14653710-E4B1-470F-9438-741E4079185E}"/>
    <hyperlink ref="BG306" r:id="rId405" xr:uid="{A8BA020D-66EA-4605-A05C-97D777C593B0}"/>
    <hyperlink ref="BG307" r:id="rId406" xr:uid="{580D4AAA-0824-42DE-8AD2-51D5217A54BD}"/>
    <hyperlink ref="BG312" r:id="rId407" xr:uid="{07F47D26-4E38-4D2B-AE86-9F3E6DC48778}"/>
    <hyperlink ref="BG309" r:id="rId408" xr:uid="{9113504E-8967-4378-94CB-A552600F2B09}"/>
    <hyperlink ref="BG308" r:id="rId409" xr:uid="{43D23943-1979-406A-BEA6-66A272046B3D}"/>
    <hyperlink ref="BG310" r:id="rId410" xr:uid="{8020DD7B-EFDA-402B-AB35-CB5237E06E27}"/>
  </hyperlinks>
  <pageMargins left="0.7" right="0.7" top="0.75" bottom="0.75" header="0.3" footer="0.3"/>
  <pageSetup orientation="portrait" r:id="rId411"/>
  <tableParts count="1">
    <tablePart r:id="rId4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9096-9953-4FF6-AE9E-18E17D279707}">
  <sheetPr codeName="Hoja3"/>
  <dimension ref="A1:D53"/>
  <sheetViews>
    <sheetView workbookViewId="0">
      <selection activeCell="C31" sqref="C31"/>
    </sheetView>
  </sheetViews>
  <sheetFormatPr baseColWidth="10" defaultRowHeight="15" x14ac:dyDescent="0.25"/>
  <sheetData>
    <row r="1" spans="1:4" x14ac:dyDescent="0.25">
      <c r="A1" t="s">
        <v>0</v>
      </c>
      <c r="B1" t="s">
        <v>18</v>
      </c>
      <c r="C1" t="s">
        <v>1</v>
      </c>
      <c r="D1" t="s">
        <v>2487</v>
      </c>
    </row>
    <row r="2" spans="1:4" x14ac:dyDescent="0.25">
      <c r="A2" s="123">
        <v>92700199</v>
      </c>
      <c r="B2">
        <v>167</v>
      </c>
      <c r="C2">
        <v>11</v>
      </c>
      <c r="D2" t="s">
        <v>349</v>
      </c>
    </row>
    <row r="3" spans="1:4" x14ac:dyDescent="0.25">
      <c r="A3" s="123">
        <v>92700206</v>
      </c>
      <c r="B3">
        <v>167</v>
      </c>
      <c r="C3">
        <v>13</v>
      </c>
      <c r="D3" t="s">
        <v>65</v>
      </c>
    </row>
    <row r="4" spans="1:4" x14ac:dyDescent="0.25">
      <c r="A4" s="123"/>
      <c r="B4">
        <v>167</v>
      </c>
      <c r="C4">
        <v>73</v>
      </c>
      <c r="D4" t="s">
        <v>65</v>
      </c>
    </row>
    <row r="5" spans="1:4" x14ac:dyDescent="0.25">
      <c r="A5" s="123">
        <v>92700244</v>
      </c>
      <c r="B5">
        <v>167</v>
      </c>
      <c r="C5">
        <v>14</v>
      </c>
      <c r="D5" t="s">
        <v>315</v>
      </c>
    </row>
    <row r="6" spans="1:4" x14ac:dyDescent="0.25">
      <c r="A6" s="123">
        <v>92700204</v>
      </c>
      <c r="B6">
        <v>168</v>
      </c>
      <c r="C6">
        <v>15</v>
      </c>
      <c r="D6" t="s">
        <v>140</v>
      </c>
    </row>
    <row r="7" spans="1:4" x14ac:dyDescent="0.25">
      <c r="A7" s="124">
        <v>105110</v>
      </c>
      <c r="B7">
        <v>168</v>
      </c>
      <c r="C7">
        <v>12</v>
      </c>
      <c r="D7" t="s">
        <v>315</v>
      </c>
    </row>
    <row r="8" spans="1:4" x14ac:dyDescent="0.25">
      <c r="A8" s="123">
        <v>107530</v>
      </c>
      <c r="B8">
        <v>169</v>
      </c>
      <c r="C8">
        <v>17</v>
      </c>
      <c r="D8" t="s">
        <v>267</v>
      </c>
    </row>
    <row r="9" spans="1:4" x14ac:dyDescent="0.25">
      <c r="A9" s="123">
        <v>92700185</v>
      </c>
      <c r="B9">
        <v>170</v>
      </c>
      <c r="C9">
        <v>28</v>
      </c>
      <c r="D9" t="s">
        <v>315</v>
      </c>
    </row>
    <row r="10" spans="1:4" x14ac:dyDescent="0.25">
      <c r="A10" s="123">
        <v>92700203</v>
      </c>
      <c r="B10">
        <v>171</v>
      </c>
      <c r="C10">
        <v>19</v>
      </c>
      <c r="D10" t="s">
        <v>267</v>
      </c>
    </row>
    <row r="11" spans="1:4" x14ac:dyDescent="0.25">
      <c r="A11" s="123">
        <v>92700236</v>
      </c>
      <c r="B11">
        <v>173</v>
      </c>
      <c r="C11">
        <v>69</v>
      </c>
      <c r="D11" t="s">
        <v>84</v>
      </c>
    </row>
    <row r="12" spans="1:4" x14ac:dyDescent="0.25">
      <c r="A12" s="123"/>
      <c r="B12">
        <v>173</v>
      </c>
      <c r="C12">
        <v>21</v>
      </c>
      <c r="D12" t="s">
        <v>315</v>
      </c>
    </row>
    <row r="13" spans="1:4" x14ac:dyDescent="0.25">
      <c r="A13" s="123">
        <v>92700202</v>
      </c>
      <c r="B13">
        <v>174</v>
      </c>
      <c r="C13">
        <v>23</v>
      </c>
      <c r="D13" t="s">
        <v>140</v>
      </c>
    </row>
    <row r="14" spans="1:4" x14ac:dyDescent="0.25">
      <c r="A14" s="123">
        <v>92700181</v>
      </c>
      <c r="B14">
        <v>175</v>
      </c>
      <c r="C14">
        <v>25</v>
      </c>
      <c r="D14" t="s">
        <v>84</v>
      </c>
    </row>
    <row r="15" spans="1:4" x14ac:dyDescent="0.25">
      <c r="A15" s="123"/>
      <c r="B15">
        <v>175</v>
      </c>
      <c r="C15">
        <v>45</v>
      </c>
      <c r="D15" t="s">
        <v>315</v>
      </c>
    </row>
    <row r="16" spans="1:4" x14ac:dyDescent="0.25">
      <c r="A16" s="123">
        <v>92700209</v>
      </c>
      <c r="B16">
        <v>177</v>
      </c>
      <c r="C16">
        <v>27</v>
      </c>
      <c r="D16" t="s">
        <v>84</v>
      </c>
    </row>
    <row r="17" spans="1:4" x14ac:dyDescent="0.25">
      <c r="A17" s="123">
        <v>92700234</v>
      </c>
      <c r="B17">
        <v>177</v>
      </c>
      <c r="C17">
        <v>6</v>
      </c>
      <c r="D17" t="s">
        <v>315</v>
      </c>
    </row>
    <row r="18" spans="1:4" x14ac:dyDescent="0.25">
      <c r="A18" s="123"/>
      <c r="B18">
        <v>178</v>
      </c>
      <c r="C18">
        <v>32</v>
      </c>
      <c r="D18" t="s">
        <v>140</v>
      </c>
    </row>
    <row r="19" spans="1:4" x14ac:dyDescent="0.25">
      <c r="A19" s="123">
        <v>92700208</v>
      </c>
      <c r="B19">
        <v>179</v>
      </c>
      <c r="C19">
        <v>34</v>
      </c>
      <c r="D19" t="s">
        <v>84</v>
      </c>
    </row>
    <row r="20" spans="1:4" x14ac:dyDescent="0.25">
      <c r="A20" s="123">
        <v>92700218</v>
      </c>
      <c r="B20">
        <v>180</v>
      </c>
      <c r="C20">
        <v>35</v>
      </c>
      <c r="D20" t="s">
        <v>84</v>
      </c>
    </row>
    <row r="21" spans="1:4" x14ac:dyDescent="0.25">
      <c r="A21" s="123">
        <v>92700249</v>
      </c>
      <c r="B21" t="s">
        <v>2477</v>
      </c>
      <c r="C21">
        <v>44</v>
      </c>
      <c r="D21" t="s">
        <v>315</v>
      </c>
    </row>
    <row r="22" spans="1:4" x14ac:dyDescent="0.25">
      <c r="A22" s="123"/>
      <c r="B22">
        <v>182</v>
      </c>
      <c r="C22">
        <v>41</v>
      </c>
      <c r="D22" t="s">
        <v>1958</v>
      </c>
    </row>
    <row r="23" spans="1:4" x14ac:dyDescent="0.25">
      <c r="A23" s="123">
        <v>92700194</v>
      </c>
      <c r="B23">
        <v>184</v>
      </c>
      <c r="C23">
        <v>43</v>
      </c>
      <c r="D23" t="s">
        <v>84</v>
      </c>
    </row>
    <row r="24" spans="1:4" x14ac:dyDescent="0.25">
      <c r="A24" s="123">
        <v>92700213</v>
      </c>
      <c r="B24">
        <v>184</v>
      </c>
      <c r="C24">
        <v>76</v>
      </c>
      <c r="D24" t="s">
        <v>315</v>
      </c>
    </row>
    <row r="25" spans="1:4" x14ac:dyDescent="0.25">
      <c r="A25" s="123">
        <v>92700255</v>
      </c>
      <c r="B25">
        <v>185</v>
      </c>
      <c r="C25">
        <v>4</v>
      </c>
      <c r="D25" t="s">
        <v>84</v>
      </c>
    </row>
    <row r="26" spans="1:4" x14ac:dyDescent="0.25">
      <c r="A26" s="123">
        <v>92700210</v>
      </c>
      <c r="B26">
        <v>185</v>
      </c>
      <c r="C26">
        <v>74</v>
      </c>
      <c r="D26" t="s">
        <v>315</v>
      </c>
    </row>
    <row r="27" spans="1:4" x14ac:dyDescent="0.25">
      <c r="A27" s="123">
        <v>92700237</v>
      </c>
      <c r="B27">
        <v>185</v>
      </c>
      <c r="C27">
        <v>55</v>
      </c>
      <c r="D27" t="s">
        <v>315</v>
      </c>
    </row>
    <row r="28" spans="1:4" x14ac:dyDescent="0.25">
      <c r="A28" s="123">
        <v>92700200</v>
      </c>
      <c r="B28">
        <v>186</v>
      </c>
      <c r="C28">
        <v>47</v>
      </c>
      <c r="D28" t="s">
        <v>140</v>
      </c>
    </row>
    <row r="29" spans="1:4" x14ac:dyDescent="0.25">
      <c r="A29" s="123">
        <v>92700220</v>
      </c>
      <c r="B29">
        <v>188</v>
      </c>
      <c r="C29">
        <v>48</v>
      </c>
      <c r="D29" t="s">
        <v>84</v>
      </c>
    </row>
    <row r="30" spans="1:4" x14ac:dyDescent="0.25">
      <c r="A30" s="123">
        <v>92700232</v>
      </c>
      <c r="B30" t="s">
        <v>2478</v>
      </c>
      <c r="C30">
        <v>59</v>
      </c>
      <c r="D30" t="s">
        <v>315</v>
      </c>
    </row>
    <row r="31" spans="1:4" x14ac:dyDescent="0.25">
      <c r="A31" s="123">
        <v>92700132</v>
      </c>
      <c r="B31">
        <v>189</v>
      </c>
      <c r="C31">
        <v>49</v>
      </c>
      <c r="D31" t="s">
        <v>84</v>
      </c>
    </row>
    <row r="32" spans="1:4" x14ac:dyDescent="0.25">
      <c r="A32" s="123">
        <v>92700252</v>
      </c>
      <c r="B32">
        <v>189</v>
      </c>
      <c r="C32">
        <v>50</v>
      </c>
      <c r="D32" t="s">
        <v>315</v>
      </c>
    </row>
    <row r="33" spans="1:4" x14ac:dyDescent="0.25">
      <c r="A33" s="123">
        <v>92700259</v>
      </c>
      <c r="B33">
        <v>189</v>
      </c>
      <c r="C33">
        <v>72</v>
      </c>
      <c r="D33" t="s">
        <v>315</v>
      </c>
    </row>
    <row r="34" spans="1:4" x14ac:dyDescent="0.25">
      <c r="A34" s="123">
        <v>92700239</v>
      </c>
      <c r="B34">
        <v>191</v>
      </c>
      <c r="C34">
        <v>51</v>
      </c>
      <c r="D34" t="s">
        <v>140</v>
      </c>
    </row>
    <row r="35" spans="1:4" x14ac:dyDescent="0.25">
      <c r="A35" s="123">
        <v>92700205</v>
      </c>
      <c r="B35">
        <v>191</v>
      </c>
      <c r="C35">
        <v>16</v>
      </c>
      <c r="D35" t="s">
        <v>65</v>
      </c>
    </row>
    <row r="36" spans="1:4" x14ac:dyDescent="0.25">
      <c r="A36" s="123">
        <v>92700246</v>
      </c>
      <c r="B36">
        <v>192</v>
      </c>
      <c r="C36">
        <v>5</v>
      </c>
      <c r="D36" t="s">
        <v>84</v>
      </c>
    </row>
    <row r="37" spans="1:4" x14ac:dyDescent="0.25">
      <c r="A37" s="123">
        <v>92700212</v>
      </c>
      <c r="B37">
        <v>192</v>
      </c>
      <c r="C37">
        <v>61</v>
      </c>
      <c r="D37" t="s">
        <v>315</v>
      </c>
    </row>
    <row r="38" spans="1:4" x14ac:dyDescent="0.25">
      <c r="A38" s="123">
        <v>92700258</v>
      </c>
      <c r="B38">
        <v>192</v>
      </c>
      <c r="C38">
        <v>10</v>
      </c>
      <c r="D38" t="s">
        <v>315</v>
      </c>
    </row>
    <row r="39" spans="1:4" x14ac:dyDescent="0.25">
      <c r="A39" s="123">
        <v>92700230</v>
      </c>
      <c r="B39">
        <v>193</v>
      </c>
      <c r="C39">
        <v>52</v>
      </c>
      <c r="D39" t="s">
        <v>84</v>
      </c>
    </row>
    <row r="40" spans="1:4" x14ac:dyDescent="0.25">
      <c r="A40" s="123">
        <v>92700229</v>
      </c>
      <c r="B40">
        <v>193</v>
      </c>
      <c r="C40">
        <v>53</v>
      </c>
      <c r="D40" t="s">
        <v>315</v>
      </c>
    </row>
    <row r="41" spans="1:4" x14ac:dyDescent="0.25">
      <c r="A41" s="123">
        <v>92700256</v>
      </c>
      <c r="B41">
        <v>193</v>
      </c>
      <c r="C41">
        <v>54</v>
      </c>
      <c r="D41" t="s">
        <v>315</v>
      </c>
    </row>
    <row r="42" spans="1:4" x14ac:dyDescent="0.25">
      <c r="A42" s="123">
        <v>92700180</v>
      </c>
      <c r="B42">
        <v>194</v>
      </c>
      <c r="C42">
        <v>77</v>
      </c>
      <c r="D42" t="s">
        <v>84</v>
      </c>
    </row>
    <row r="43" spans="1:4" x14ac:dyDescent="0.25">
      <c r="A43" s="123">
        <v>92700257</v>
      </c>
      <c r="B43">
        <v>194</v>
      </c>
      <c r="C43">
        <v>30</v>
      </c>
      <c r="D43" t="s">
        <v>315</v>
      </c>
    </row>
    <row r="44" spans="1:4" x14ac:dyDescent="0.25">
      <c r="A44" s="123">
        <v>92700253</v>
      </c>
      <c r="B44">
        <v>194</v>
      </c>
      <c r="C44">
        <v>56</v>
      </c>
      <c r="D44" t="s">
        <v>315</v>
      </c>
    </row>
    <row r="45" spans="1:4" x14ac:dyDescent="0.25">
      <c r="A45" s="123">
        <v>92700217</v>
      </c>
      <c r="B45">
        <v>190</v>
      </c>
      <c r="C45">
        <v>7</v>
      </c>
      <c r="D45" t="s">
        <v>140</v>
      </c>
    </row>
    <row r="46" spans="1:4" x14ac:dyDescent="0.25">
      <c r="A46" s="123">
        <v>92700248</v>
      </c>
      <c r="B46" t="s">
        <v>2479</v>
      </c>
      <c r="C46">
        <v>8</v>
      </c>
      <c r="D46" t="s">
        <v>315</v>
      </c>
    </row>
    <row r="47" spans="1:4" x14ac:dyDescent="0.25">
      <c r="A47" s="123">
        <v>92700233</v>
      </c>
      <c r="B47" t="s">
        <v>2480</v>
      </c>
      <c r="C47">
        <v>60</v>
      </c>
      <c r="D47" t="s">
        <v>315</v>
      </c>
    </row>
    <row r="48" spans="1:4" x14ac:dyDescent="0.25">
      <c r="A48" s="123">
        <v>92700242</v>
      </c>
      <c r="B48" t="s">
        <v>2481</v>
      </c>
      <c r="C48">
        <v>79</v>
      </c>
      <c r="D48" t="s">
        <v>315</v>
      </c>
    </row>
    <row r="49" spans="1:4" x14ac:dyDescent="0.25">
      <c r="A49" s="123">
        <v>92700240</v>
      </c>
      <c r="B49" t="s">
        <v>2482</v>
      </c>
      <c r="C49">
        <v>38</v>
      </c>
      <c r="D49" t="s">
        <v>315</v>
      </c>
    </row>
    <row r="50" spans="1:4" x14ac:dyDescent="0.25">
      <c r="A50" s="123">
        <v>92700225</v>
      </c>
      <c r="B50" t="s">
        <v>2483</v>
      </c>
      <c r="C50">
        <v>1</v>
      </c>
      <c r="D50" t="s">
        <v>315</v>
      </c>
    </row>
    <row r="51" spans="1:4" x14ac:dyDescent="0.25">
      <c r="A51" s="123">
        <v>84662</v>
      </c>
      <c r="B51" t="s">
        <v>2484</v>
      </c>
      <c r="C51">
        <v>9</v>
      </c>
      <c r="D51" t="s">
        <v>315</v>
      </c>
    </row>
    <row r="52" spans="1:4" x14ac:dyDescent="0.25">
      <c r="A52" s="123">
        <v>92700247</v>
      </c>
      <c r="B52" t="s">
        <v>2485</v>
      </c>
      <c r="C52">
        <v>62</v>
      </c>
      <c r="D52" t="s">
        <v>315</v>
      </c>
    </row>
    <row r="53" spans="1:4" x14ac:dyDescent="0.25">
      <c r="B53" t="s">
        <v>2486</v>
      </c>
      <c r="C53">
        <v>80</v>
      </c>
      <c r="D53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23E7-4682-44E0-A4B2-A2458650D6C5}">
  <sheetPr codeName="Hoja2"/>
  <dimension ref="A1:O84"/>
  <sheetViews>
    <sheetView workbookViewId="0">
      <selection activeCell="H12" sqref="H12"/>
    </sheetView>
  </sheetViews>
  <sheetFormatPr baseColWidth="10" defaultRowHeight="15" x14ac:dyDescent="0.25"/>
  <sheetData>
    <row r="1" spans="1:15" ht="45" x14ac:dyDescent="0.25">
      <c r="A1" s="15" t="s">
        <v>2416</v>
      </c>
      <c r="B1" s="16"/>
      <c r="C1" s="15" t="s">
        <v>2417</v>
      </c>
      <c r="D1" s="15" t="s">
        <v>2418</v>
      </c>
      <c r="E1" s="15" t="s">
        <v>2419</v>
      </c>
      <c r="F1" s="17" t="s">
        <v>2420</v>
      </c>
      <c r="G1" s="18" t="s">
        <v>2421</v>
      </c>
      <c r="I1" s="15" t="s">
        <v>2416</v>
      </c>
      <c r="J1" s="16"/>
      <c r="K1" s="15" t="s">
        <v>2417</v>
      </c>
      <c r="L1" s="15" t="s">
        <v>2418</v>
      </c>
      <c r="M1" s="15" t="s">
        <v>2419</v>
      </c>
      <c r="N1" s="17" t="s">
        <v>2420</v>
      </c>
      <c r="O1" s="18" t="s">
        <v>2421</v>
      </c>
    </row>
    <row r="2" spans="1:15" x14ac:dyDescent="0.25">
      <c r="A2" s="3">
        <v>1</v>
      </c>
      <c r="B2" s="19" t="s">
        <v>845</v>
      </c>
      <c r="C2" s="19" t="s">
        <v>2422</v>
      </c>
      <c r="D2" s="19" t="s">
        <v>1765</v>
      </c>
      <c r="E2" s="3" t="s">
        <v>161</v>
      </c>
      <c r="F2" s="20">
        <v>17272</v>
      </c>
      <c r="G2" s="19" t="s">
        <v>2423</v>
      </c>
      <c r="I2" s="3">
        <v>1</v>
      </c>
      <c r="J2" s="19" t="s">
        <v>845</v>
      </c>
      <c r="K2" s="19" t="s">
        <v>2422</v>
      </c>
      <c r="L2" s="19" t="s">
        <v>1765</v>
      </c>
      <c r="M2" s="3" t="s">
        <v>161</v>
      </c>
      <c r="N2" s="20">
        <v>17272</v>
      </c>
      <c r="O2" s="19" t="s">
        <v>2423</v>
      </c>
    </row>
    <row r="3" spans="1:15" x14ac:dyDescent="0.25">
      <c r="A3" s="3">
        <v>2</v>
      </c>
      <c r="B3" s="19"/>
      <c r="C3" s="19" t="s">
        <v>2424</v>
      </c>
      <c r="D3" s="19" t="s">
        <v>2425</v>
      </c>
      <c r="E3" s="3" t="s">
        <v>161</v>
      </c>
      <c r="F3" s="20">
        <v>13288</v>
      </c>
      <c r="G3" s="19" t="s">
        <v>2426</v>
      </c>
      <c r="I3" s="3">
        <v>2</v>
      </c>
      <c r="J3" s="19"/>
      <c r="K3" s="19" t="s">
        <v>2424</v>
      </c>
      <c r="L3" s="19" t="s">
        <v>2425</v>
      </c>
      <c r="M3" s="3" t="s">
        <v>161</v>
      </c>
      <c r="N3" s="20">
        <v>13288</v>
      </c>
      <c r="O3" s="19" t="s">
        <v>2426</v>
      </c>
    </row>
    <row r="4" spans="1:15" x14ac:dyDescent="0.25">
      <c r="A4" s="3">
        <v>3</v>
      </c>
      <c r="B4" s="19"/>
      <c r="C4" s="19" t="s">
        <v>519</v>
      </c>
      <c r="D4" s="19" t="s">
        <v>129</v>
      </c>
      <c r="E4" s="3" t="s">
        <v>84</v>
      </c>
      <c r="F4" s="20">
        <v>18554.89</v>
      </c>
      <c r="G4" s="19" t="s">
        <v>2426</v>
      </c>
      <c r="I4" s="3">
        <v>3</v>
      </c>
      <c r="J4" s="19"/>
      <c r="K4" s="19" t="s">
        <v>519</v>
      </c>
      <c r="L4" s="19" t="s">
        <v>129</v>
      </c>
      <c r="M4" s="3" t="s">
        <v>84</v>
      </c>
      <c r="N4" s="20">
        <v>18554.89</v>
      </c>
      <c r="O4" s="19" t="s">
        <v>2426</v>
      </c>
    </row>
    <row r="5" spans="1:15" x14ac:dyDescent="0.25">
      <c r="A5" s="3">
        <v>4</v>
      </c>
      <c r="B5" s="19" t="s">
        <v>1560</v>
      </c>
      <c r="C5" s="19" t="s">
        <v>532</v>
      </c>
      <c r="D5" s="19" t="s">
        <v>129</v>
      </c>
      <c r="E5" s="3" t="s">
        <v>84</v>
      </c>
      <c r="F5" s="20">
        <v>18554.89</v>
      </c>
      <c r="G5" s="19" t="s">
        <v>2423</v>
      </c>
      <c r="I5" s="3">
        <v>4</v>
      </c>
      <c r="J5" s="19" t="s">
        <v>1560</v>
      </c>
      <c r="K5" s="19" t="s">
        <v>532</v>
      </c>
      <c r="L5" s="19" t="s">
        <v>129</v>
      </c>
      <c r="M5" s="3" t="s">
        <v>84</v>
      </c>
      <c r="N5" s="20">
        <v>18554.89</v>
      </c>
      <c r="O5" s="19" t="s">
        <v>2423</v>
      </c>
    </row>
    <row r="6" spans="1:15" x14ac:dyDescent="0.25">
      <c r="A6" s="3">
        <v>5</v>
      </c>
      <c r="B6" s="19" t="s">
        <v>212</v>
      </c>
      <c r="C6" s="19" t="s">
        <v>173</v>
      </c>
      <c r="D6" s="19" t="s">
        <v>86</v>
      </c>
      <c r="E6" s="3" t="s">
        <v>84</v>
      </c>
      <c r="F6" s="20">
        <v>18554.89</v>
      </c>
      <c r="G6" s="19" t="s">
        <v>2423</v>
      </c>
      <c r="I6" s="3">
        <v>5</v>
      </c>
      <c r="J6" s="19" t="s">
        <v>212</v>
      </c>
      <c r="K6" s="19" t="s">
        <v>173</v>
      </c>
      <c r="L6" s="19" t="s">
        <v>86</v>
      </c>
      <c r="M6" s="3" t="s">
        <v>84</v>
      </c>
      <c r="N6" s="20">
        <v>18554.89</v>
      </c>
      <c r="O6" s="19" t="s">
        <v>2423</v>
      </c>
    </row>
    <row r="7" spans="1:15" x14ac:dyDescent="0.25">
      <c r="A7" s="3">
        <v>6</v>
      </c>
      <c r="B7" s="19" t="s">
        <v>738</v>
      </c>
      <c r="C7" s="19" t="s">
        <v>2427</v>
      </c>
      <c r="D7" s="19" t="s">
        <v>2428</v>
      </c>
      <c r="E7" s="3" t="s">
        <v>161</v>
      </c>
      <c r="F7" s="20">
        <v>17272</v>
      </c>
      <c r="G7" s="19" t="s">
        <v>2423</v>
      </c>
      <c r="I7" s="3">
        <v>6</v>
      </c>
      <c r="J7" s="19" t="s">
        <v>738</v>
      </c>
      <c r="K7" s="19" t="s">
        <v>2427</v>
      </c>
      <c r="L7" s="19" t="s">
        <v>2428</v>
      </c>
      <c r="M7" s="3" t="s">
        <v>161</v>
      </c>
      <c r="N7" s="20">
        <v>17272</v>
      </c>
      <c r="O7" s="19" t="s">
        <v>2423</v>
      </c>
    </row>
    <row r="8" spans="1:15" x14ac:dyDescent="0.25">
      <c r="A8" s="3">
        <v>7</v>
      </c>
      <c r="B8" s="19" t="s">
        <v>541</v>
      </c>
      <c r="C8" s="19" t="s">
        <v>2429</v>
      </c>
      <c r="D8" s="19" t="s">
        <v>988</v>
      </c>
      <c r="E8" s="3" t="s">
        <v>140</v>
      </c>
      <c r="F8" s="20">
        <v>40621.800000000003</v>
      </c>
      <c r="G8" s="19" t="s">
        <v>2423</v>
      </c>
      <c r="I8" s="3">
        <v>7</v>
      </c>
      <c r="J8" s="19" t="s">
        <v>541</v>
      </c>
      <c r="K8" s="19" t="s">
        <v>2429</v>
      </c>
      <c r="L8" s="19" t="s">
        <v>988</v>
      </c>
      <c r="M8" s="3" t="s">
        <v>140</v>
      </c>
      <c r="N8" s="20">
        <v>40621.800000000003</v>
      </c>
      <c r="O8" s="19" t="s">
        <v>2423</v>
      </c>
    </row>
    <row r="9" spans="1:15" x14ac:dyDescent="0.25">
      <c r="A9" s="3">
        <v>8</v>
      </c>
      <c r="B9" s="19" t="s">
        <v>555</v>
      </c>
      <c r="C9" s="19" t="s">
        <v>2430</v>
      </c>
      <c r="D9" s="19" t="s">
        <v>988</v>
      </c>
      <c r="E9" s="3" t="s">
        <v>161</v>
      </c>
      <c r="F9" s="20">
        <v>17272</v>
      </c>
      <c r="G9" s="19" t="s">
        <v>2423</v>
      </c>
      <c r="I9" s="3">
        <v>8</v>
      </c>
      <c r="J9" s="19" t="s">
        <v>555</v>
      </c>
      <c r="K9" s="19" t="s">
        <v>2430</v>
      </c>
      <c r="L9" s="19" t="s">
        <v>988</v>
      </c>
      <c r="M9" s="3" t="s">
        <v>161</v>
      </c>
      <c r="N9" s="20">
        <v>17272</v>
      </c>
      <c r="O9" s="19" t="s">
        <v>2423</v>
      </c>
    </row>
    <row r="10" spans="1:15" x14ac:dyDescent="0.25">
      <c r="A10" s="3">
        <v>9</v>
      </c>
      <c r="B10" s="19" t="s">
        <v>572</v>
      </c>
      <c r="C10" s="19" t="s">
        <v>2431</v>
      </c>
      <c r="D10" s="19" t="s">
        <v>988</v>
      </c>
      <c r="E10" s="3" t="s">
        <v>161</v>
      </c>
      <c r="F10" s="20">
        <v>17272</v>
      </c>
      <c r="G10" s="19" t="s">
        <v>2423</v>
      </c>
      <c r="I10" s="3">
        <v>9</v>
      </c>
      <c r="J10" s="19" t="s">
        <v>572</v>
      </c>
      <c r="K10" s="19" t="s">
        <v>2431</v>
      </c>
      <c r="L10" s="19" t="s">
        <v>988</v>
      </c>
      <c r="M10" s="3" t="s">
        <v>161</v>
      </c>
      <c r="N10" s="20">
        <v>17272</v>
      </c>
      <c r="O10" s="19" t="s">
        <v>2423</v>
      </c>
    </row>
    <row r="11" spans="1:15" x14ac:dyDescent="0.25">
      <c r="A11" s="3">
        <v>10</v>
      </c>
      <c r="B11" s="19" t="s">
        <v>1336</v>
      </c>
      <c r="C11" s="19" t="s">
        <v>2432</v>
      </c>
      <c r="D11" s="19" t="s">
        <v>86</v>
      </c>
      <c r="E11" s="3" t="s">
        <v>161</v>
      </c>
      <c r="F11" s="20">
        <v>13288</v>
      </c>
      <c r="G11" s="19" t="s">
        <v>2423</v>
      </c>
      <c r="I11" s="3">
        <v>10</v>
      </c>
      <c r="J11" s="19" t="s">
        <v>1336</v>
      </c>
      <c r="K11" s="19" t="s">
        <v>2432</v>
      </c>
      <c r="L11" s="19" t="s">
        <v>86</v>
      </c>
      <c r="M11" s="3" t="s">
        <v>161</v>
      </c>
      <c r="N11" s="20">
        <v>13288</v>
      </c>
      <c r="O11" s="19" t="s">
        <v>2423</v>
      </c>
    </row>
    <row r="12" spans="1:15" x14ac:dyDescent="0.25">
      <c r="A12" s="3">
        <v>11</v>
      </c>
      <c r="B12" s="19" t="s">
        <v>346</v>
      </c>
      <c r="C12" s="19" t="s">
        <v>350</v>
      </c>
      <c r="D12" s="19" t="s">
        <v>1765</v>
      </c>
      <c r="E12" s="3" t="s">
        <v>349</v>
      </c>
      <c r="F12" s="20">
        <v>60251.8</v>
      </c>
      <c r="G12" s="19" t="s">
        <v>2423</v>
      </c>
      <c r="H12" t="s">
        <v>2433</v>
      </c>
      <c r="I12" s="3">
        <v>11</v>
      </c>
      <c r="J12" s="19" t="s">
        <v>346</v>
      </c>
      <c r="K12" s="19" t="s">
        <v>350</v>
      </c>
      <c r="L12" s="19" t="s">
        <v>1765</v>
      </c>
      <c r="M12" s="3" t="s">
        <v>349</v>
      </c>
      <c r="N12" s="20">
        <v>60251.8</v>
      </c>
      <c r="O12" s="19" t="s">
        <v>2423</v>
      </c>
    </row>
    <row r="13" spans="1:15" x14ac:dyDescent="0.25">
      <c r="A13" s="3">
        <v>12</v>
      </c>
      <c r="B13" s="19" t="s">
        <v>1118</v>
      </c>
      <c r="C13" s="19" t="s">
        <v>162</v>
      </c>
      <c r="D13" s="19" t="s">
        <v>2434</v>
      </c>
      <c r="E13" s="3" t="s">
        <v>161</v>
      </c>
      <c r="F13" s="20">
        <v>17272</v>
      </c>
      <c r="G13" s="19" t="s">
        <v>2423</v>
      </c>
      <c r="I13" s="3">
        <v>12</v>
      </c>
      <c r="J13" s="19" t="s">
        <v>1118</v>
      </c>
      <c r="K13" s="19" t="s">
        <v>162</v>
      </c>
      <c r="L13" s="19" t="s">
        <v>2434</v>
      </c>
      <c r="M13" s="3" t="s">
        <v>161</v>
      </c>
      <c r="N13" s="20">
        <v>17272</v>
      </c>
      <c r="O13" s="19" t="s">
        <v>2423</v>
      </c>
    </row>
    <row r="14" spans="1:15" x14ac:dyDescent="0.25">
      <c r="A14" s="3">
        <v>13</v>
      </c>
      <c r="B14" s="19" t="s">
        <v>144</v>
      </c>
      <c r="C14" s="19" t="s">
        <v>2435</v>
      </c>
      <c r="D14" s="19" t="s">
        <v>1765</v>
      </c>
      <c r="E14" s="3" t="s">
        <v>65</v>
      </c>
      <c r="F14" s="20">
        <v>19404.96</v>
      </c>
      <c r="G14" s="19" t="s">
        <v>2423</v>
      </c>
      <c r="I14" s="3">
        <v>13</v>
      </c>
      <c r="J14" s="19" t="s">
        <v>144</v>
      </c>
      <c r="K14" s="19" t="s">
        <v>2435</v>
      </c>
      <c r="L14" s="19" t="s">
        <v>1765</v>
      </c>
      <c r="M14" s="3" t="s">
        <v>65</v>
      </c>
      <c r="N14" s="20">
        <v>19404.96</v>
      </c>
      <c r="O14" s="19" t="s">
        <v>2423</v>
      </c>
    </row>
    <row r="15" spans="1:15" x14ac:dyDescent="0.25">
      <c r="A15" s="3">
        <v>14</v>
      </c>
      <c r="B15" s="19" t="s">
        <v>590</v>
      </c>
      <c r="C15" s="19" t="s">
        <v>2422</v>
      </c>
      <c r="D15" s="19" t="s">
        <v>1765</v>
      </c>
      <c r="E15" s="3" t="s">
        <v>161</v>
      </c>
      <c r="F15" s="20">
        <v>13288</v>
      </c>
      <c r="G15" s="19" t="s">
        <v>2423</v>
      </c>
      <c r="I15" s="3">
        <v>14</v>
      </c>
      <c r="J15" s="19" t="s">
        <v>590</v>
      </c>
      <c r="K15" s="19" t="s">
        <v>2422</v>
      </c>
      <c r="L15" s="19" t="s">
        <v>1765</v>
      </c>
      <c r="M15" s="3" t="s">
        <v>161</v>
      </c>
      <c r="N15" s="20">
        <v>13288</v>
      </c>
      <c r="O15" s="19" t="s">
        <v>2423</v>
      </c>
    </row>
    <row r="16" spans="1:15" x14ac:dyDescent="0.25">
      <c r="A16" s="3">
        <v>15</v>
      </c>
      <c r="B16" s="19" t="s">
        <v>332</v>
      </c>
      <c r="C16" s="19" t="s">
        <v>2436</v>
      </c>
      <c r="D16" s="19" t="s">
        <v>2434</v>
      </c>
      <c r="E16" s="3" t="s">
        <v>140</v>
      </c>
      <c r="F16" s="20">
        <v>40621.800000000003</v>
      </c>
      <c r="G16" s="19" t="s">
        <v>2423</v>
      </c>
      <c r="I16" s="3">
        <v>15</v>
      </c>
      <c r="J16" s="19" t="s">
        <v>332</v>
      </c>
      <c r="K16" s="19" t="s">
        <v>2436</v>
      </c>
      <c r="L16" s="19" t="s">
        <v>2434</v>
      </c>
      <c r="M16" s="3" t="s">
        <v>140</v>
      </c>
      <c r="N16" s="20">
        <v>40621.800000000003</v>
      </c>
      <c r="O16" s="19" t="s">
        <v>2423</v>
      </c>
    </row>
    <row r="17" spans="1:15" x14ac:dyDescent="0.25">
      <c r="A17" s="3">
        <v>16</v>
      </c>
      <c r="B17" s="19" t="s">
        <v>170</v>
      </c>
      <c r="C17" s="19" t="s">
        <v>2435</v>
      </c>
      <c r="D17" s="19" t="s">
        <v>86</v>
      </c>
      <c r="E17" s="3" t="s">
        <v>65</v>
      </c>
      <c r="F17" s="20">
        <v>23229.96</v>
      </c>
      <c r="G17" s="19" t="s">
        <v>2423</v>
      </c>
      <c r="I17" s="3">
        <v>16</v>
      </c>
      <c r="J17" s="19" t="s">
        <v>170</v>
      </c>
      <c r="K17" s="19" t="s">
        <v>2435</v>
      </c>
      <c r="L17" s="19" t="s">
        <v>86</v>
      </c>
      <c r="M17" s="3" t="s">
        <v>65</v>
      </c>
      <c r="N17" s="20">
        <v>23229.96</v>
      </c>
      <c r="O17" s="19" t="s">
        <v>2423</v>
      </c>
    </row>
    <row r="18" spans="1:15" x14ac:dyDescent="0.25">
      <c r="A18" s="3">
        <v>17</v>
      </c>
      <c r="B18" s="19" t="s">
        <v>419</v>
      </c>
      <c r="C18" s="19" t="s">
        <v>2437</v>
      </c>
      <c r="D18" s="19" t="s">
        <v>2425</v>
      </c>
      <c r="E18" s="3" t="s">
        <v>267</v>
      </c>
      <c r="F18" s="20">
        <v>26229.96</v>
      </c>
      <c r="G18" s="19" t="s">
        <v>2423</v>
      </c>
      <c r="I18" s="3">
        <v>17</v>
      </c>
      <c r="J18" s="19" t="s">
        <v>419</v>
      </c>
      <c r="K18" s="19" t="s">
        <v>2437</v>
      </c>
      <c r="L18" s="19" t="s">
        <v>2425</v>
      </c>
      <c r="M18" s="3" t="s">
        <v>267</v>
      </c>
      <c r="N18" s="20">
        <v>26229.96</v>
      </c>
      <c r="O18" s="19" t="s">
        <v>2423</v>
      </c>
    </row>
    <row r="19" spans="1:15" x14ac:dyDescent="0.25">
      <c r="A19" s="3">
        <v>18</v>
      </c>
      <c r="B19" s="19"/>
      <c r="C19" s="19" t="s">
        <v>606</v>
      </c>
      <c r="D19" s="19" t="s">
        <v>2425</v>
      </c>
      <c r="E19" s="3" t="s">
        <v>84</v>
      </c>
      <c r="F19" s="20">
        <v>18554.89</v>
      </c>
      <c r="G19" s="19" t="s">
        <v>2426</v>
      </c>
      <c r="I19" s="3">
        <v>18</v>
      </c>
      <c r="J19" s="19"/>
      <c r="K19" s="19" t="s">
        <v>606</v>
      </c>
      <c r="L19" s="19" t="s">
        <v>2425</v>
      </c>
      <c r="M19" s="3" t="s">
        <v>84</v>
      </c>
      <c r="N19" s="20">
        <v>18554.89</v>
      </c>
      <c r="O19" s="19" t="s">
        <v>2426</v>
      </c>
    </row>
    <row r="20" spans="1:15" x14ac:dyDescent="0.25">
      <c r="A20" s="3">
        <v>19</v>
      </c>
      <c r="B20" s="19" t="s">
        <v>264</v>
      </c>
      <c r="C20" s="19" t="s">
        <v>2438</v>
      </c>
      <c r="D20" s="19" t="s">
        <v>101</v>
      </c>
      <c r="E20" s="3" t="s">
        <v>267</v>
      </c>
      <c r="F20" s="20">
        <v>26229.96</v>
      </c>
      <c r="G20" s="19" t="s">
        <v>2423</v>
      </c>
      <c r="I20" s="3">
        <v>19</v>
      </c>
      <c r="J20" s="19" t="s">
        <v>264</v>
      </c>
      <c r="K20" s="19" t="s">
        <v>2438</v>
      </c>
      <c r="L20" s="19" t="s">
        <v>101</v>
      </c>
      <c r="M20" s="3" t="s">
        <v>267</v>
      </c>
      <c r="N20" s="20">
        <v>26229.96</v>
      </c>
      <c r="O20" s="19" t="s">
        <v>2423</v>
      </c>
    </row>
    <row r="21" spans="1:15" x14ac:dyDescent="0.25">
      <c r="A21" s="3">
        <v>20</v>
      </c>
      <c r="B21" s="19"/>
      <c r="C21" s="19" t="s">
        <v>254</v>
      </c>
      <c r="D21" s="19" t="s">
        <v>101</v>
      </c>
      <c r="E21" s="3" t="s">
        <v>84</v>
      </c>
      <c r="F21" s="20">
        <v>18554.89</v>
      </c>
      <c r="G21" s="19" t="s">
        <v>2426</v>
      </c>
      <c r="I21" s="3">
        <v>20</v>
      </c>
      <c r="J21" s="19"/>
      <c r="K21" s="19" t="s">
        <v>254</v>
      </c>
      <c r="L21" s="19" t="s">
        <v>101</v>
      </c>
      <c r="M21" s="3" t="s">
        <v>84</v>
      </c>
      <c r="N21" s="20">
        <v>18554.89</v>
      </c>
      <c r="O21" s="19" t="s">
        <v>2426</v>
      </c>
    </row>
    <row r="22" spans="1:15" x14ac:dyDescent="0.25">
      <c r="A22" s="3">
        <v>21</v>
      </c>
      <c r="B22" s="19" t="s">
        <v>1287</v>
      </c>
      <c r="C22" s="19" t="s">
        <v>2422</v>
      </c>
      <c r="D22" s="19" t="s">
        <v>101</v>
      </c>
      <c r="E22" s="3" t="s">
        <v>161</v>
      </c>
      <c r="F22" s="20">
        <v>17272</v>
      </c>
      <c r="G22" s="19" t="s">
        <v>2423</v>
      </c>
      <c r="I22" s="3">
        <v>21</v>
      </c>
      <c r="J22" s="19" t="s">
        <v>1287</v>
      </c>
      <c r="K22" s="19" t="s">
        <v>2422</v>
      </c>
      <c r="L22" s="19" t="s">
        <v>101</v>
      </c>
      <c r="M22" s="3" t="s">
        <v>161</v>
      </c>
      <c r="N22" s="20">
        <v>17272</v>
      </c>
      <c r="O22" s="19" t="s">
        <v>2423</v>
      </c>
    </row>
    <row r="23" spans="1:15" x14ac:dyDescent="0.25">
      <c r="A23" s="3">
        <v>22</v>
      </c>
      <c r="B23" s="19"/>
      <c r="C23" s="19" t="s">
        <v>2439</v>
      </c>
      <c r="D23" s="19" t="s">
        <v>101</v>
      </c>
      <c r="E23" s="3" t="s">
        <v>161</v>
      </c>
      <c r="F23" s="20">
        <v>13288</v>
      </c>
      <c r="G23" s="19" t="s">
        <v>2426</v>
      </c>
      <c r="I23" s="3">
        <v>22</v>
      </c>
      <c r="J23" s="19"/>
      <c r="K23" s="19" t="s">
        <v>2439</v>
      </c>
      <c r="L23" s="19" t="s">
        <v>101</v>
      </c>
      <c r="M23" s="3" t="s">
        <v>161</v>
      </c>
      <c r="N23" s="20">
        <v>13288</v>
      </c>
      <c r="O23" s="19" t="s">
        <v>2426</v>
      </c>
    </row>
    <row r="24" spans="1:15" x14ac:dyDescent="0.25">
      <c r="A24" s="3">
        <v>23</v>
      </c>
      <c r="B24" s="19" t="s">
        <v>395</v>
      </c>
      <c r="C24" s="19" t="s">
        <v>2440</v>
      </c>
      <c r="D24" s="19" t="s">
        <v>2428</v>
      </c>
      <c r="E24" s="3" t="s">
        <v>140</v>
      </c>
      <c r="F24" s="20">
        <v>40621.800000000003</v>
      </c>
      <c r="G24" s="19" t="s">
        <v>2423</v>
      </c>
      <c r="I24" s="3">
        <v>23</v>
      </c>
      <c r="J24" s="19" t="s">
        <v>395</v>
      </c>
      <c r="K24" s="19" t="s">
        <v>2440</v>
      </c>
      <c r="L24" s="19" t="s">
        <v>2428</v>
      </c>
      <c r="M24" s="3" t="s">
        <v>140</v>
      </c>
      <c r="N24" s="20">
        <v>40621.800000000003</v>
      </c>
      <c r="O24" s="19" t="s">
        <v>2423</v>
      </c>
    </row>
    <row r="25" spans="1:15" x14ac:dyDescent="0.25">
      <c r="A25" s="3">
        <v>24</v>
      </c>
      <c r="B25" s="19"/>
      <c r="C25" s="19" t="s">
        <v>2441</v>
      </c>
      <c r="D25" s="19" t="s">
        <v>2428</v>
      </c>
      <c r="E25" s="3" t="s">
        <v>201</v>
      </c>
      <c r="F25" s="20">
        <v>11404</v>
      </c>
      <c r="G25" s="19" t="s">
        <v>2426</v>
      </c>
      <c r="I25" s="3">
        <v>24</v>
      </c>
      <c r="J25" s="19"/>
      <c r="K25" s="19" t="s">
        <v>2441</v>
      </c>
      <c r="L25" s="19" t="s">
        <v>2428</v>
      </c>
      <c r="M25" s="3" t="s">
        <v>201</v>
      </c>
      <c r="N25" s="20">
        <v>11404</v>
      </c>
      <c r="O25" s="19" t="s">
        <v>2426</v>
      </c>
    </row>
    <row r="26" spans="1:15" x14ac:dyDescent="0.25">
      <c r="A26" s="3">
        <v>25</v>
      </c>
      <c r="B26" s="19" t="s">
        <v>649</v>
      </c>
      <c r="C26" s="19" t="s">
        <v>652</v>
      </c>
      <c r="D26" s="19" t="s">
        <v>2428</v>
      </c>
      <c r="E26" s="3" t="s">
        <v>84</v>
      </c>
      <c r="F26" s="20">
        <v>18554.89</v>
      </c>
      <c r="G26" s="19" t="s">
        <v>2423</v>
      </c>
      <c r="I26" s="3">
        <v>25</v>
      </c>
      <c r="J26" s="19" t="s">
        <v>649</v>
      </c>
      <c r="K26" s="19" t="s">
        <v>652</v>
      </c>
      <c r="L26" s="19" t="s">
        <v>2428</v>
      </c>
      <c r="M26" s="3" t="s">
        <v>84</v>
      </c>
      <c r="N26" s="20">
        <v>18554.89</v>
      </c>
      <c r="O26" s="19" t="s">
        <v>2423</v>
      </c>
    </row>
    <row r="27" spans="1:15" x14ac:dyDescent="0.25">
      <c r="A27" s="3">
        <v>26</v>
      </c>
      <c r="B27" s="19"/>
      <c r="C27" s="19" t="s">
        <v>666</v>
      </c>
      <c r="D27" s="19" t="s">
        <v>2428</v>
      </c>
      <c r="E27" s="3" t="s">
        <v>84</v>
      </c>
      <c r="F27" s="20">
        <v>18554.89</v>
      </c>
      <c r="G27" s="19" t="s">
        <v>2426</v>
      </c>
      <c r="I27" s="3">
        <v>26</v>
      </c>
      <c r="J27" s="19"/>
      <c r="K27" s="19" t="s">
        <v>666</v>
      </c>
      <c r="L27" s="19" t="s">
        <v>2428</v>
      </c>
      <c r="M27" s="3" t="s">
        <v>84</v>
      </c>
      <c r="N27" s="20">
        <v>18554.89</v>
      </c>
      <c r="O27" s="19" t="s">
        <v>2426</v>
      </c>
    </row>
    <row r="28" spans="1:15" x14ac:dyDescent="0.25">
      <c r="A28" s="3">
        <v>27</v>
      </c>
      <c r="B28" s="19" t="s">
        <v>1379</v>
      </c>
      <c r="C28" s="19" t="s">
        <v>679</v>
      </c>
      <c r="D28" s="19" t="s">
        <v>2428</v>
      </c>
      <c r="E28" s="3" t="s">
        <v>84</v>
      </c>
      <c r="F28" s="20">
        <v>18554.89</v>
      </c>
      <c r="G28" s="19" t="s">
        <v>2423</v>
      </c>
      <c r="I28" s="3">
        <v>27</v>
      </c>
      <c r="J28" s="19" t="s">
        <v>1379</v>
      </c>
      <c r="K28" s="19" t="s">
        <v>679</v>
      </c>
      <c r="L28" s="19" t="s">
        <v>2428</v>
      </c>
      <c r="M28" s="3" t="s">
        <v>84</v>
      </c>
      <c r="N28" s="20">
        <v>18554.89</v>
      </c>
      <c r="O28" s="19" t="s">
        <v>2423</v>
      </c>
    </row>
    <row r="29" spans="1:15" x14ac:dyDescent="0.25">
      <c r="A29" s="3">
        <v>28</v>
      </c>
      <c r="B29" s="19" t="s">
        <v>700</v>
      </c>
      <c r="C29" s="19" t="s">
        <v>2442</v>
      </c>
      <c r="D29" s="19" t="s">
        <v>2428</v>
      </c>
      <c r="E29" s="3" t="s">
        <v>161</v>
      </c>
      <c r="F29" s="20">
        <v>17272</v>
      </c>
      <c r="G29" s="19" t="s">
        <v>2423</v>
      </c>
      <c r="I29" s="3">
        <v>28</v>
      </c>
      <c r="J29" s="19" t="s">
        <v>700</v>
      </c>
      <c r="K29" s="19" t="s">
        <v>2442</v>
      </c>
      <c r="L29" s="19" t="s">
        <v>2428</v>
      </c>
      <c r="M29" s="3" t="s">
        <v>161</v>
      </c>
      <c r="N29" s="20">
        <v>17272</v>
      </c>
      <c r="O29" s="19" t="s">
        <v>2423</v>
      </c>
    </row>
    <row r="30" spans="1:15" x14ac:dyDescent="0.25">
      <c r="A30" s="3">
        <v>29</v>
      </c>
      <c r="B30" s="19"/>
      <c r="C30" s="19" t="s">
        <v>2443</v>
      </c>
      <c r="D30" s="19" t="s">
        <v>2428</v>
      </c>
      <c r="E30" s="3" t="s">
        <v>161</v>
      </c>
      <c r="F30" s="20">
        <v>17272</v>
      </c>
      <c r="G30" s="19" t="s">
        <v>2426</v>
      </c>
      <c r="I30" s="3">
        <v>29</v>
      </c>
      <c r="J30" s="19"/>
      <c r="K30" s="19" t="s">
        <v>2443</v>
      </c>
      <c r="L30" s="19" t="s">
        <v>2428</v>
      </c>
      <c r="M30" s="3" t="s">
        <v>161</v>
      </c>
      <c r="N30" s="20">
        <v>17272</v>
      </c>
      <c r="O30" s="19" t="s">
        <v>2426</v>
      </c>
    </row>
    <row r="31" spans="1:15" x14ac:dyDescent="0.25">
      <c r="A31" s="3">
        <v>30</v>
      </c>
      <c r="B31" s="19" t="s">
        <v>935</v>
      </c>
      <c r="C31" s="19" t="s">
        <v>2444</v>
      </c>
      <c r="D31" s="19" t="s">
        <v>86</v>
      </c>
      <c r="E31" s="3" t="s">
        <v>161</v>
      </c>
      <c r="F31" s="20">
        <v>17272</v>
      </c>
      <c r="G31" s="19" t="s">
        <v>2423</v>
      </c>
      <c r="I31" s="3">
        <v>30</v>
      </c>
      <c r="J31" s="19" t="s">
        <v>935</v>
      </c>
      <c r="K31" s="19" t="s">
        <v>2444</v>
      </c>
      <c r="L31" s="19" t="s">
        <v>86</v>
      </c>
      <c r="M31" s="3" t="s">
        <v>161</v>
      </c>
      <c r="N31" s="20">
        <v>17272</v>
      </c>
      <c r="O31" s="19" t="s">
        <v>2423</v>
      </c>
    </row>
    <row r="32" spans="1:15" x14ac:dyDescent="0.25">
      <c r="A32" s="3">
        <v>31</v>
      </c>
      <c r="B32" s="19"/>
      <c r="C32" s="19" t="s">
        <v>2442</v>
      </c>
      <c r="D32" s="19" t="s">
        <v>2428</v>
      </c>
      <c r="E32" s="3" t="s">
        <v>161</v>
      </c>
      <c r="F32" s="20">
        <v>13288</v>
      </c>
      <c r="G32" s="19" t="s">
        <v>2426</v>
      </c>
      <c r="I32" s="3">
        <v>31</v>
      </c>
      <c r="J32" s="19"/>
      <c r="K32" s="19" t="s">
        <v>2442</v>
      </c>
      <c r="L32" s="19" t="s">
        <v>2428</v>
      </c>
      <c r="M32" s="3" t="s">
        <v>161</v>
      </c>
      <c r="N32" s="20">
        <v>13288</v>
      </c>
      <c r="O32" s="19" t="s">
        <v>2426</v>
      </c>
    </row>
    <row r="33" spans="1:15" x14ac:dyDescent="0.25">
      <c r="A33" s="4">
        <v>32</v>
      </c>
      <c r="B33" s="19" t="s">
        <v>474</v>
      </c>
      <c r="C33" s="19" t="s">
        <v>477</v>
      </c>
      <c r="D33" s="19" t="s">
        <v>67</v>
      </c>
      <c r="E33" s="3" t="s">
        <v>140</v>
      </c>
      <c r="F33" s="20">
        <v>40621.800000000003</v>
      </c>
      <c r="G33" s="19" t="s">
        <v>2423</v>
      </c>
      <c r="I33" s="4">
        <v>32</v>
      </c>
      <c r="J33" s="19" t="s">
        <v>474</v>
      </c>
      <c r="K33" s="19" t="s">
        <v>477</v>
      </c>
      <c r="L33" s="19" t="s">
        <v>67</v>
      </c>
      <c r="M33" s="3" t="s">
        <v>140</v>
      </c>
      <c r="N33" s="20">
        <v>40621.800000000003</v>
      </c>
      <c r="O33" s="19" t="s">
        <v>2423</v>
      </c>
    </row>
    <row r="34" spans="1:15" x14ac:dyDescent="0.25">
      <c r="A34" s="4">
        <v>33</v>
      </c>
      <c r="B34" s="19"/>
      <c r="C34" s="19" t="s">
        <v>2441</v>
      </c>
      <c r="D34" s="19" t="s">
        <v>67</v>
      </c>
      <c r="E34" s="3" t="s">
        <v>201</v>
      </c>
      <c r="F34" s="20">
        <v>11404</v>
      </c>
      <c r="G34" s="19" t="s">
        <v>2426</v>
      </c>
      <c r="I34" s="4">
        <v>33</v>
      </c>
      <c r="J34" s="19"/>
      <c r="K34" s="19" t="s">
        <v>2441</v>
      </c>
      <c r="L34" s="19" t="s">
        <v>67</v>
      </c>
      <c r="M34" s="3" t="s">
        <v>201</v>
      </c>
      <c r="N34" s="20">
        <v>11404</v>
      </c>
      <c r="O34" s="19" t="s">
        <v>2426</v>
      </c>
    </row>
    <row r="35" spans="1:15" x14ac:dyDescent="0.25">
      <c r="A35" s="4">
        <v>34</v>
      </c>
      <c r="B35" s="19" t="s">
        <v>766</v>
      </c>
      <c r="C35" s="19" t="s">
        <v>769</v>
      </c>
      <c r="D35" s="19" t="s">
        <v>67</v>
      </c>
      <c r="E35" s="3" t="s">
        <v>84</v>
      </c>
      <c r="F35" s="20">
        <v>18554.89</v>
      </c>
      <c r="G35" s="19" t="s">
        <v>2423</v>
      </c>
      <c r="I35" s="4">
        <v>34</v>
      </c>
      <c r="J35" s="19" t="s">
        <v>766</v>
      </c>
      <c r="K35" s="19" t="s">
        <v>769</v>
      </c>
      <c r="L35" s="19" t="s">
        <v>67</v>
      </c>
      <c r="M35" s="3" t="s">
        <v>84</v>
      </c>
      <c r="N35" s="20">
        <v>18554.89</v>
      </c>
      <c r="O35" s="19" t="s">
        <v>2423</v>
      </c>
    </row>
    <row r="36" spans="1:15" x14ac:dyDescent="0.25">
      <c r="A36" s="4">
        <v>35</v>
      </c>
      <c r="B36" s="19" t="s">
        <v>2445</v>
      </c>
      <c r="C36" s="19" t="s">
        <v>783</v>
      </c>
      <c r="D36" s="19" t="s">
        <v>67</v>
      </c>
      <c r="E36" s="3" t="s">
        <v>84</v>
      </c>
      <c r="F36" s="20">
        <v>18554.89</v>
      </c>
      <c r="G36" s="19" t="s">
        <v>2423</v>
      </c>
      <c r="I36" s="4">
        <v>35</v>
      </c>
      <c r="J36" s="19" t="s">
        <v>2445</v>
      </c>
      <c r="K36" s="19" t="s">
        <v>783</v>
      </c>
      <c r="L36" s="19" t="s">
        <v>67</v>
      </c>
      <c r="M36" s="3" t="s">
        <v>84</v>
      </c>
      <c r="N36" s="20">
        <v>18554.89</v>
      </c>
      <c r="O36" s="19" t="s">
        <v>2423</v>
      </c>
    </row>
    <row r="37" spans="1:15" x14ac:dyDescent="0.25">
      <c r="A37" s="4">
        <v>36</v>
      </c>
      <c r="B37" s="19"/>
      <c r="C37" s="19" t="s">
        <v>794</v>
      </c>
      <c r="D37" s="19" t="s">
        <v>67</v>
      </c>
      <c r="E37" s="3" t="s">
        <v>84</v>
      </c>
      <c r="F37" s="20">
        <v>18554.89</v>
      </c>
      <c r="G37" s="19" t="s">
        <v>2426</v>
      </c>
      <c r="I37" s="4">
        <v>36</v>
      </c>
      <c r="J37" s="19"/>
      <c r="K37" s="19" t="s">
        <v>794</v>
      </c>
      <c r="L37" s="19" t="s">
        <v>67</v>
      </c>
      <c r="M37" s="3" t="s">
        <v>84</v>
      </c>
      <c r="N37" s="20">
        <v>18554.89</v>
      </c>
      <c r="O37" s="19" t="s">
        <v>2426</v>
      </c>
    </row>
    <row r="38" spans="1:15" x14ac:dyDescent="0.25">
      <c r="A38" s="4">
        <v>37</v>
      </c>
      <c r="B38" s="19"/>
      <c r="C38" s="19" t="s">
        <v>2446</v>
      </c>
      <c r="D38" s="19" t="s">
        <v>67</v>
      </c>
      <c r="E38" s="3" t="s">
        <v>161</v>
      </c>
      <c r="F38" s="20">
        <v>17272</v>
      </c>
      <c r="G38" s="19" t="s">
        <v>2426</v>
      </c>
      <c r="I38" s="4">
        <v>37</v>
      </c>
      <c r="J38" s="19"/>
      <c r="K38" s="19" t="s">
        <v>2446</v>
      </c>
      <c r="L38" s="19" t="s">
        <v>67</v>
      </c>
      <c r="M38" s="3" t="s">
        <v>161</v>
      </c>
      <c r="N38" s="20">
        <v>17272</v>
      </c>
      <c r="O38" s="19" t="s">
        <v>2426</v>
      </c>
    </row>
    <row r="39" spans="1:15" x14ac:dyDescent="0.25">
      <c r="A39" s="3">
        <v>38</v>
      </c>
      <c r="B39" s="19" t="s">
        <v>874</v>
      </c>
      <c r="C39" s="19" t="s">
        <v>2447</v>
      </c>
      <c r="D39" s="19" t="s">
        <v>988</v>
      </c>
      <c r="E39" s="3" t="s">
        <v>161</v>
      </c>
      <c r="F39" s="20">
        <v>17272</v>
      </c>
      <c r="G39" s="19" t="s">
        <v>2423</v>
      </c>
      <c r="I39" s="3">
        <v>38</v>
      </c>
      <c r="J39" s="19" t="s">
        <v>874</v>
      </c>
      <c r="K39" s="19" t="s">
        <v>2447</v>
      </c>
      <c r="L39" s="19" t="s">
        <v>988</v>
      </c>
      <c r="M39" s="3" t="s">
        <v>161</v>
      </c>
      <c r="N39" s="20">
        <v>17272</v>
      </c>
      <c r="O39" s="19" t="s">
        <v>2423</v>
      </c>
    </row>
    <row r="40" spans="1:15" x14ac:dyDescent="0.25">
      <c r="A40" s="4">
        <v>39</v>
      </c>
      <c r="B40" s="19"/>
      <c r="C40" s="19" t="s">
        <v>2448</v>
      </c>
      <c r="D40" s="19" t="s">
        <v>67</v>
      </c>
      <c r="E40" s="3" t="s">
        <v>161</v>
      </c>
      <c r="F40" s="20">
        <v>13288</v>
      </c>
      <c r="G40" s="19" t="s">
        <v>2426</v>
      </c>
      <c r="I40" s="4">
        <v>39</v>
      </c>
      <c r="J40" s="19"/>
      <c r="K40" s="19" t="s">
        <v>2448</v>
      </c>
      <c r="L40" s="19" t="s">
        <v>67</v>
      </c>
      <c r="M40" s="3" t="s">
        <v>161</v>
      </c>
      <c r="N40" s="20">
        <v>13288</v>
      </c>
      <c r="O40" s="19" t="s">
        <v>2426</v>
      </c>
    </row>
    <row r="41" spans="1:15" x14ac:dyDescent="0.25">
      <c r="A41" s="4">
        <v>40</v>
      </c>
      <c r="B41" s="19"/>
      <c r="C41" s="19" t="s">
        <v>2446</v>
      </c>
      <c r="D41" s="19" t="s">
        <v>67</v>
      </c>
      <c r="E41" s="3" t="s">
        <v>161</v>
      </c>
      <c r="F41" s="20">
        <v>13288</v>
      </c>
      <c r="G41" s="19" t="s">
        <v>2426</v>
      </c>
      <c r="I41" s="4">
        <v>40</v>
      </c>
      <c r="J41" s="19"/>
      <c r="K41" s="19" t="s">
        <v>2446</v>
      </c>
      <c r="L41" s="19" t="s">
        <v>67</v>
      </c>
      <c r="M41" s="3" t="s">
        <v>161</v>
      </c>
      <c r="N41" s="20">
        <v>13288</v>
      </c>
      <c r="O41" s="19" t="s">
        <v>2426</v>
      </c>
    </row>
    <row r="42" spans="1:15" x14ac:dyDescent="0.25">
      <c r="A42" s="3">
        <v>41</v>
      </c>
      <c r="B42" s="21" t="s">
        <v>1257</v>
      </c>
      <c r="C42" s="21" t="s">
        <v>437</v>
      </c>
      <c r="D42" s="21" t="s">
        <v>2449</v>
      </c>
      <c r="E42" s="4" t="s">
        <v>140</v>
      </c>
      <c r="F42" s="22">
        <v>40621.800000000003</v>
      </c>
      <c r="G42" s="21" t="s">
        <v>2450</v>
      </c>
      <c r="I42" s="3">
        <v>41</v>
      </c>
      <c r="J42" s="21" t="s">
        <v>1257</v>
      </c>
      <c r="K42" s="21" t="s">
        <v>437</v>
      </c>
      <c r="L42" s="21" t="s">
        <v>2449</v>
      </c>
      <c r="M42" s="4" t="s">
        <v>140</v>
      </c>
      <c r="N42" s="22">
        <v>40621.800000000003</v>
      </c>
      <c r="O42" s="21" t="s">
        <v>2450</v>
      </c>
    </row>
    <row r="43" spans="1:15" x14ac:dyDescent="0.25">
      <c r="A43" s="3">
        <v>42</v>
      </c>
      <c r="B43" s="19"/>
      <c r="C43" s="19" t="s">
        <v>2451</v>
      </c>
      <c r="D43" s="19" t="s">
        <v>2449</v>
      </c>
      <c r="E43" s="3" t="s">
        <v>201</v>
      </c>
      <c r="F43" s="20">
        <v>11404</v>
      </c>
      <c r="G43" s="19" t="s">
        <v>2426</v>
      </c>
      <c r="I43" s="3">
        <v>42</v>
      </c>
      <c r="J43" s="19"/>
      <c r="K43" s="19" t="s">
        <v>2451</v>
      </c>
      <c r="L43" s="19" t="s">
        <v>2449</v>
      </c>
      <c r="M43" s="3" t="s">
        <v>201</v>
      </c>
      <c r="N43" s="20">
        <v>11404</v>
      </c>
      <c r="O43" s="19" t="s">
        <v>2426</v>
      </c>
    </row>
    <row r="44" spans="1:15" x14ac:dyDescent="0.25">
      <c r="A44" s="3">
        <v>43</v>
      </c>
      <c r="B44" s="19" t="s">
        <v>125</v>
      </c>
      <c r="C44" s="19" t="s">
        <v>128</v>
      </c>
      <c r="D44" s="19" t="s">
        <v>2449</v>
      </c>
      <c r="E44" s="3" t="s">
        <v>84</v>
      </c>
      <c r="F44" s="20">
        <v>18554.89</v>
      </c>
      <c r="G44" s="19" t="s">
        <v>2423</v>
      </c>
      <c r="I44" s="3">
        <v>43</v>
      </c>
      <c r="J44" s="19" t="s">
        <v>125</v>
      </c>
      <c r="K44" s="19" t="s">
        <v>128</v>
      </c>
      <c r="L44" s="19" t="s">
        <v>2449</v>
      </c>
      <c r="M44" s="3" t="s">
        <v>84</v>
      </c>
      <c r="N44" s="20">
        <v>18554.89</v>
      </c>
      <c r="O44" s="19" t="s">
        <v>2423</v>
      </c>
    </row>
    <row r="45" spans="1:15" x14ac:dyDescent="0.25">
      <c r="A45" s="4">
        <v>44</v>
      </c>
      <c r="B45" s="19" t="s">
        <v>1516</v>
      </c>
      <c r="C45" s="19" t="s">
        <v>2446</v>
      </c>
      <c r="D45" s="19" t="s">
        <v>67</v>
      </c>
      <c r="E45" s="3" t="s">
        <v>161</v>
      </c>
      <c r="F45" s="20">
        <v>17272</v>
      </c>
      <c r="G45" s="19" t="s">
        <v>2423</v>
      </c>
      <c r="I45" s="4">
        <v>44</v>
      </c>
      <c r="J45" s="19" t="s">
        <v>1516</v>
      </c>
      <c r="K45" s="19" t="s">
        <v>2446</v>
      </c>
      <c r="L45" s="19" t="s">
        <v>67</v>
      </c>
      <c r="M45" s="3" t="s">
        <v>161</v>
      </c>
      <c r="N45" s="20">
        <v>17272</v>
      </c>
      <c r="O45" s="19" t="s">
        <v>2423</v>
      </c>
    </row>
    <row r="46" spans="1:15" x14ac:dyDescent="0.25">
      <c r="A46" s="3">
        <v>45</v>
      </c>
      <c r="B46" s="19" t="s">
        <v>1544</v>
      </c>
      <c r="C46" s="19" t="s">
        <v>162</v>
      </c>
      <c r="D46" s="19" t="s">
        <v>2425</v>
      </c>
      <c r="E46" s="3" t="s">
        <v>161</v>
      </c>
      <c r="F46" s="20">
        <v>13288</v>
      </c>
      <c r="G46" s="19" t="s">
        <v>2423</v>
      </c>
      <c r="I46" s="3">
        <v>45</v>
      </c>
      <c r="J46" s="19" t="s">
        <v>1544</v>
      </c>
      <c r="K46" s="19" t="s">
        <v>162</v>
      </c>
      <c r="L46" s="19" t="s">
        <v>2425</v>
      </c>
      <c r="M46" s="3" t="s">
        <v>161</v>
      </c>
      <c r="N46" s="20">
        <v>13288</v>
      </c>
      <c r="O46" s="19" t="s">
        <v>2423</v>
      </c>
    </row>
    <row r="47" spans="1:15" x14ac:dyDescent="0.25">
      <c r="A47" s="3">
        <v>46</v>
      </c>
      <c r="B47" s="19"/>
      <c r="C47" s="19" t="s">
        <v>2452</v>
      </c>
      <c r="D47" s="19" t="s">
        <v>2449</v>
      </c>
      <c r="E47" s="3" t="s">
        <v>161</v>
      </c>
      <c r="F47" s="20">
        <v>13288</v>
      </c>
      <c r="G47" s="19" t="s">
        <v>2426</v>
      </c>
      <c r="I47" s="3">
        <v>46</v>
      </c>
      <c r="J47" s="19"/>
      <c r="K47" s="19" t="s">
        <v>2453</v>
      </c>
      <c r="L47" s="19" t="s">
        <v>2449</v>
      </c>
      <c r="M47" s="3" t="s">
        <v>161</v>
      </c>
      <c r="N47" s="20">
        <v>13288</v>
      </c>
      <c r="O47" s="19" t="s">
        <v>2426</v>
      </c>
    </row>
    <row r="48" spans="1:15" x14ac:dyDescent="0.25">
      <c r="A48" s="3">
        <v>47</v>
      </c>
      <c r="B48" s="19" t="s">
        <v>1201</v>
      </c>
      <c r="C48" s="19" t="s">
        <v>2454</v>
      </c>
      <c r="D48" s="19" t="s">
        <v>2455</v>
      </c>
      <c r="E48" s="3" t="s">
        <v>140</v>
      </c>
      <c r="F48" s="20">
        <v>40621.800000000003</v>
      </c>
      <c r="G48" s="19" t="s">
        <v>2423</v>
      </c>
      <c r="I48" s="3">
        <v>47</v>
      </c>
      <c r="J48" s="19" t="s">
        <v>1201</v>
      </c>
      <c r="K48" s="19" t="s">
        <v>2454</v>
      </c>
      <c r="L48" s="19" t="s">
        <v>2455</v>
      </c>
      <c r="M48" s="3" t="s">
        <v>140</v>
      </c>
      <c r="N48" s="20">
        <v>40621.800000000003</v>
      </c>
      <c r="O48" s="19" t="s">
        <v>2423</v>
      </c>
    </row>
    <row r="49" spans="1:15" x14ac:dyDescent="0.25">
      <c r="A49" s="3">
        <v>48</v>
      </c>
      <c r="B49" s="19" t="s">
        <v>1231</v>
      </c>
      <c r="C49" s="19" t="s">
        <v>462</v>
      </c>
      <c r="D49" s="19" t="s">
        <v>2455</v>
      </c>
      <c r="E49" s="3" t="s">
        <v>84</v>
      </c>
      <c r="F49" s="20">
        <v>18554.89</v>
      </c>
      <c r="G49" s="19" t="s">
        <v>2423</v>
      </c>
      <c r="I49" s="3">
        <v>48</v>
      </c>
      <c r="J49" s="19" t="s">
        <v>1231</v>
      </c>
      <c r="K49" s="19" t="s">
        <v>462</v>
      </c>
      <c r="L49" s="19" t="s">
        <v>2455</v>
      </c>
      <c r="M49" s="3" t="s">
        <v>84</v>
      </c>
      <c r="N49" s="20">
        <v>18554.89</v>
      </c>
      <c r="O49" s="19" t="s">
        <v>2423</v>
      </c>
    </row>
    <row r="50" spans="1:15" x14ac:dyDescent="0.25">
      <c r="A50" s="3">
        <v>49</v>
      </c>
      <c r="B50" s="19" t="s">
        <v>445</v>
      </c>
      <c r="C50" s="19" t="s">
        <v>448</v>
      </c>
      <c r="D50" s="19" t="s">
        <v>2455</v>
      </c>
      <c r="E50" s="3" t="s">
        <v>84</v>
      </c>
      <c r="F50" s="20">
        <v>18554.89</v>
      </c>
      <c r="G50" s="19" t="s">
        <v>2423</v>
      </c>
      <c r="I50" s="3">
        <v>49</v>
      </c>
      <c r="J50" s="19" t="s">
        <v>445</v>
      </c>
      <c r="K50" s="19" t="s">
        <v>448</v>
      </c>
      <c r="L50" s="19" t="s">
        <v>2455</v>
      </c>
      <c r="M50" s="3" t="s">
        <v>84</v>
      </c>
      <c r="N50" s="20">
        <v>18554.89</v>
      </c>
      <c r="O50" s="19" t="s">
        <v>2423</v>
      </c>
    </row>
    <row r="51" spans="1:15" x14ac:dyDescent="0.25">
      <c r="A51" s="3">
        <v>50</v>
      </c>
      <c r="B51" s="19" t="s">
        <v>915</v>
      </c>
      <c r="C51" s="19" t="s">
        <v>2422</v>
      </c>
      <c r="D51" s="19" t="s">
        <v>2455</v>
      </c>
      <c r="E51" s="3" t="s">
        <v>161</v>
      </c>
      <c r="F51" s="20">
        <v>17272</v>
      </c>
      <c r="G51" s="19" t="s">
        <v>2423</v>
      </c>
      <c r="I51" s="3">
        <v>50</v>
      </c>
      <c r="J51" s="19" t="s">
        <v>915</v>
      </c>
      <c r="K51" s="19" t="s">
        <v>2422</v>
      </c>
      <c r="L51" s="19" t="s">
        <v>2455</v>
      </c>
      <c r="M51" s="3" t="s">
        <v>161</v>
      </c>
      <c r="N51" s="20">
        <v>17272</v>
      </c>
      <c r="O51" s="19" t="s">
        <v>2423</v>
      </c>
    </row>
    <row r="52" spans="1:15" x14ac:dyDescent="0.25">
      <c r="A52" s="3">
        <v>51</v>
      </c>
      <c r="B52" s="19" t="s">
        <v>358</v>
      </c>
      <c r="C52" s="19" t="s">
        <v>361</v>
      </c>
      <c r="D52" s="19" t="s">
        <v>86</v>
      </c>
      <c r="E52" s="3" t="s">
        <v>140</v>
      </c>
      <c r="F52" s="20">
        <v>40621.800000000003</v>
      </c>
      <c r="G52" s="19" t="s">
        <v>2423</v>
      </c>
      <c r="I52" s="3">
        <v>51</v>
      </c>
      <c r="J52" s="19" t="s">
        <v>358</v>
      </c>
      <c r="K52" s="19" t="s">
        <v>361</v>
      </c>
      <c r="L52" s="19" t="s">
        <v>86</v>
      </c>
      <c r="M52" s="3" t="s">
        <v>140</v>
      </c>
      <c r="N52" s="20">
        <v>40621.800000000003</v>
      </c>
      <c r="O52" s="19" t="s">
        <v>2423</v>
      </c>
    </row>
    <row r="53" spans="1:15" x14ac:dyDescent="0.25">
      <c r="A53" s="3">
        <v>52</v>
      </c>
      <c r="B53" s="19" t="s">
        <v>2456</v>
      </c>
      <c r="C53" s="19" t="s">
        <v>85</v>
      </c>
      <c r="D53" s="19" t="s">
        <v>86</v>
      </c>
      <c r="E53" s="3" t="s">
        <v>84</v>
      </c>
      <c r="F53" s="20">
        <v>18554.89</v>
      </c>
      <c r="G53" s="19" t="s">
        <v>2423</v>
      </c>
      <c r="I53" s="3">
        <v>52</v>
      </c>
      <c r="J53" s="19" t="s">
        <v>2456</v>
      </c>
      <c r="K53" s="19" t="s">
        <v>85</v>
      </c>
      <c r="L53" s="19" t="s">
        <v>86</v>
      </c>
      <c r="M53" s="3" t="s">
        <v>84</v>
      </c>
      <c r="N53" s="20">
        <v>18554.89</v>
      </c>
      <c r="O53" s="19" t="s">
        <v>2423</v>
      </c>
    </row>
    <row r="54" spans="1:15" x14ac:dyDescent="0.25">
      <c r="A54" s="3">
        <v>53</v>
      </c>
      <c r="B54" s="19" t="s">
        <v>302</v>
      </c>
      <c r="C54" s="19" t="s">
        <v>2457</v>
      </c>
      <c r="D54" s="19" t="s">
        <v>86</v>
      </c>
      <c r="E54" s="3" t="s">
        <v>161</v>
      </c>
      <c r="F54" s="20">
        <v>17272</v>
      </c>
      <c r="G54" s="19" t="s">
        <v>2423</v>
      </c>
      <c r="I54" s="3">
        <v>53</v>
      </c>
      <c r="J54" s="19" t="s">
        <v>302</v>
      </c>
      <c r="K54" s="19" t="s">
        <v>2457</v>
      </c>
      <c r="L54" s="19" t="s">
        <v>86</v>
      </c>
      <c r="M54" s="3" t="s">
        <v>161</v>
      </c>
      <c r="N54" s="20">
        <v>17272</v>
      </c>
      <c r="O54" s="19" t="s">
        <v>2423</v>
      </c>
    </row>
    <row r="55" spans="1:15" x14ac:dyDescent="0.25">
      <c r="A55" s="3">
        <v>54</v>
      </c>
      <c r="B55" s="19" t="s">
        <v>1445</v>
      </c>
      <c r="C55" s="19" t="s">
        <v>2458</v>
      </c>
      <c r="D55" s="19" t="s">
        <v>86</v>
      </c>
      <c r="E55" s="3" t="s">
        <v>161</v>
      </c>
      <c r="F55" s="20">
        <v>13288</v>
      </c>
      <c r="G55" s="19" t="s">
        <v>2423</v>
      </c>
      <c r="I55" s="3">
        <v>54</v>
      </c>
      <c r="J55" s="19" t="s">
        <v>1445</v>
      </c>
      <c r="K55" s="19" t="s">
        <v>2459</v>
      </c>
      <c r="L55" s="19" t="s">
        <v>988</v>
      </c>
      <c r="M55" s="3" t="s">
        <v>161</v>
      </c>
      <c r="N55" s="20">
        <v>13288</v>
      </c>
      <c r="O55" s="19" t="s">
        <v>2423</v>
      </c>
    </row>
    <row r="56" spans="1:15" x14ac:dyDescent="0.25">
      <c r="A56" s="3">
        <v>55</v>
      </c>
      <c r="B56" s="19" t="s">
        <v>1490</v>
      </c>
      <c r="C56" s="19" t="s">
        <v>2460</v>
      </c>
      <c r="D56" s="19" t="s">
        <v>2449</v>
      </c>
      <c r="E56" s="3" t="s">
        <v>161</v>
      </c>
      <c r="F56" s="20">
        <v>13288</v>
      </c>
      <c r="G56" s="19" t="s">
        <v>2423</v>
      </c>
      <c r="I56" s="3">
        <v>55</v>
      </c>
      <c r="J56" s="19" t="s">
        <v>1490</v>
      </c>
      <c r="K56" s="19" t="s">
        <v>2460</v>
      </c>
      <c r="L56" s="19" t="s">
        <v>2449</v>
      </c>
      <c r="M56" s="3" t="s">
        <v>161</v>
      </c>
      <c r="N56" s="20">
        <v>13288</v>
      </c>
      <c r="O56" s="19" t="s">
        <v>2423</v>
      </c>
    </row>
    <row r="57" spans="1:15" x14ac:dyDescent="0.25">
      <c r="A57" s="3">
        <v>56</v>
      </c>
      <c r="B57" s="19" t="s">
        <v>2461</v>
      </c>
      <c r="C57" s="19" t="s">
        <v>2444</v>
      </c>
      <c r="D57" s="19" t="s">
        <v>86</v>
      </c>
      <c r="E57" s="3" t="s">
        <v>161</v>
      </c>
      <c r="F57" s="20">
        <v>13288</v>
      </c>
      <c r="G57" s="19" t="s">
        <v>2423</v>
      </c>
      <c r="I57" s="3">
        <v>56</v>
      </c>
      <c r="J57" s="19" t="s">
        <v>2461</v>
      </c>
      <c r="K57" s="19" t="s">
        <v>2444</v>
      </c>
      <c r="L57" s="19" t="s">
        <v>86</v>
      </c>
      <c r="M57" s="3" t="s">
        <v>161</v>
      </c>
      <c r="N57" s="20">
        <v>13288</v>
      </c>
      <c r="O57" s="19" t="s">
        <v>2423</v>
      </c>
    </row>
    <row r="58" spans="1:15" x14ac:dyDescent="0.25">
      <c r="A58" s="3">
        <v>57</v>
      </c>
      <c r="B58" s="19"/>
      <c r="C58" s="19" t="s">
        <v>2462</v>
      </c>
      <c r="D58" s="19" t="s">
        <v>86</v>
      </c>
      <c r="E58" s="19" t="s">
        <v>2462</v>
      </c>
      <c r="F58" s="20">
        <v>14012.380000000001</v>
      </c>
      <c r="G58" s="19" t="s">
        <v>2463</v>
      </c>
      <c r="I58" s="3">
        <v>57</v>
      </c>
      <c r="J58" s="19"/>
      <c r="K58" s="19" t="s">
        <v>2462</v>
      </c>
      <c r="L58" s="19" t="s">
        <v>86</v>
      </c>
      <c r="M58" s="19" t="s">
        <v>2462</v>
      </c>
      <c r="N58" s="20">
        <v>14012.380000000001</v>
      </c>
      <c r="O58" s="19" t="s">
        <v>2463</v>
      </c>
    </row>
    <row r="59" spans="1:15" x14ac:dyDescent="0.25">
      <c r="A59" s="3">
        <v>58</v>
      </c>
      <c r="B59" s="19"/>
      <c r="C59" s="19" t="s">
        <v>2451</v>
      </c>
      <c r="D59" s="19" t="s">
        <v>988</v>
      </c>
      <c r="E59" s="3" t="s">
        <v>201</v>
      </c>
      <c r="F59" s="20">
        <v>11404</v>
      </c>
      <c r="G59" s="19" t="s">
        <v>2426</v>
      </c>
      <c r="I59" s="3">
        <v>58</v>
      </c>
      <c r="J59" s="19"/>
      <c r="K59" s="19" t="s">
        <v>2451</v>
      </c>
      <c r="L59" s="19" t="s">
        <v>988</v>
      </c>
      <c r="M59" s="3" t="s">
        <v>201</v>
      </c>
      <c r="N59" s="20">
        <v>11404</v>
      </c>
      <c r="O59" s="19" t="s">
        <v>2426</v>
      </c>
    </row>
    <row r="60" spans="1:15" x14ac:dyDescent="0.25">
      <c r="A60" s="3">
        <v>59</v>
      </c>
      <c r="B60" s="19" t="s">
        <v>978</v>
      </c>
      <c r="C60" s="19" t="s">
        <v>2422</v>
      </c>
      <c r="D60" s="19" t="s">
        <v>2455</v>
      </c>
      <c r="E60" s="3" t="s">
        <v>161</v>
      </c>
      <c r="F60" s="20">
        <v>17272</v>
      </c>
      <c r="G60" s="19" t="s">
        <v>2423</v>
      </c>
      <c r="I60" s="3">
        <v>59</v>
      </c>
      <c r="J60" s="19" t="s">
        <v>978</v>
      </c>
      <c r="K60" s="19" t="s">
        <v>2459</v>
      </c>
      <c r="L60" s="19" t="s">
        <v>988</v>
      </c>
      <c r="M60" s="3" t="s">
        <v>161</v>
      </c>
      <c r="N60" s="20">
        <v>17272</v>
      </c>
      <c r="O60" s="19" t="s">
        <v>2423</v>
      </c>
    </row>
    <row r="61" spans="1:15" x14ac:dyDescent="0.25">
      <c r="A61" s="3">
        <v>60</v>
      </c>
      <c r="B61" s="19" t="s">
        <v>1312</v>
      </c>
      <c r="C61" s="19" t="s">
        <v>2464</v>
      </c>
      <c r="D61" s="19" t="s">
        <v>988</v>
      </c>
      <c r="E61" s="3" t="s">
        <v>161</v>
      </c>
      <c r="F61" s="20">
        <v>17272</v>
      </c>
      <c r="G61" s="19" t="s">
        <v>2423</v>
      </c>
      <c r="I61" s="3">
        <v>60</v>
      </c>
      <c r="J61" s="19" t="s">
        <v>1312</v>
      </c>
      <c r="K61" s="19" t="s">
        <v>2464</v>
      </c>
      <c r="L61" s="19" t="s">
        <v>988</v>
      </c>
      <c r="M61" s="3" t="s">
        <v>161</v>
      </c>
      <c r="N61" s="20">
        <v>17272</v>
      </c>
      <c r="O61" s="19" t="s">
        <v>2423</v>
      </c>
    </row>
    <row r="62" spans="1:15" x14ac:dyDescent="0.25">
      <c r="A62" s="3">
        <v>61</v>
      </c>
      <c r="B62" s="19" t="s">
        <v>949</v>
      </c>
      <c r="C62" s="19" t="s">
        <v>2465</v>
      </c>
      <c r="D62" s="19" t="s">
        <v>86</v>
      </c>
      <c r="E62" s="3" t="s">
        <v>161</v>
      </c>
      <c r="F62" s="20">
        <v>17272</v>
      </c>
      <c r="G62" s="19" t="s">
        <v>2423</v>
      </c>
      <c r="I62" s="3">
        <v>61</v>
      </c>
      <c r="J62" s="19" t="s">
        <v>949</v>
      </c>
      <c r="K62" s="19" t="s">
        <v>2465</v>
      </c>
      <c r="L62" s="19" t="s">
        <v>86</v>
      </c>
      <c r="M62" s="3" t="s">
        <v>161</v>
      </c>
      <c r="N62" s="20">
        <v>17272</v>
      </c>
      <c r="O62" s="19" t="s">
        <v>2423</v>
      </c>
    </row>
    <row r="63" spans="1:15" x14ac:dyDescent="0.25">
      <c r="A63" s="3">
        <v>62</v>
      </c>
      <c r="B63" s="19" t="s">
        <v>1366</v>
      </c>
      <c r="C63" s="19" t="s">
        <v>2459</v>
      </c>
      <c r="D63" s="19" t="s">
        <v>988</v>
      </c>
      <c r="E63" s="3" t="s">
        <v>161</v>
      </c>
      <c r="F63" s="20">
        <v>17272</v>
      </c>
      <c r="G63" s="19" t="s">
        <v>2423</v>
      </c>
      <c r="I63" s="3">
        <v>62</v>
      </c>
      <c r="J63" s="19" t="s">
        <v>1366</v>
      </c>
      <c r="K63" s="19" t="s">
        <v>2459</v>
      </c>
      <c r="L63" s="19" t="s">
        <v>988</v>
      </c>
      <c r="M63" s="3" t="s">
        <v>161</v>
      </c>
      <c r="N63" s="20">
        <v>17272</v>
      </c>
      <c r="O63" s="19" t="s">
        <v>2423</v>
      </c>
    </row>
    <row r="64" spans="1:15" x14ac:dyDescent="0.25">
      <c r="A64" s="3">
        <v>63</v>
      </c>
      <c r="B64" s="19"/>
      <c r="C64" s="19" t="s">
        <v>2466</v>
      </c>
      <c r="D64" s="19" t="s">
        <v>988</v>
      </c>
      <c r="E64" s="3" t="s">
        <v>373</v>
      </c>
      <c r="F64" s="20">
        <v>13103</v>
      </c>
      <c r="G64" s="19" t="s">
        <v>2426</v>
      </c>
      <c r="I64" s="3">
        <v>63</v>
      </c>
      <c r="J64" s="19"/>
      <c r="K64" s="19" t="s">
        <v>2466</v>
      </c>
      <c r="L64" s="19" t="s">
        <v>988</v>
      </c>
      <c r="M64" s="3" t="s">
        <v>373</v>
      </c>
      <c r="N64" s="20">
        <v>13103</v>
      </c>
      <c r="O64" s="19" t="s">
        <v>2426</v>
      </c>
    </row>
    <row r="65" spans="1:15" x14ac:dyDescent="0.25">
      <c r="A65" s="3">
        <v>64</v>
      </c>
      <c r="B65" s="19"/>
      <c r="C65" s="19" t="s">
        <v>2464</v>
      </c>
      <c r="D65" s="19" t="s">
        <v>988</v>
      </c>
      <c r="E65" s="3" t="s">
        <v>161</v>
      </c>
      <c r="F65" s="20">
        <v>13288</v>
      </c>
      <c r="G65" s="19" t="s">
        <v>2426</v>
      </c>
      <c r="I65" s="3">
        <v>64</v>
      </c>
      <c r="J65" s="19"/>
      <c r="K65" s="19" t="s">
        <v>2464</v>
      </c>
      <c r="L65" s="19" t="s">
        <v>988</v>
      </c>
      <c r="M65" s="3" t="s">
        <v>161</v>
      </c>
      <c r="N65" s="20">
        <v>13288</v>
      </c>
      <c r="O65" s="19" t="s">
        <v>2426</v>
      </c>
    </row>
    <row r="66" spans="1:15" x14ac:dyDescent="0.25">
      <c r="A66" s="3">
        <v>65</v>
      </c>
      <c r="B66" s="19"/>
      <c r="C66" s="19" t="s">
        <v>2467</v>
      </c>
      <c r="D66" s="19" t="s">
        <v>988</v>
      </c>
      <c r="E66" s="3" t="s">
        <v>161</v>
      </c>
      <c r="F66" s="20">
        <v>13288</v>
      </c>
      <c r="G66" s="19" t="s">
        <v>2426</v>
      </c>
      <c r="I66" s="3">
        <v>65</v>
      </c>
      <c r="J66" s="19"/>
      <c r="K66" s="19" t="s">
        <v>2467</v>
      </c>
      <c r="L66" s="19" t="s">
        <v>988</v>
      </c>
      <c r="M66" s="3" t="s">
        <v>161</v>
      </c>
      <c r="N66" s="20">
        <v>13288</v>
      </c>
      <c r="O66" s="19" t="s">
        <v>2426</v>
      </c>
    </row>
    <row r="67" spans="1:15" x14ac:dyDescent="0.25">
      <c r="A67" s="3">
        <v>66</v>
      </c>
      <c r="B67" s="19"/>
      <c r="C67" s="19" t="s">
        <v>2430</v>
      </c>
      <c r="D67" s="19" t="s">
        <v>988</v>
      </c>
      <c r="E67" s="3" t="s">
        <v>161</v>
      </c>
      <c r="F67" s="20">
        <v>13288</v>
      </c>
      <c r="G67" s="19" t="s">
        <v>2426</v>
      </c>
      <c r="I67" s="3">
        <v>66</v>
      </c>
      <c r="J67" s="19"/>
      <c r="K67" s="19" t="s">
        <v>2430</v>
      </c>
      <c r="L67" s="19" t="s">
        <v>988</v>
      </c>
      <c r="M67" s="3" t="s">
        <v>161</v>
      </c>
      <c r="N67" s="20">
        <v>13288</v>
      </c>
      <c r="O67" s="19" t="s">
        <v>2426</v>
      </c>
    </row>
    <row r="68" spans="1:15" x14ac:dyDescent="0.25">
      <c r="A68" s="3">
        <v>67</v>
      </c>
      <c r="B68" s="19"/>
      <c r="C68" s="19" t="s">
        <v>2468</v>
      </c>
      <c r="D68" s="19" t="s">
        <v>988</v>
      </c>
      <c r="E68" s="3" t="s">
        <v>161</v>
      </c>
      <c r="F68" s="20">
        <v>13288</v>
      </c>
      <c r="G68" s="19" t="s">
        <v>2426</v>
      </c>
      <c r="I68" s="3">
        <v>67</v>
      </c>
      <c r="J68" s="19"/>
      <c r="K68" s="19" t="s">
        <v>2468</v>
      </c>
      <c r="L68" s="19" t="s">
        <v>988</v>
      </c>
      <c r="M68" s="3" t="s">
        <v>161</v>
      </c>
      <c r="N68" s="20">
        <v>13288</v>
      </c>
      <c r="O68" s="19" t="s">
        <v>2426</v>
      </c>
    </row>
    <row r="69" spans="1:15" x14ac:dyDescent="0.25">
      <c r="A69" s="3">
        <v>68</v>
      </c>
      <c r="B69" s="19"/>
      <c r="C69" s="19" t="s">
        <v>2459</v>
      </c>
      <c r="D69" s="19" t="s">
        <v>988</v>
      </c>
      <c r="E69" s="3" t="s">
        <v>161</v>
      </c>
      <c r="F69" s="20">
        <v>13288</v>
      </c>
      <c r="G69" s="19" t="s">
        <v>2426</v>
      </c>
      <c r="I69" s="3">
        <v>68</v>
      </c>
      <c r="J69" s="19"/>
      <c r="K69" s="19" t="s">
        <v>2459</v>
      </c>
      <c r="L69" s="19" t="s">
        <v>988</v>
      </c>
      <c r="M69" s="3" t="s">
        <v>161</v>
      </c>
      <c r="N69" s="20">
        <v>13288</v>
      </c>
      <c r="O69" s="19" t="s">
        <v>2426</v>
      </c>
    </row>
    <row r="70" spans="1:15" x14ac:dyDescent="0.25">
      <c r="A70" s="3">
        <v>69</v>
      </c>
      <c r="B70" s="19" t="s">
        <v>1352</v>
      </c>
      <c r="C70" s="19" t="s">
        <v>100</v>
      </c>
      <c r="D70" s="19" t="s">
        <v>101</v>
      </c>
      <c r="E70" s="3" t="s">
        <v>84</v>
      </c>
      <c r="F70" s="20">
        <v>18554.89</v>
      </c>
      <c r="G70" s="19" t="s">
        <v>2423</v>
      </c>
      <c r="I70" s="3">
        <v>69</v>
      </c>
      <c r="J70" s="19" t="s">
        <v>1352</v>
      </c>
      <c r="K70" s="19" t="s">
        <v>100</v>
      </c>
      <c r="L70" s="19" t="s">
        <v>101</v>
      </c>
      <c r="M70" s="3" t="s">
        <v>84</v>
      </c>
      <c r="N70" s="20">
        <v>18554.89</v>
      </c>
      <c r="O70" s="19" t="s">
        <v>2423</v>
      </c>
    </row>
    <row r="71" spans="1:15" x14ac:dyDescent="0.25">
      <c r="A71" s="3">
        <v>70</v>
      </c>
      <c r="B71" s="19"/>
      <c r="C71" s="19" t="s">
        <v>2446</v>
      </c>
      <c r="D71" s="19" t="s">
        <v>1765</v>
      </c>
      <c r="E71" s="3" t="s">
        <v>161</v>
      </c>
      <c r="F71" s="20">
        <v>17272</v>
      </c>
      <c r="G71" s="19" t="s">
        <v>2426</v>
      </c>
      <c r="I71" s="3">
        <v>70</v>
      </c>
      <c r="J71" s="19"/>
      <c r="K71" s="19" t="s">
        <v>2446</v>
      </c>
      <c r="L71" s="19" t="s">
        <v>1765</v>
      </c>
      <c r="M71" s="3" t="s">
        <v>161</v>
      </c>
      <c r="N71" s="20">
        <v>17272</v>
      </c>
      <c r="O71" s="19" t="s">
        <v>2426</v>
      </c>
    </row>
    <row r="72" spans="1:15" x14ac:dyDescent="0.25">
      <c r="A72" s="3">
        <v>71</v>
      </c>
      <c r="B72" s="19"/>
      <c r="C72" s="19" t="s">
        <v>2451</v>
      </c>
      <c r="D72" s="19" t="s">
        <v>2455</v>
      </c>
      <c r="E72" s="3" t="s">
        <v>201</v>
      </c>
      <c r="F72" s="20">
        <v>11404</v>
      </c>
      <c r="G72" s="19" t="s">
        <v>2426</v>
      </c>
      <c r="I72" s="3">
        <v>71</v>
      </c>
      <c r="J72" s="19"/>
      <c r="K72" s="19" t="s">
        <v>2451</v>
      </c>
      <c r="L72" s="19" t="s">
        <v>2455</v>
      </c>
      <c r="M72" s="3" t="s">
        <v>201</v>
      </c>
      <c r="N72" s="20">
        <v>11404</v>
      </c>
      <c r="O72" s="19" t="s">
        <v>2426</v>
      </c>
    </row>
    <row r="73" spans="1:15" x14ac:dyDescent="0.25">
      <c r="A73" s="3">
        <v>72</v>
      </c>
      <c r="B73" s="19" t="s">
        <v>1422</v>
      </c>
      <c r="C73" s="19" t="s">
        <v>2422</v>
      </c>
      <c r="D73" s="19" t="s">
        <v>2455</v>
      </c>
      <c r="E73" s="3" t="s">
        <v>161</v>
      </c>
      <c r="F73" s="20">
        <v>13288</v>
      </c>
      <c r="G73" s="19" t="s">
        <v>2423</v>
      </c>
      <c r="I73" s="3">
        <v>72</v>
      </c>
      <c r="J73" s="19" t="s">
        <v>1422</v>
      </c>
      <c r="K73" s="19" t="s">
        <v>2422</v>
      </c>
      <c r="L73" s="19" t="s">
        <v>2455</v>
      </c>
      <c r="M73" s="3" t="s">
        <v>161</v>
      </c>
      <c r="N73" s="20">
        <v>13288</v>
      </c>
      <c r="O73" s="19" t="s">
        <v>2423</v>
      </c>
    </row>
    <row r="74" spans="1:15" x14ac:dyDescent="0.25">
      <c r="A74" s="3">
        <v>73</v>
      </c>
      <c r="B74" s="19" t="s">
        <v>62</v>
      </c>
      <c r="C74" s="19" t="s">
        <v>2469</v>
      </c>
      <c r="D74" s="19" t="s">
        <v>988</v>
      </c>
      <c r="E74" s="3" t="s">
        <v>65</v>
      </c>
      <c r="F74" s="20">
        <v>19229.96</v>
      </c>
      <c r="G74" s="19" t="s">
        <v>2423</v>
      </c>
      <c r="I74" s="3">
        <v>73</v>
      </c>
      <c r="J74" s="19" t="s">
        <v>62</v>
      </c>
      <c r="K74" s="19" t="s">
        <v>2469</v>
      </c>
      <c r="L74" s="19" t="s">
        <v>988</v>
      </c>
      <c r="M74" s="3" t="s">
        <v>65</v>
      </c>
      <c r="N74" s="20">
        <v>19229.96</v>
      </c>
      <c r="O74" s="19" t="s">
        <v>2423</v>
      </c>
    </row>
    <row r="75" spans="1:15" x14ac:dyDescent="0.25">
      <c r="A75" s="3">
        <v>74</v>
      </c>
      <c r="B75" s="19" t="s">
        <v>1571</v>
      </c>
      <c r="C75" s="19" t="s">
        <v>2460</v>
      </c>
      <c r="D75" s="19" t="s">
        <v>2449</v>
      </c>
      <c r="E75" s="3" t="s">
        <v>161</v>
      </c>
      <c r="F75" s="20">
        <v>17272</v>
      </c>
      <c r="G75" s="19" t="s">
        <v>2423</v>
      </c>
      <c r="I75" s="3">
        <v>74</v>
      </c>
      <c r="J75" s="19" t="s">
        <v>1571</v>
      </c>
      <c r="K75" s="19" t="s">
        <v>2460</v>
      </c>
      <c r="L75" s="19" t="s">
        <v>2449</v>
      </c>
      <c r="M75" s="3" t="s">
        <v>161</v>
      </c>
      <c r="N75" s="20">
        <v>17272</v>
      </c>
      <c r="O75" s="19" t="s">
        <v>2423</v>
      </c>
    </row>
    <row r="76" spans="1:15" x14ac:dyDescent="0.25">
      <c r="A76" s="3">
        <v>75</v>
      </c>
      <c r="B76" s="19"/>
      <c r="C76" s="19" t="s">
        <v>1138</v>
      </c>
      <c r="D76" s="19" t="s">
        <v>2455</v>
      </c>
      <c r="E76" s="3" t="s">
        <v>84</v>
      </c>
      <c r="F76" s="20">
        <v>18554.89</v>
      </c>
      <c r="G76" s="19" t="s">
        <v>2426</v>
      </c>
      <c r="I76" s="3">
        <v>75</v>
      </c>
      <c r="J76" s="19"/>
      <c r="K76" s="19" t="s">
        <v>1138</v>
      </c>
      <c r="L76" s="19" t="s">
        <v>2455</v>
      </c>
      <c r="M76" s="3" t="s">
        <v>84</v>
      </c>
      <c r="N76" s="20">
        <v>18554.89</v>
      </c>
      <c r="O76" s="19" t="s">
        <v>2426</v>
      </c>
    </row>
    <row r="77" spans="1:15" x14ac:dyDescent="0.25">
      <c r="A77" s="3">
        <v>76</v>
      </c>
      <c r="B77" s="19" t="s">
        <v>1083</v>
      </c>
      <c r="C77" s="19" t="s">
        <v>2470</v>
      </c>
      <c r="D77" s="19" t="s">
        <v>2449</v>
      </c>
      <c r="E77" s="3" t="s">
        <v>161</v>
      </c>
      <c r="F77" s="20">
        <v>17272</v>
      </c>
      <c r="G77" s="19" t="s">
        <v>2423</v>
      </c>
      <c r="I77" s="3">
        <v>76</v>
      </c>
      <c r="J77" s="19" t="s">
        <v>1083</v>
      </c>
      <c r="K77" s="19" t="s">
        <v>2470</v>
      </c>
      <c r="L77" s="19" t="s">
        <v>2449</v>
      </c>
      <c r="M77" s="3" t="s">
        <v>161</v>
      </c>
      <c r="N77" s="20">
        <v>17272</v>
      </c>
      <c r="O77" s="19" t="s">
        <v>2423</v>
      </c>
    </row>
    <row r="78" spans="1:15" x14ac:dyDescent="0.25">
      <c r="A78" s="3">
        <v>77</v>
      </c>
      <c r="B78" s="19" t="s">
        <v>1478</v>
      </c>
      <c r="C78" s="19" t="s">
        <v>1149</v>
      </c>
      <c r="D78" s="19" t="s">
        <v>86</v>
      </c>
      <c r="E78" s="3" t="s">
        <v>84</v>
      </c>
      <c r="F78" s="20">
        <v>18554.89</v>
      </c>
      <c r="G78" s="19" t="s">
        <v>2423</v>
      </c>
      <c r="I78" s="3">
        <v>77</v>
      </c>
      <c r="J78" s="19" t="s">
        <v>1478</v>
      </c>
      <c r="K78" s="19" t="s">
        <v>1149</v>
      </c>
      <c r="L78" s="19" t="s">
        <v>86</v>
      </c>
      <c r="M78" s="3" t="s">
        <v>84</v>
      </c>
      <c r="N78" s="20">
        <v>18554.89</v>
      </c>
      <c r="O78" s="19" t="s">
        <v>2423</v>
      </c>
    </row>
    <row r="79" spans="1:15" x14ac:dyDescent="0.25">
      <c r="A79" s="3">
        <v>78</v>
      </c>
      <c r="B79" s="19"/>
      <c r="C79" s="19" t="s">
        <v>2431</v>
      </c>
      <c r="D79" s="19" t="s">
        <v>988</v>
      </c>
      <c r="E79" s="3" t="s">
        <v>161</v>
      </c>
      <c r="F79" s="20">
        <v>13288</v>
      </c>
      <c r="G79" s="19" t="s">
        <v>2426</v>
      </c>
      <c r="I79" s="3">
        <v>78</v>
      </c>
      <c r="J79" s="19"/>
      <c r="K79" s="19" t="s">
        <v>2431</v>
      </c>
      <c r="L79" s="19" t="s">
        <v>988</v>
      </c>
      <c r="M79" s="3" t="s">
        <v>161</v>
      </c>
      <c r="N79" s="20">
        <v>13288</v>
      </c>
      <c r="O79" s="19" t="s">
        <v>2426</v>
      </c>
    </row>
    <row r="80" spans="1:15" x14ac:dyDescent="0.25">
      <c r="A80" s="3">
        <v>79</v>
      </c>
      <c r="B80" s="19" t="s">
        <v>1407</v>
      </c>
      <c r="C80" s="19" t="s">
        <v>2467</v>
      </c>
      <c r="D80" s="19" t="s">
        <v>988</v>
      </c>
      <c r="E80" s="3" t="s">
        <v>161</v>
      </c>
      <c r="F80" s="20">
        <v>17272</v>
      </c>
      <c r="G80" s="19" t="s">
        <v>2423</v>
      </c>
      <c r="I80" s="3">
        <v>79</v>
      </c>
      <c r="J80" s="19" t="s">
        <v>1407</v>
      </c>
      <c r="K80" s="19" t="s">
        <v>2467</v>
      </c>
      <c r="L80" s="19" t="s">
        <v>988</v>
      </c>
      <c r="M80" s="3" t="s">
        <v>161</v>
      </c>
      <c r="N80" s="20">
        <v>17272</v>
      </c>
      <c r="O80" s="19" t="s">
        <v>2423</v>
      </c>
    </row>
    <row r="81" spans="1:15" x14ac:dyDescent="0.25">
      <c r="A81" s="3">
        <v>80</v>
      </c>
      <c r="B81" s="19" t="s">
        <v>1596</v>
      </c>
      <c r="C81" s="19" t="s">
        <v>2471</v>
      </c>
      <c r="D81" s="19" t="s">
        <v>988</v>
      </c>
      <c r="E81" s="3" t="s">
        <v>161</v>
      </c>
      <c r="F81" s="20">
        <v>17272</v>
      </c>
      <c r="G81" s="19" t="s">
        <v>2423</v>
      </c>
      <c r="I81" s="3">
        <v>80</v>
      </c>
      <c r="J81" s="19" t="s">
        <v>1596</v>
      </c>
      <c r="K81" s="19" t="s">
        <v>2471</v>
      </c>
      <c r="L81" s="19" t="s">
        <v>988</v>
      </c>
      <c r="M81" s="3" t="s">
        <v>161</v>
      </c>
      <c r="N81" s="20">
        <v>17272</v>
      </c>
      <c r="O81" s="19" t="s">
        <v>2423</v>
      </c>
    </row>
    <row r="82" spans="1:15" x14ac:dyDescent="0.25">
      <c r="A82" s="3">
        <v>81</v>
      </c>
      <c r="B82" s="19"/>
      <c r="C82" s="19" t="s">
        <v>2472</v>
      </c>
      <c r="D82" s="19" t="s">
        <v>2449</v>
      </c>
      <c r="E82" s="3" t="s">
        <v>161</v>
      </c>
      <c r="F82" s="20">
        <v>13288</v>
      </c>
      <c r="G82" s="19" t="s">
        <v>2426</v>
      </c>
      <c r="I82" s="3">
        <v>81</v>
      </c>
      <c r="J82" s="19"/>
      <c r="K82" s="19" t="s">
        <v>2473</v>
      </c>
      <c r="L82" s="19" t="s">
        <v>2449</v>
      </c>
      <c r="M82" s="3" t="s">
        <v>161</v>
      </c>
      <c r="N82" s="20">
        <v>13288</v>
      </c>
      <c r="O82" s="19" t="s">
        <v>2426</v>
      </c>
    </row>
    <row r="83" spans="1:15" x14ac:dyDescent="0.25">
      <c r="A83" s="3">
        <v>82</v>
      </c>
      <c r="B83" s="19"/>
      <c r="C83" s="19" t="s">
        <v>2451</v>
      </c>
      <c r="D83" s="19" t="s">
        <v>86</v>
      </c>
      <c r="E83" s="3" t="s">
        <v>201</v>
      </c>
      <c r="F83" s="20">
        <v>11404</v>
      </c>
      <c r="G83" s="19" t="s">
        <v>2426</v>
      </c>
      <c r="I83" s="3">
        <v>82</v>
      </c>
      <c r="J83" s="19"/>
      <c r="K83" s="19" t="s">
        <v>2451</v>
      </c>
      <c r="L83" s="19" t="s">
        <v>86</v>
      </c>
      <c r="M83" s="3" t="s">
        <v>201</v>
      </c>
      <c r="N83" s="20">
        <v>11404</v>
      </c>
      <c r="O83" s="19" t="s">
        <v>2426</v>
      </c>
    </row>
    <row r="84" spans="1:15" x14ac:dyDescent="0.25">
      <c r="A84" s="3">
        <v>83</v>
      </c>
      <c r="B84" s="19"/>
      <c r="C84" s="19" t="s">
        <v>2471</v>
      </c>
      <c r="D84" s="19" t="s">
        <v>988</v>
      </c>
      <c r="E84" s="3" t="s">
        <v>161</v>
      </c>
      <c r="F84" s="20">
        <v>13288</v>
      </c>
      <c r="G84" s="19" t="s">
        <v>2426</v>
      </c>
      <c r="I84" s="3">
        <v>83</v>
      </c>
      <c r="J84" s="19"/>
      <c r="K84" s="19" t="s">
        <v>2471</v>
      </c>
      <c r="L84" s="19" t="s">
        <v>988</v>
      </c>
      <c r="M84" s="3" t="s">
        <v>161</v>
      </c>
      <c r="N84" s="20">
        <v>13288</v>
      </c>
      <c r="O84" s="19" t="s">
        <v>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TEMP</vt:lpstr>
      <vt:lpstr>PLAZA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IPPI 11</dc:creator>
  <cp:lastModifiedBy>Miguel Trinidad Gómez Hernandez</cp:lastModifiedBy>
  <dcterms:created xsi:type="dcterms:W3CDTF">2015-06-05T18:17:20Z</dcterms:created>
  <dcterms:modified xsi:type="dcterms:W3CDTF">2026-01-20T16:55:34Z</dcterms:modified>
</cp:coreProperties>
</file>