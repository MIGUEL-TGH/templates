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wnloads\NOMINA 2026\"/>
    </mc:Choice>
  </mc:AlternateContent>
  <xr:revisionPtr revIDLastSave="0" documentId="13_ncr:1_{9CC3C4BA-54E5-4D77-A690-772600489391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ENE" sheetId="32" r:id="rId1"/>
    <sheet name="1RA" sheetId="40" r:id="rId2"/>
    <sheet name="2DA" sheetId="29" r:id="rId3"/>
  </sheets>
  <functionGroups builtInGroupCount="19"/>
  <definedNames>
    <definedName name="_xlnm._FilterDatabase" localSheetId="1" hidden="1">'1RA'!$A$2:$AJ$56</definedName>
    <definedName name="_xlnm._FilterDatabase" localSheetId="2" hidden="1">'2DA'!$A$2:$AJ$56</definedName>
    <definedName name="_xlnm._FilterDatabase" localSheetId="0" hidden="1">ENE!$A$2:$AE$56</definedName>
    <definedName name="_xlnm.Print_Titles" localSheetId="1">'1RA'!$1:$4</definedName>
    <definedName name="_xlnm.Print_Titles" localSheetId="2">'2DA'!$1:$4</definedName>
    <definedName name="_xlnm.Print_Titles" localSheetId="0">ENE!$1:$4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6" i="40" l="1"/>
  <c r="Z7" i="40"/>
  <c r="Z8" i="40"/>
  <c r="Z9" i="40"/>
  <c r="Z10" i="40"/>
  <c r="Z11" i="40"/>
  <c r="Z5" i="40"/>
  <c r="X5" i="32" l="1"/>
  <c r="U6" i="32" l="1"/>
  <c r="U7" i="32"/>
  <c r="U8" i="32"/>
  <c r="U9" i="32"/>
  <c r="U10" i="32"/>
  <c r="U11" i="32"/>
  <c r="U5" i="32"/>
  <c r="O52" i="40" l="1"/>
  <c r="O22" i="29" l="1"/>
  <c r="O18" i="32" l="1"/>
  <c r="O56" i="40"/>
  <c r="O55" i="40"/>
  <c r="O54" i="40"/>
  <c r="O53" i="40"/>
  <c r="O51" i="40"/>
  <c r="O50" i="40"/>
  <c r="O49" i="40"/>
  <c r="O48" i="40"/>
  <c r="O47" i="40"/>
  <c r="O46" i="40"/>
  <c r="O45" i="40"/>
  <c r="O44" i="40"/>
  <c r="O43" i="40"/>
  <c r="O42" i="40"/>
  <c r="O41" i="40"/>
  <c r="O40" i="40"/>
  <c r="O39" i="40"/>
  <c r="O38" i="40"/>
  <c r="O37" i="40"/>
  <c r="O36" i="40"/>
  <c r="O35" i="40"/>
  <c r="O34" i="40"/>
  <c r="O33" i="40"/>
  <c r="O32" i="40"/>
  <c r="O31" i="40"/>
  <c r="O30" i="40"/>
  <c r="O29" i="40"/>
  <c r="O28" i="40"/>
  <c r="O27" i="40"/>
  <c r="O26" i="40"/>
  <c r="O25" i="40"/>
  <c r="O24" i="40"/>
  <c r="O23" i="40"/>
  <c r="O22" i="40"/>
  <c r="O21" i="40"/>
  <c r="O20" i="40"/>
  <c r="O19" i="40"/>
  <c r="O18" i="40"/>
  <c r="O17" i="40"/>
  <c r="O16" i="40"/>
  <c r="O15" i="40"/>
  <c r="U2" i="40"/>
  <c r="O14" i="40"/>
  <c r="O13" i="40"/>
  <c r="O12" i="40"/>
  <c r="U11" i="40"/>
  <c r="S11" i="40"/>
  <c r="Q11" i="40"/>
  <c r="Y11" i="40" s="1"/>
  <c r="P11" i="40"/>
  <c r="O11" i="40"/>
  <c r="AG10" i="40"/>
  <c r="AF10" i="40"/>
  <c r="AA10" i="40"/>
  <c r="U10" i="40"/>
  <c r="S10" i="40"/>
  <c r="Q10" i="40"/>
  <c r="O10" i="40"/>
  <c r="U9" i="40"/>
  <c r="S9" i="40"/>
  <c r="Q9" i="40"/>
  <c r="P9" i="40"/>
  <c r="O9" i="40"/>
  <c r="U8" i="40"/>
  <c r="S8" i="40"/>
  <c r="Q8" i="40"/>
  <c r="Y8" i="40" s="1"/>
  <c r="P8" i="40"/>
  <c r="O8" i="40"/>
  <c r="U7" i="40"/>
  <c r="S7" i="40"/>
  <c r="Q7" i="40"/>
  <c r="P7" i="40"/>
  <c r="O7" i="40"/>
  <c r="U6" i="40"/>
  <c r="S6" i="40"/>
  <c r="Q6" i="40"/>
  <c r="AG6" i="40" s="1"/>
  <c r="P6" i="40"/>
  <c r="O6" i="40"/>
  <c r="U5" i="40"/>
  <c r="S5" i="40"/>
  <c r="Q5" i="40"/>
  <c r="AF5" i="40" s="1"/>
  <c r="P5" i="40"/>
  <c r="O5" i="40"/>
  <c r="AB2" i="40"/>
  <c r="X2" i="40"/>
  <c r="W2" i="40"/>
  <c r="V2" i="40"/>
  <c r="T2" i="40"/>
  <c r="R2" i="40"/>
  <c r="AG5" i="40" l="1"/>
  <c r="AG8" i="40"/>
  <c r="AG11" i="40"/>
  <c r="Y5" i="40"/>
  <c r="AH5" i="40" s="1"/>
  <c r="Y6" i="40"/>
  <c r="AH6" i="40" s="1"/>
  <c r="AI6" i="40" s="1"/>
  <c r="AJ6" i="40" s="1"/>
  <c r="AA5" i="40"/>
  <c r="Y10" i="40"/>
  <c r="AH10" i="40" s="1"/>
  <c r="Y7" i="40"/>
  <c r="AH7" i="40" s="1"/>
  <c r="AG7" i="40"/>
  <c r="Q2" i="40"/>
  <c r="Y9" i="40"/>
  <c r="AG9" i="40"/>
  <c r="AA9" i="40"/>
  <c r="AF9" i="40"/>
  <c r="S2" i="40"/>
  <c r="AI10" i="40"/>
  <c r="AJ10" i="40" s="1"/>
  <c r="AJ11" i="40"/>
  <c r="AH11" i="40"/>
  <c r="AI11" i="40"/>
  <c r="AH8" i="40"/>
  <c r="AA8" i="40"/>
  <c r="AF8" i="40"/>
  <c r="AI8" i="40" l="1"/>
  <c r="AJ8" i="40" s="1"/>
  <c r="AG2" i="40"/>
  <c r="AI7" i="40"/>
  <c r="AJ7" i="40" s="1"/>
  <c r="AA2" i="40"/>
  <c r="AH9" i="40"/>
  <c r="AI5" i="40"/>
  <c r="Y2" i="40"/>
  <c r="AF2" i="40"/>
  <c r="AH2" i="40" l="1"/>
  <c r="AI9" i="40"/>
  <c r="AJ9" i="40" s="1"/>
  <c r="AI2" i="40"/>
  <c r="AJ5" i="40"/>
  <c r="O34" i="29"/>
  <c r="AJ2" i="40" l="1"/>
  <c r="O46" i="29" l="1"/>
  <c r="O28" i="29" l="1"/>
  <c r="S7" i="29" l="1"/>
  <c r="P5" i="32" l="1"/>
  <c r="O6" i="29" l="1"/>
  <c r="O15" i="32" l="1"/>
  <c r="AF10" i="29" l="1"/>
  <c r="U57" i="32" l="1"/>
  <c r="AC8" i="40" l="1"/>
  <c r="AD8" i="40" s="1"/>
  <c r="AC11" i="40"/>
  <c r="AD11" i="40" s="1"/>
  <c r="AC7" i="40"/>
  <c r="AD7" i="40" s="1"/>
  <c r="AC9" i="40"/>
  <c r="AD9" i="40" s="1"/>
  <c r="AC10" i="40"/>
  <c r="AD10" i="40" s="1"/>
  <c r="AC6" i="40"/>
  <c r="AD6" i="40" s="1"/>
  <c r="Q10" i="29"/>
  <c r="X11" i="32" l="1"/>
  <c r="Y11" i="32" s="1"/>
  <c r="O23" i="32" l="1"/>
  <c r="P5" i="29" l="1"/>
  <c r="O40" i="32" l="1"/>
  <c r="O33" i="32"/>
  <c r="O24" i="32"/>
  <c r="O20" i="32"/>
  <c r="O33" i="29" l="1"/>
  <c r="S10" i="29" l="1"/>
  <c r="AA9" i="32" l="1"/>
  <c r="W9" i="32"/>
  <c r="P6" i="29"/>
  <c r="P7" i="29"/>
  <c r="P8" i="29"/>
  <c r="AA8" i="29" s="1"/>
  <c r="P9" i="29"/>
  <c r="P11" i="29"/>
  <c r="O26" i="29"/>
  <c r="O6" i="32"/>
  <c r="O26" i="32"/>
  <c r="Q6" i="29" l="1"/>
  <c r="Q7" i="29"/>
  <c r="Q8" i="29"/>
  <c r="Q9" i="29"/>
  <c r="Q11" i="29"/>
  <c r="U6" i="29"/>
  <c r="U7" i="29"/>
  <c r="U8" i="29"/>
  <c r="U9" i="29"/>
  <c r="U10" i="29"/>
  <c r="Y10" i="29" s="1"/>
  <c r="U11" i="29"/>
  <c r="W5" i="32"/>
  <c r="AH10" i="29" l="1"/>
  <c r="AF9" i="29"/>
  <c r="P6" i="32"/>
  <c r="P7" i="32"/>
  <c r="P8" i="32"/>
  <c r="AA8" i="32" s="1"/>
  <c r="P9" i="32"/>
  <c r="P10" i="32"/>
  <c r="AA10" i="32" s="1"/>
  <c r="P11" i="32"/>
  <c r="AB6" i="32"/>
  <c r="AB7" i="32"/>
  <c r="AB8" i="32"/>
  <c r="AB9" i="32"/>
  <c r="AB10" i="32"/>
  <c r="AB11" i="32"/>
  <c r="AC7" i="32"/>
  <c r="AC8" i="32"/>
  <c r="AC9" i="32"/>
  <c r="AC11" i="32"/>
  <c r="AC6" i="32"/>
  <c r="AC10" i="32"/>
  <c r="AF8" i="29"/>
  <c r="AA10" i="29"/>
  <c r="AG6" i="29"/>
  <c r="AG10" i="29"/>
  <c r="AG11" i="29"/>
  <c r="S6" i="29"/>
  <c r="Y6" i="29" s="1"/>
  <c r="Y7" i="29"/>
  <c r="S8" i="29"/>
  <c r="Y8" i="29" s="1"/>
  <c r="S9" i="29"/>
  <c r="Y9" i="29" s="1"/>
  <c r="S11" i="29"/>
  <c r="Y11" i="29" s="1"/>
  <c r="Q5" i="29"/>
  <c r="Q2" i="29" s="1"/>
  <c r="AH9" i="29" l="1"/>
  <c r="AH8" i="29"/>
  <c r="AH11" i="29"/>
  <c r="AI11" i="29" s="1"/>
  <c r="AJ11" i="29" s="1"/>
  <c r="AH6" i="29"/>
  <c r="AI6" i="29" s="1"/>
  <c r="AJ6" i="29" s="1"/>
  <c r="AH7" i="29"/>
  <c r="AI10" i="29"/>
  <c r="AJ10" i="29" s="1"/>
  <c r="AG5" i="29"/>
  <c r="AD10" i="32"/>
  <c r="AE10" i="32" s="1"/>
  <c r="W8" i="32"/>
  <c r="X8" i="32" s="1"/>
  <c r="Y8" i="32" s="1"/>
  <c r="W10" i="32"/>
  <c r="X10" i="32" s="1"/>
  <c r="Y10" i="32" s="1"/>
  <c r="AD7" i="32"/>
  <c r="AE7" i="32" s="1"/>
  <c r="AD11" i="32"/>
  <c r="AE11" i="32" s="1"/>
  <c r="AD9" i="32"/>
  <c r="AE9" i="32" s="1"/>
  <c r="AD8" i="32"/>
  <c r="AE8" i="32" s="1"/>
  <c r="AA5" i="29"/>
  <c r="AF5" i="29"/>
  <c r="AD6" i="32"/>
  <c r="AE6" i="32" s="1"/>
  <c r="AG7" i="29"/>
  <c r="AG9" i="29"/>
  <c r="AA9" i="29"/>
  <c r="AC9" i="29" s="1"/>
  <c r="AD9" i="29" s="1"/>
  <c r="AG8" i="29"/>
  <c r="X9" i="32"/>
  <c r="Y9" i="32" s="1"/>
  <c r="X6" i="32"/>
  <c r="Y6" i="32" s="1"/>
  <c r="X7" i="32"/>
  <c r="Y7" i="32" s="1"/>
  <c r="AC10" i="29"/>
  <c r="AD10" i="29" s="1"/>
  <c r="AI8" i="29" l="1"/>
  <c r="AJ8" i="29" s="1"/>
  <c r="AI9" i="29"/>
  <c r="AJ9" i="29" s="1"/>
  <c r="AI7" i="29"/>
  <c r="AJ7" i="29" s="1"/>
  <c r="AC7" i="29"/>
  <c r="AD7" i="29" s="1"/>
  <c r="AC6" i="29"/>
  <c r="AD6" i="29" s="1"/>
  <c r="AC8" i="29"/>
  <c r="AD8" i="29" s="1"/>
  <c r="AC11" i="29"/>
  <c r="AD11" i="29" s="1"/>
  <c r="O7" i="32" l="1"/>
  <c r="O8" i="32"/>
  <c r="O9" i="32"/>
  <c r="O10" i="32"/>
  <c r="O11" i="32"/>
  <c r="O12" i="32"/>
  <c r="O13" i="32"/>
  <c r="O14" i="32"/>
  <c r="Z2" i="40" l="1"/>
  <c r="AC5" i="40"/>
  <c r="O50" i="29"/>
  <c r="AC2" i="40" l="1"/>
  <c r="AD5" i="40"/>
  <c r="AD2" i="40" s="1"/>
  <c r="AA5" i="32"/>
  <c r="S5" i="29"/>
  <c r="O25" i="32" l="1"/>
  <c r="O38" i="32" l="1"/>
  <c r="O41" i="32" l="1"/>
  <c r="O7" i="29" l="1"/>
  <c r="O8" i="29"/>
  <c r="O5" i="29" l="1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23" i="29"/>
  <c r="O24" i="29"/>
  <c r="O25" i="29"/>
  <c r="O27" i="29"/>
  <c r="O29" i="29"/>
  <c r="O30" i="29"/>
  <c r="O31" i="29"/>
  <c r="O32" i="29"/>
  <c r="O35" i="29"/>
  <c r="O36" i="29"/>
  <c r="O37" i="29"/>
  <c r="O38" i="29"/>
  <c r="O39" i="29"/>
  <c r="O40" i="29"/>
  <c r="O41" i="29"/>
  <c r="O42" i="29"/>
  <c r="O43" i="29"/>
  <c r="O44" i="29"/>
  <c r="O45" i="29"/>
  <c r="O47" i="29"/>
  <c r="O48" i="29"/>
  <c r="O49" i="29"/>
  <c r="O51" i="29"/>
  <c r="O52" i="29"/>
  <c r="O53" i="29"/>
  <c r="O54" i="29"/>
  <c r="O55" i="29"/>
  <c r="O56" i="29"/>
  <c r="O56" i="32" l="1"/>
  <c r="O55" i="32"/>
  <c r="O54" i="32"/>
  <c r="O53" i="32"/>
  <c r="O52" i="32"/>
  <c r="O51" i="32"/>
  <c r="O50" i="32"/>
  <c r="O49" i="32"/>
  <c r="O47" i="32"/>
  <c r="O46" i="32"/>
  <c r="O45" i="32"/>
  <c r="O44" i="32"/>
  <c r="O43" i="32"/>
  <c r="O42" i="32"/>
  <c r="O39" i="32"/>
  <c r="O37" i="32"/>
  <c r="O36" i="32"/>
  <c r="O35" i="32"/>
  <c r="O34" i="32"/>
  <c r="O32" i="32"/>
  <c r="O31" i="32"/>
  <c r="O30" i="32"/>
  <c r="O29" i="32"/>
  <c r="O28" i="32"/>
  <c r="O27" i="32"/>
  <c r="O22" i="32"/>
  <c r="O21" i="32"/>
  <c r="O19" i="32"/>
  <c r="O17" i="32"/>
  <c r="O16" i="32"/>
  <c r="AB5" i="32"/>
  <c r="AC5" i="32"/>
  <c r="O5" i="32"/>
  <c r="Z2" i="32"/>
  <c r="T2" i="32"/>
  <c r="S2" i="32"/>
  <c r="R2" i="32"/>
  <c r="Q2" i="32"/>
  <c r="U2" i="32" l="1"/>
  <c r="AD5" i="32"/>
  <c r="AE5" i="32" s="1"/>
  <c r="AB2" i="32"/>
  <c r="Y5" i="32"/>
  <c r="V2" i="32"/>
  <c r="W2" i="32" l="1"/>
  <c r="Y2" i="32"/>
  <c r="AC2" i="32"/>
  <c r="AA2" i="32"/>
  <c r="X2" i="32" l="1"/>
  <c r="AE2" i="32"/>
  <c r="AD2" i="32"/>
  <c r="U5" i="29" l="1"/>
  <c r="Y5" i="29" l="1"/>
  <c r="AH5" i="29" s="1"/>
  <c r="U2" i="29"/>
  <c r="AB2" i="29"/>
  <c r="Y2" i="29" l="1"/>
  <c r="X2" i="29"/>
  <c r="W2" i="29"/>
  <c r="V2" i="29"/>
  <c r="T2" i="29"/>
  <c r="S2" i="29"/>
  <c r="R2" i="29" l="1"/>
  <c r="AF2" i="29"/>
  <c r="AA2" i="29" l="1"/>
  <c r="AG2" i="29" l="1"/>
  <c r="AI5" i="29"/>
  <c r="AJ5" i="29" s="1"/>
  <c r="AH2" i="29"/>
  <c r="AI2" i="29" l="1"/>
  <c r="AJ2" i="29"/>
  <c r="Z2" i="29"/>
  <c r="AC5" i="29"/>
  <c r="AD5" i="29" s="1"/>
  <c r="AD2" i="29" l="1"/>
  <c r="AC2" i="29"/>
</calcChain>
</file>

<file path=xl/sharedStrings.xml><?xml version="1.0" encoding="utf-8"?>
<sst xmlns="http://schemas.openxmlformats.org/spreadsheetml/2006/main" count="1717" uniqueCount="351">
  <si>
    <t xml:space="preserve">CATEGORÍA </t>
  </si>
  <si>
    <t>EXPEDIENTE</t>
  </si>
  <si>
    <t xml:space="preserve">NOMBRE </t>
  </si>
  <si>
    <t>RFC</t>
  </si>
  <si>
    <t>CURP</t>
  </si>
  <si>
    <t>CONFIANZA</t>
  </si>
  <si>
    <t>SEXO</t>
  </si>
  <si>
    <t>H</t>
  </si>
  <si>
    <t>X</t>
  </si>
  <si>
    <t>G0807</t>
  </si>
  <si>
    <t>G0501</t>
  </si>
  <si>
    <t>G0805</t>
  </si>
  <si>
    <t>Director General</t>
  </si>
  <si>
    <t>Analista Especializado Consultivo B</t>
  </si>
  <si>
    <t>G0403</t>
  </si>
  <si>
    <t>G0801</t>
  </si>
  <si>
    <t>No. PLAZA</t>
  </si>
  <si>
    <t>DESCRIPCION DEL PUESTO</t>
  </si>
  <si>
    <t>Jefe de Departamento de Infraestructura Indígena</t>
  </si>
  <si>
    <t>Jefe de Departamento de Investigación</t>
  </si>
  <si>
    <t>Jefe de Departamento de Patrimonio Cultural</t>
  </si>
  <si>
    <t>Jefe de Departamento de Comunicación Indígena</t>
  </si>
  <si>
    <t>Jefe de Departamento de Consulta y Participación</t>
  </si>
  <si>
    <t>Jefe de Departamento de Factor Humano</t>
  </si>
  <si>
    <t>Jefe de Departamento de Recursos Materiales y Servicios Generales</t>
  </si>
  <si>
    <t>Jefe de Departamento de Recursos Financieros</t>
  </si>
  <si>
    <t>AREA</t>
  </si>
  <si>
    <t>Jefe de Departamento de Desarrollo de Lenguas Indígenas</t>
  </si>
  <si>
    <t>Jefe de Departamento de Formación de Traductores e Intérpretes</t>
  </si>
  <si>
    <t>Jefe de Departamento Contencioso</t>
  </si>
  <si>
    <t>ROCM8001178B4</t>
  </si>
  <si>
    <t>ROCM800117HDFSBS00</t>
  </si>
  <si>
    <t>M</t>
  </si>
  <si>
    <t>Secretario Técnico</t>
  </si>
  <si>
    <t>Director de Desarrollo con Identidad Indígena</t>
  </si>
  <si>
    <t>Director de Administración y Finanzas</t>
  </si>
  <si>
    <t>Directora Academia de las Lenguas Indígenas</t>
  </si>
  <si>
    <t>AARZ950820LC4</t>
  </si>
  <si>
    <t>AARZ950820MPLLMH05</t>
  </si>
  <si>
    <t>EDAD</t>
  </si>
  <si>
    <t>SECRETARÍA TÉCNICA</t>
  </si>
  <si>
    <t>DEPARTAMENTO DE FACTOR HUMANO</t>
  </si>
  <si>
    <t>DEPARTAMENTO CONTENCIOSO</t>
  </si>
  <si>
    <t>DIRECCIÓN DE DESARROLLO CON IDENTIDAD INDÍGENA</t>
  </si>
  <si>
    <t>DEPARTAMENTO DE INFRAESTRUCTURA INDÍGENA</t>
  </si>
  <si>
    <t>DEPARTAMENTO DE RECURSOS FINANCIEROS</t>
  </si>
  <si>
    <t xml:space="preserve">DIRECCIÓN DE PATRIMONIO CULTURAL, INVESTIGACIÓN Y EDUCACIÓN PARA LA EQUIDAD </t>
  </si>
  <si>
    <t>DEPARTAMENTO DE PATRIMONIO CULTURAL</t>
  </si>
  <si>
    <t>DEPARTAMENTO DE INVESTIGACIÓN</t>
  </si>
  <si>
    <t>DIRECCIÓN DE DIÁLOGO Y CONCERTACIÓN</t>
  </si>
  <si>
    <t>DEPARTAMENTO DE CONSULTA Y PARTICIPACIÓN</t>
  </si>
  <si>
    <t>DIRECCIÓN ACADEMIA DE LAS LENGUAS INDÍGENAS</t>
  </si>
  <si>
    <t>DEPARTAMENTO DE DESARROLLO DE LENGUAS INDÍGENAS</t>
  </si>
  <si>
    <t>DEPARTAMENTO DE FORMACIÓN DE TRADUCTORES E INTERPRETES</t>
  </si>
  <si>
    <t>DIRECCIÓN DE ADMINISTRACIÓN Y FINANZAS</t>
  </si>
  <si>
    <t>DEPARTAMENTO DE RECURSOS MATERIALES Y SERVICIOS GENERALES</t>
  </si>
  <si>
    <t>ESTATUS</t>
  </si>
  <si>
    <t>SALARIO DIARIO</t>
  </si>
  <si>
    <t>SUELDO QUINCENAL</t>
  </si>
  <si>
    <t>DIRECCION GENERAL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</si>
  <si>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</si>
  <si>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</si>
  <si>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</si>
  <si>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</si>
  <si>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</si>
  <si>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</si>
  <si>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</si>
  <si>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</si>
  <si>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Activo</t>
  </si>
  <si>
    <t>190</t>
  </si>
  <si>
    <t>SUELDO      MENSUAL</t>
  </si>
  <si>
    <t>DESPENSA MENSUAL</t>
  </si>
  <si>
    <t>DESPENSA QUINCENAL</t>
  </si>
  <si>
    <t>COMPENSACIÓN (J5) QUINCENAL</t>
  </si>
  <si>
    <t>COMPENSACIÓN (J5) QUINCENAL MENSUAL</t>
  </si>
  <si>
    <t>COMPENSACIÓN (J6) QUINCENAL</t>
  </si>
  <si>
    <t>COMPENSACIÓN (J6) MENSUAL</t>
  </si>
  <si>
    <t xml:space="preserve">NETO </t>
  </si>
  <si>
    <t>TOTAL</t>
  </si>
  <si>
    <t>CENTRO DE COSTOS</t>
  </si>
  <si>
    <t>ISN_PM 3%</t>
  </si>
  <si>
    <t xml:space="preserve">TOTAL DEDUCCIONES </t>
  </si>
  <si>
    <t>ISSSTEP CUOTA MENSUAL 13%</t>
  </si>
  <si>
    <t>ISSSTEP APORTACIÓN MENSUAL</t>
  </si>
  <si>
    <t>SAR MENSUAL 2 %</t>
  </si>
  <si>
    <t>x</t>
  </si>
  <si>
    <t>DEPARTAMENTO DE PLANEACIÓN TERRITORIAL</t>
  </si>
  <si>
    <t>Jefe de Departamento de Planeacion Territorial</t>
  </si>
  <si>
    <t>113022138DA3QG080500.0000027</t>
  </si>
  <si>
    <t>177</t>
  </si>
  <si>
    <t>180</t>
  </si>
  <si>
    <t>%APORT ISSTEP</t>
  </si>
  <si>
    <t>COSTO DE NOMINA</t>
  </si>
  <si>
    <t>167</t>
  </si>
  <si>
    <t>MOCA980205HPLRRL01</t>
  </si>
  <si>
    <t>OORY910829HPLRMR08</t>
  </si>
  <si>
    <t>OORY910829UH2</t>
  </si>
  <si>
    <t>168</t>
  </si>
  <si>
    <t>MOCA980205324</t>
  </si>
  <si>
    <t>GOHM971021HPLMRG03</t>
  </si>
  <si>
    <t>GOHM971021QT7</t>
  </si>
  <si>
    <t>ISSSTEP APORTACIÓN</t>
  </si>
  <si>
    <t>ISSSTEP CUOTA 13%</t>
  </si>
  <si>
    <t xml:space="preserve">ISR </t>
  </si>
  <si>
    <t>SAR 2 %</t>
  </si>
  <si>
    <t>TOTAL DE OBLIGACIONES</t>
  </si>
  <si>
    <t>DESCUENTO NÓMINA</t>
  </si>
  <si>
    <t>G0808</t>
  </si>
  <si>
    <t>Analista Especializado Consultivo C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</si>
  <si>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</si>
  <si>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</si>
  <si>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</si>
  <si>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</si>
  <si>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</si>
  <si>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</si>
  <si>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</si>
  <si>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</si>
  <si>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</si>
  <si>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</si>
  <si>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</si>
  <si>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</si>
  <si>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</si>
  <si>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</si>
  <si>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</si>
  <si>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</si>
  <si>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113022138DA3QG050100.0000003</t>
  </si>
  <si>
    <t>113022138DA3QG080500.0000007</t>
  </si>
  <si>
    <t>113022138DA3QG080500.0000008</t>
  </si>
  <si>
    <t>113222138DA3QG080800.0000008</t>
  </si>
  <si>
    <t>113222138DA3QG080800.0000009</t>
  </si>
  <si>
    <t>113222138DA3QG080800.0000010</t>
  </si>
  <si>
    <t>113222138DA3QG080800.0000011</t>
  </si>
  <si>
    <t>113222138DA3QG080800.0000012</t>
  </si>
  <si>
    <t>113222138DA3QG080800.0000013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</si>
  <si>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</si>
  <si>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</si>
  <si>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</si>
  <si>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</si>
  <si>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</si>
  <si>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</si>
  <si>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</si>
  <si>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</si>
  <si>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</si>
  <si>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</si>
  <si>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</si>
  <si>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</si>
  <si>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</si>
  <si>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</si>
  <si>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</si>
  <si>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</si>
  <si>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</si>
  <si>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</si>
  <si>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</si>
  <si>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</si>
  <si>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</si>
  <si>
    <t>DEPARTAMENTO DE COMUNICACIÓN INDIGENA</t>
  </si>
  <si>
    <t>Director de Diálogo y Concertación</t>
  </si>
  <si>
    <t>GO501</t>
  </si>
  <si>
    <t>CADS980512MPLRCN07</t>
  </si>
  <si>
    <t>CADS9805123T2</t>
  </si>
  <si>
    <t>113222138DA3QG080800.0000007</t>
  </si>
  <si>
    <t>DEPARTAMENTO DE TECNOLOGIAS DE LA INFORMACIÓN</t>
  </si>
  <si>
    <t>DIRECCIÓN GENERAL</t>
  </si>
  <si>
    <t>MARTINEZ ARROYO APOLINARIA</t>
  </si>
  <si>
    <t>MAAA830209MPLLRP06</t>
  </si>
  <si>
    <t>00107530</t>
  </si>
  <si>
    <t>ROSAS CABRERA MOISES ISMAEL</t>
  </si>
  <si>
    <t>Subdirector Jurídico</t>
  </si>
  <si>
    <t>MORALES CARRETERO JOSE ALBERTO</t>
  </si>
  <si>
    <t>CARRERA DACOSTA SANDRA</t>
  </si>
  <si>
    <t>92700180</t>
  </si>
  <si>
    <t>OROPEZA RAMOS YAIR</t>
  </si>
  <si>
    <t>Director de Patrimonio Cultural, Investigación y Educación para la Equidad</t>
  </si>
  <si>
    <t>92700200</t>
  </si>
  <si>
    <t>SALAS PEREZ LUCERO</t>
  </si>
  <si>
    <t>SAPL000720T5A</t>
  </si>
  <si>
    <t>JIMENEZ VAZQUEZ MIGUEL ANGEL</t>
  </si>
  <si>
    <t>MENDEZ SANTOS LUZ TERESA</t>
  </si>
  <si>
    <t>ALVA ALVA JACOBO</t>
  </si>
  <si>
    <t>ARCHUNDIA LÓPEZ DAVID</t>
  </si>
  <si>
    <t>PEREZ MORALES ARENDY</t>
  </si>
  <si>
    <t>LOPEZ CORTEZ JUAN PABLO</t>
  </si>
  <si>
    <t>DIAZ MACARENO LENNICA</t>
  </si>
  <si>
    <t>OFICINA DE REPRESENTACION XICOTEPEC</t>
  </si>
  <si>
    <t>OFICINA DE REPRESENTACION ZACATLAN</t>
  </si>
  <si>
    <t>OFICINA DE REPRESENTACION DE ATLIXCO</t>
  </si>
  <si>
    <t>OFICINA DE REPRESENTACION DE AJALPAN</t>
  </si>
  <si>
    <t>DIRECCIÓN DE OFICINAS DE REPRESENTACION</t>
  </si>
  <si>
    <t>Director de Oficinas de representacion</t>
  </si>
  <si>
    <t>OFICINA DE REPRESENTACION CALCHICOMULA DE SESMA</t>
  </si>
  <si>
    <t>SUBDIRECCIÓN JURÍDICA</t>
  </si>
  <si>
    <t>ZAMORA SILVA RODRIGO VALENTIN</t>
  </si>
  <si>
    <t>MORALES EVANGELISTA JUDITH</t>
  </si>
  <si>
    <t>Subdirector de Desarrollo de Tecnologías de la Información</t>
  </si>
  <si>
    <t>ALTA ZAQUEROZ YANEI</t>
  </si>
  <si>
    <t>OFINA DE REPRESENTACION DE ACATLAN DE OSORIO</t>
  </si>
  <si>
    <t>GOMEZ HERNANDEZ MIGUEL TRINIDAD</t>
  </si>
  <si>
    <t>92700185</t>
  </si>
  <si>
    <t>92700181</t>
  </si>
  <si>
    <t>92700209</t>
  </si>
  <si>
    <t>92700208</t>
  </si>
  <si>
    <t>92700213</t>
  </si>
  <si>
    <t>ZASR800314HPLMLD00</t>
  </si>
  <si>
    <t>ZASR800314E45</t>
  </si>
  <si>
    <t>JIVM790929HPLMZG09</t>
  </si>
  <si>
    <t>JIVM790929AZ3</t>
  </si>
  <si>
    <t>AULD790114HPLRPV06</t>
  </si>
  <si>
    <t>AULD790114HT8</t>
  </si>
  <si>
    <t>MESL790513MPLNNZ01</t>
  </si>
  <si>
    <t>MESL790513TZ4</t>
  </si>
  <si>
    <t>CUGA941124HPLDLM05</t>
  </si>
  <si>
    <t>CUGA9411245S5</t>
  </si>
  <si>
    <t>DIML950624MPLZCN09</t>
  </si>
  <si>
    <t>DIML950624UQA</t>
  </si>
  <si>
    <t>AAZY970518MPLLQN09</t>
  </si>
  <si>
    <t>AAZY970518LP5</t>
  </si>
  <si>
    <t>92700206</t>
  </si>
  <si>
    <t>AAAJ930510HPLLLC06</t>
  </si>
  <si>
    <t>AAAJ930510F96</t>
  </si>
  <si>
    <t>PEMA970822MPLRRR09</t>
  </si>
  <si>
    <t>PEMA970822RC7</t>
  </si>
  <si>
    <t>92700212</t>
  </si>
  <si>
    <t>GAMA MATEOS REYES</t>
  </si>
  <si>
    <t>92700217</t>
  </si>
  <si>
    <t>GAMR930313HPLMTY06</t>
  </si>
  <si>
    <t>GAMR930313HD0</t>
  </si>
  <si>
    <t>92700132</t>
  </si>
  <si>
    <t>LOCJ900522HPLPRN06</t>
  </si>
  <si>
    <t>LOCJ900522KD1</t>
  </si>
  <si>
    <t>92700220</t>
  </si>
  <si>
    <t>MAAA830209PGA</t>
  </si>
  <si>
    <t>FECHA INGRESO</t>
  </si>
  <si>
    <t>FECHA DE INGRESO</t>
  </si>
  <si>
    <t>170</t>
  </si>
  <si>
    <t>OFICINA DE REPRESENTACIÓN ZACAPOAXTLA</t>
  </si>
  <si>
    <t>OFICINA DE REPRESENTACION DE TEHUACAN</t>
  </si>
  <si>
    <t>1902</t>
  </si>
  <si>
    <t>1903</t>
  </si>
  <si>
    <t>1904</t>
  </si>
  <si>
    <t>1905</t>
  </si>
  <si>
    <t>1906</t>
  </si>
  <si>
    <t>1907</t>
  </si>
  <si>
    <t>1908</t>
  </si>
  <si>
    <t>1909</t>
  </si>
  <si>
    <t>MABH640207HPLRZC08</t>
  </si>
  <si>
    <t>MABH640207BX0</t>
  </si>
  <si>
    <t>SUBDIRECCIÓN DE DESARROLLO DE TECNOLOGIAS DE INFORMACIÓN</t>
  </si>
  <si>
    <t>ARROYO SOLANO VICTOR HUGO</t>
  </si>
  <si>
    <t>GARCIA BERISTAIN CARLOS</t>
  </si>
  <si>
    <t>MARTINEZ HERNANDEZ NAYELI</t>
  </si>
  <si>
    <t>SABINO SERRANO MARIA DE LA LUZ GUADALUPE</t>
  </si>
  <si>
    <t>SAPL000720MPLLRCA3</t>
  </si>
  <si>
    <t>VACANTE</t>
  </si>
  <si>
    <t>SASL970519MPLBRZ07</t>
  </si>
  <si>
    <t>GABC840731HPLRRR06</t>
  </si>
  <si>
    <t>GABC840731PQ3</t>
  </si>
  <si>
    <t>AOSV960401HPLRLC00</t>
  </si>
  <si>
    <t>AOSV960401561</t>
  </si>
  <si>
    <t>MAHN960119MPLRRY00</t>
  </si>
  <si>
    <t>MAHN960119TU4</t>
  </si>
  <si>
    <t>MOEJ830614MPLRVD06</t>
  </si>
  <si>
    <t>MOEJ830614677</t>
  </si>
  <si>
    <t>SASL970519KG5</t>
  </si>
  <si>
    <t>ALDARA RAMIREZ ZAHIRA</t>
  </si>
  <si>
    <t>GONZALEZ JUAREZ JOSE CARLOS</t>
  </si>
  <si>
    <t>GOJC881118HMCNRR09</t>
  </si>
  <si>
    <t>GOJC881118R12</t>
  </si>
  <si>
    <t>1132</t>
  </si>
  <si>
    <t>1349</t>
  </si>
  <si>
    <t>1411</t>
  </si>
  <si>
    <t>1431</t>
  </si>
  <si>
    <t>3981</t>
  </si>
  <si>
    <t>1543</t>
  </si>
  <si>
    <t>MARTINEZ BAEZ HECTOR ROMUALDO</t>
  </si>
  <si>
    <t>SANCHEZ ROLDAN KARIME</t>
  </si>
  <si>
    <t>PEREZ FLORENTINO UZIEL</t>
  </si>
  <si>
    <t>SARK950511MPLNLR08</t>
  </si>
  <si>
    <t>SARK950511I96</t>
  </si>
  <si>
    <t>PEFU900128HPLRLZ04</t>
  </si>
  <si>
    <t>PEFU900128T85</t>
  </si>
  <si>
    <t>ABURTO RODRIGUEZ JESSICA</t>
  </si>
  <si>
    <t>ARROYO GRANILLO YEIMI KAREN</t>
  </si>
  <si>
    <t>Directora de Administración y Finanzas</t>
  </si>
  <si>
    <t>AURJ960422MPLBDS06</t>
  </si>
  <si>
    <t>AURJ960422H34</t>
  </si>
  <si>
    <t>00105110</t>
  </si>
  <si>
    <t>AOGY930310MPLRRM04</t>
  </si>
  <si>
    <t>AOGY930310E15</t>
  </si>
  <si>
    <t>MENDEZ PEREZ SUSANA</t>
  </si>
  <si>
    <t>MEPS840408MPLLRS07</t>
  </si>
  <si>
    <t>MEPS840408H88</t>
  </si>
  <si>
    <t>BALDERAS HERNANDEZ ANA KAREN</t>
  </si>
  <si>
    <t>BAHA900124MPLLRN07</t>
  </si>
  <si>
    <t>BAHA901224QA6</t>
  </si>
  <si>
    <t>MARTINEZ DIAZ GABRIEL</t>
  </si>
  <si>
    <t>MADG821227HPLRZB00</t>
  </si>
  <si>
    <t>MADG821227RH7</t>
  </si>
  <si>
    <t>FEPL810718HDFRRS01</t>
  </si>
  <si>
    <t>FEPL810718PV6</t>
  </si>
  <si>
    <t xml:space="preserve">HERRERIAS GARZON MARIO ARTURO </t>
  </si>
  <si>
    <t>HEGM000103HPLRRRA2</t>
  </si>
  <si>
    <t>HEGM000103E88</t>
  </si>
  <si>
    <t>SANCHEZ HERNANDEZ HECTOR MARTIN</t>
  </si>
  <si>
    <t>SAHH881117HPLNRC025</t>
  </si>
  <si>
    <t>SANCHEZ CESARIO EFREN</t>
  </si>
  <si>
    <t>SACE000108HPLNSFA3</t>
  </si>
  <si>
    <t>SACE000108F14</t>
  </si>
  <si>
    <t>SAHH881117JD3</t>
  </si>
  <si>
    <t>ROSETEDAVALOS ANGELA MARIANA</t>
  </si>
  <si>
    <t>RODA970315UM8</t>
  </si>
  <si>
    <t>RODA970315MTLSVN04</t>
  </si>
  <si>
    <t>ROSETE DAVALOS ANGELA MARIANA</t>
  </si>
  <si>
    <t>JIMENEZ CANO JOSE</t>
  </si>
  <si>
    <t>ACTIVO</t>
  </si>
  <si>
    <t>JICJ750712HVZMNS02</t>
  </si>
  <si>
    <t>JICJ750712G42</t>
  </si>
  <si>
    <t>CUADRADO GAELANO AMADEUZ</t>
  </si>
  <si>
    <t>ALDANA RAMIREZ ZAHIRA</t>
  </si>
  <si>
    <t>Vacante</t>
  </si>
  <si>
    <t>TEOYOTL MORALES REYNA LAURA</t>
  </si>
  <si>
    <t>TEMR721229MPLYRY05</t>
  </si>
  <si>
    <t>TEMR721229TM6</t>
  </si>
  <si>
    <t>OLIVARES MEDINA GENESIS</t>
  </si>
  <si>
    <t>OIMG9011141W6</t>
  </si>
  <si>
    <t>OIMG901114MPLLDN07</t>
  </si>
  <si>
    <t>ROJAS ZARATE PEDRO YEHOSHUA</t>
  </si>
  <si>
    <t>ROZP961030TL3</t>
  </si>
  <si>
    <t>ROZP961030HTLJRD01</t>
  </si>
  <si>
    <t>MEZA ALONSO ANGEL</t>
  </si>
  <si>
    <t>MEAA980618HPLZLN01</t>
  </si>
  <si>
    <t>MEAA980618EZ5</t>
  </si>
  <si>
    <t>BUSTAMANTE SOLIS SILVIA</t>
  </si>
  <si>
    <t>BUSS900905MPLSLL00</t>
  </si>
  <si>
    <t>BUSS900905E42</t>
  </si>
  <si>
    <t>BAJA</t>
  </si>
  <si>
    <t>BLANCO GONZALEZ ALEJANDRO</t>
  </si>
  <si>
    <t>BAGA930212HPLLNL07</t>
  </si>
  <si>
    <t>BAGA930212TB0</t>
  </si>
  <si>
    <t>RAMIREZ VAZQUEZ IRMA</t>
  </si>
  <si>
    <t>41679</t>
  </si>
  <si>
    <t>RAVI720214MPLMZR00</t>
  </si>
  <si>
    <t>RAVI720214</t>
  </si>
  <si>
    <t>LOPEZ CASTRO MA. ISABEL</t>
  </si>
  <si>
    <t>LOCI610523MPLPSS17</t>
  </si>
  <si>
    <t>LOCI6105239C6</t>
  </si>
  <si>
    <t>TOTAL PERCEPCIONES</t>
  </si>
  <si>
    <t>VACANTE/GUADALUPE</t>
  </si>
  <si>
    <t>BAHA900124QA6</t>
  </si>
  <si>
    <t>TORIBIO TECPIL MARIA GUADALUPE</t>
  </si>
  <si>
    <t>TOTG970124MPLRCD00</t>
  </si>
  <si>
    <t>TOTG970124RJ3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</si>
</sst>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_-[$$-80A]* #,##0.00_-;\-[$$-80A]* #,##0.00_-;_-[$$-80A]* &quot;-&quot;??_-;_-@_-"/>
    <numFmt numFmtId="166" formatCode="[$-1540A]dd\-mmm\-yy;@"/>
  </numFmts>
  <fonts count="108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6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6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5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93" fillId="0" borderId="0"/>
    <xf numFmtId="43" fontId="92" fillId="0" borderId="0" applyFont="0" applyFill="0" applyBorder="0" applyAlignment="0" applyProtection="0"/>
    <xf numFmtId="0" fontId="92" fillId="0" borderId="0"/>
    <xf numFmtId="43" fontId="89" fillId="0" borderId="0" applyFont="0" applyFill="0" applyBorder="0" applyAlignment="0" applyProtection="0"/>
    <xf numFmtId="164" fontId="94" fillId="0" borderId="0" applyFont="0" applyFill="0" applyBorder="0" applyAlignment="0" applyProtection="0"/>
    <xf numFmtId="0" fontId="94" fillId="0" borderId="0"/>
    <xf numFmtId="0" fontId="89" fillId="0" borderId="0"/>
    <xf numFmtId="0" fontId="94" fillId="0" borderId="0"/>
    <xf numFmtId="0" fontId="76" fillId="0" borderId="0"/>
    <xf numFmtId="43" fontId="76" fillId="0" borderId="0" applyFont="0" applyFill="0" applyBorder="0" applyAlignment="0" applyProtection="0"/>
    <xf numFmtId="0" fontId="74" fillId="0" borderId="0"/>
    <xf numFmtId="43" fontId="74" fillId="0" borderId="0" applyFont="0" applyFill="0" applyBorder="0" applyAlignment="0" applyProtection="0"/>
    <xf numFmtId="0" fontId="73" fillId="0" borderId="0"/>
    <xf numFmtId="43" fontId="73" fillId="0" borderId="0" applyFont="0" applyFill="0" applyBorder="0" applyAlignment="0" applyProtection="0"/>
    <xf numFmtId="0" fontId="72" fillId="0" borderId="0"/>
    <xf numFmtId="0" fontId="71" fillId="0" borderId="0"/>
    <xf numFmtId="0" fontId="66" fillId="0" borderId="0"/>
    <xf numFmtId="43" fontId="66" fillId="0" borderId="0" applyFont="0" applyFill="0" applyBorder="0" applyAlignment="0" applyProtection="0"/>
    <xf numFmtId="0" fontId="60" fillId="0" borderId="0"/>
    <xf numFmtId="0" fontId="105" fillId="0" borderId="0"/>
    <xf numFmtId="43" fontId="60" fillId="0" borderId="0" applyFont="0" applyFill="0" applyBorder="0" applyAlignment="0" applyProtection="0"/>
    <xf numFmtId="0" fontId="94" fillId="0" borderId="0"/>
    <xf numFmtId="0" fontId="60" fillId="0" borderId="0"/>
    <xf numFmtId="44" fontId="60" fillId="0" borderId="0" applyFont="0" applyFill="0" applyBorder="0" applyAlignment="0" applyProtection="0"/>
    <xf numFmtId="0" fontId="59" fillId="0" borderId="0"/>
    <xf numFmtId="43" fontId="59" fillId="0" borderId="0" applyFont="0" applyFill="0" applyBorder="0" applyAlignment="0" applyProtection="0"/>
    <xf numFmtId="0" fontId="58" fillId="0" borderId="0"/>
    <xf numFmtId="43" fontId="58" fillId="0" borderId="0" applyFont="0" applyFill="0" applyBorder="0" applyAlignment="0" applyProtection="0"/>
    <xf numFmtId="0" fontId="58" fillId="0" borderId="0"/>
    <xf numFmtId="44" fontId="58" fillId="0" borderId="0" applyFont="0" applyFill="0" applyBorder="0" applyAlignment="0" applyProtection="0"/>
    <xf numFmtId="0" fontId="56" fillId="0" borderId="0"/>
    <xf numFmtId="43" fontId="56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0" fontId="45" fillId="0" borderId="0"/>
    <xf numFmtId="0" fontId="44" fillId="0" borderId="0"/>
    <xf numFmtId="43" fontId="44" fillId="0" borderId="0" applyFont="0" applyFill="0" applyBorder="0" applyAlignment="0" applyProtection="0"/>
    <xf numFmtId="0" fontId="40" fillId="0" borderId="0"/>
    <xf numFmtId="0" fontId="32" fillId="0" borderId="0"/>
    <xf numFmtId="43" fontId="32" fillId="0" borderId="0" applyFont="0" applyFill="0" applyBorder="0" applyAlignment="0" applyProtection="0"/>
    <xf numFmtId="0" fontId="32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</cellStyleXfs>
  <cellXfs count="273">
    <xf numFmtId="0" fontId="0" fillId="0" borderId="0" xfId="0"/>
    <xf numFmtId="0" fontId="89" fillId="0" borderId="0" xfId="7" applyAlignment="1">
      <alignment horizontal="center" vertical="center"/>
    </xf>
    <xf numFmtId="0" fontId="89" fillId="0" borderId="0" xfId="7" applyAlignment="1">
      <alignment vertical="center"/>
    </xf>
    <xf numFmtId="0" fontId="89" fillId="0" borderId="0" xfId="7" applyAlignment="1">
      <alignment vertical="center" wrapText="1"/>
    </xf>
    <xf numFmtId="0" fontId="89" fillId="0" borderId="0" xfId="7" applyAlignment="1">
      <alignment horizontal="left" vertical="center"/>
    </xf>
    <xf numFmtId="43" fontId="88" fillId="0" borderId="0" xfId="4" applyFont="1" applyAlignment="1">
      <alignment vertical="center"/>
    </xf>
    <xf numFmtId="0" fontId="85" fillId="0" borderId="1" xfId="1" applyFont="1" applyBorder="1" applyAlignment="1">
      <alignment horizontal="center" vertical="center" wrapText="1"/>
    </xf>
    <xf numFmtId="0" fontId="83" fillId="0" borderId="1" xfId="0" applyFont="1" applyBorder="1" applyAlignment="1">
      <alignment horizontal="center" vertical="center"/>
    </xf>
    <xf numFmtId="43" fontId="87" fillId="0" borderId="1" xfId="0" applyNumberFormat="1" applyFont="1" applyBorder="1" applyAlignment="1">
      <alignment vertical="center"/>
    </xf>
    <xf numFmtId="43" fontId="88" fillId="0" borderId="1" xfId="4" applyFont="1" applyFill="1" applyBorder="1" applyAlignment="1">
      <alignment horizontal="center" vertical="center"/>
    </xf>
    <xf numFmtId="43" fontId="88" fillId="0" borderId="1" xfId="0" applyNumberFormat="1" applyFont="1" applyBorder="1" applyAlignment="1">
      <alignment horizontal="center" vertical="center"/>
    </xf>
    <xf numFmtId="0" fontId="84" fillId="0" borderId="1" xfId="1" applyFont="1" applyBorder="1" applyAlignment="1">
      <alignment horizontal="center" vertical="center" wrapText="1"/>
    </xf>
    <xf numFmtId="0" fontId="83" fillId="0" borderId="1" xfId="0" applyFont="1" applyBorder="1" applyAlignment="1">
      <alignment vertical="center"/>
    </xf>
    <xf numFmtId="43" fontId="85" fillId="0" borderId="1" xfId="0" applyNumberFormat="1" applyFont="1" applyBorder="1" applyAlignment="1">
      <alignment vertical="center"/>
    </xf>
    <xf numFmtId="43" fontId="85" fillId="2" borderId="1" xfId="0" applyNumberFormat="1" applyFont="1" applyFill="1" applyBorder="1" applyAlignment="1">
      <alignment vertical="center"/>
    </xf>
    <xf numFmtId="0" fontId="82" fillId="0" borderId="1" xfId="0" applyFont="1" applyBorder="1" applyAlignment="1">
      <alignment vertical="center"/>
    </xf>
    <xf numFmtId="43" fontId="89" fillId="0" borderId="0" xfId="7" applyNumberFormat="1" applyAlignment="1">
      <alignment vertical="center"/>
    </xf>
    <xf numFmtId="0" fontId="96" fillId="0" borderId="1" xfId="0" applyFont="1" applyBorder="1" applyAlignment="1">
      <alignment vertical="center"/>
    </xf>
    <xf numFmtId="0" fontId="85" fillId="0" borderId="1" xfId="0" applyFont="1" applyBorder="1" applyAlignment="1">
      <alignment horizontal="center" vertical="center"/>
    </xf>
    <xf numFmtId="0" fontId="99" fillId="0" borderId="0" xfId="7" applyFont="1" applyAlignment="1">
      <alignment vertical="center"/>
    </xf>
    <xf numFmtId="0" fontId="97" fillId="0" borderId="1" xfId="0" applyFont="1" applyBorder="1" applyAlignment="1">
      <alignment horizontal="left" vertical="center"/>
    </xf>
    <xf numFmtId="0" fontId="96" fillId="0" borderId="1" xfId="7" applyFont="1" applyBorder="1" applyAlignment="1">
      <alignment horizontal="left" vertical="center"/>
    </xf>
    <xf numFmtId="0" fontId="96" fillId="0" borderId="1" xfId="7" applyFont="1" applyBorder="1" applyAlignment="1">
      <alignment horizontal="center" vertical="center"/>
    </xf>
    <xf numFmtId="0" fontId="77" fillId="0" borderId="1" xfId="1" applyFont="1" applyBorder="1" applyAlignment="1">
      <alignment horizontal="center" vertical="center" wrapText="1"/>
    </xf>
    <xf numFmtId="43" fontId="85" fillId="0" borderId="1" xfId="0" applyNumberFormat="1" applyFont="1" applyBorder="1" applyAlignment="1">
      <alignment horizontal="center" vertical="center"/>
    </xf>
    <xf numFmtId="43" fontId="86" fillId="0" borderId="1" xfId="7" applyNumberFormat="1" applyFont="1" applyBorder="1" applyAlignment="1">
      <alignment horizontal="center" vertical="center"/>
    </xf>
    <xf numFmtId="43" fontId="91" fillId="0" borderId="1" xfId="7" applyNumberFormat="1" applyFont="1" applyBorder="1" applyAlignment="1">
      <alignment horizontal="center" vertical="center"/>
    </xf>
    <xf numFmtId="0" fontId="101" fillId="0" borderId="0" xfId="7" applyFont="1" applyAlignment="1">
      <alignment horizontal="left" vertical="center"/>
    </xf>
    <xf numFmtId="0" fontId="101" fillId="0" borderId="0" xfId="7" applyFont="1" applyAlignment="1">
      <alignment vertical="center"/>
    </xf>
    <xf numFmtId="0" fontId="101" fillId="0" borderId="0" xfId="7" applyFont="1" applyAlignment="1">
      <alignment vertical="center" wrapText="1"/>
    </xf>
    <xf numFmtId="0" fontId="101" fillId="0" borderId="0" xfId="7" applyFont="1" applyAlignment="1">
      <alignment horizontal="center" vertical="center"/>
    </xf>
    <xf numFmtId="43" fontId="101" fillId="0" borderId="0" xfId="4" applyFont="1" applyAlignment="1">
      <alignment vertical="center"/>
    </xf>
    <xf numFmtId="0" fontId="95" fillId="0" borderId="0" xfId="7" applyFont="1" applyAlignment="1">
      <alignment vertical="center" wrapText="1"/>
    </xf>
    <xf numFmtId="0" fontId="101" fillId="0" borderId="0" xfId="7" applyFont="1" applyAlignment="1">
      <alignment horizontal="left" vertical="center" wrapText="1"/>
    </xf>
    <xf numFmtId="0" fontId="89" fillId="0" borderId="0" xfId="7" applyAlignment="1">
      <alignment horizontal="left" vertical="center" wrapText="1"/>
    </xf>
    <xf numFmtId="0" fontId="85" fillId="2" borderId="1" xfId="7" applyFont="1" applyFill="1" applyBorder="1" applyAlignment="1">
      <alignment horizontal="left" vertical="center" wrapText="1"/>
    </xf>
    <xf numFmtId="0" fontId="70" fillId="0" borderId="1" xfId="0" applyFont="1" applyBorder="1" applyAlignment="1">
      <alignment horizontal="left" vertical="center" wrapText="1"/>
    </xf>
    <xf numFmtId="0" fontId="70" fillId="2" borderId="1" xfId="7" applyFont="1" applyFill="1" applyBorder="1" applyAlignment="1">
      <alignment horizontal="left" vertical="center" wrapText="1"/>
    </xf>
    <xf numFmtId="0" fontId="70" fillId="2" borderId="1" xfId="0" applyFont="1" applyFill="1" applyBorder="1" applyAlignment="1">
      <alignment horizontal="left" vertical="center" wrapText="1"/>
    </xf>
    <xf numFmtId="43" fontId="91" fillId="0" borderId="1" xfId="4" applyFont="1" applyFill="1" applyBorder="1" applyAlignment="1">
      <alignment horizontal="center" vertical="center"/>
    </xf>
    <xf numFmtId="43" fontId="68" fillId="0" borderId="1" xfId="7" applyNumberFormat="1" applyFont="1" applyBorder="1" applyAlignment="1">
      <alignment horizontal="center" vertical="center"/>
    </xf>
    <xf numFmtId="0" fontId="68" fillId="0" borderId="1" xfId="0" applyFont="1" applyBorder="1" applyAlignment="1">
      <alignment vertical="center"/>
    </xf>
    <xf numFmtId="49" fontId="101" fillId="0" borderId="0" xfId="7" applyNumberFormat="1" applyFont="1" applyAlignment="1">
      <alignment horizontal="center" vertical="center"/>
    </xf>
    <xf numFmtId="49" fontId="90" fillId="0" borderId="0" xfId="7" applyNumberFormat="1" applyFont="1" applyAlignment="1">
      <alignment horizontal="center" vertical="center" wrapText="1"/>
    </xf>
    <xf numFmtId="49" fontId="89" fillId="0" borderId="0" xfId="7" applyNumberFormat="1" applyAlignment="1">
      <alignment horizontal="center" vertical="center"/>
    </xf>
    <xf numFmtId="43" fontId="87" fillId="2" borderId="1" xfId="0" applyNumberFormat="1" applyFont="1" applyFill="1" applyBorder="1" applyAlignment="1">
      <alignment vertical="center"/>
    </xf>
    <xf numFmtId="43" fontId="65" fillId="0" borderId="1" xfId="4" applyFont="1" applyFill="1" applyBorder="1" applyAlignment="1">
      <alignment horizontal="center" vertical="center"/>
    </xf>
    <xf numFmtId="166" fontId="64" fillId="0" borderId="1" xfId="0" applyNumberFormat="1" applyFont="1" applyBorder="1" applyAlignment="1">
      <alignment horizontal="center" vertical="center"/>
    </xf>
    <xf numFmtId="43" fontId="63" fillId="0" borderId="1" xfId="0" applyNumberFormat="1" applyFont="1" applyBorder="1" applyAlignment="1">
      <alignment vertical="center"/>
    </xf>
    <xf numFmtId="0" fontId="63" fillId="0" borderId="0" xfId="7" applyFont="1" applyAlignment="1">
      <alignment vertical="center"/>
    </xf>
    <xf numFmtId="43" fontId="91" fillId="0" borderId="1" xfId="0" applyNumberFormat="1" applyFont="1" applyBorder="1" applyAlignment="1">
      <alignment vertical="center"/>
    </xf>
    <xf numFmtId="0" fontId="61" fillId="0" borderId="1" xfId="7" applyFont="1" applyBorder="1" applyAlignment="1">
      <alignment horizontal="center" vertical="center" wrapText="1"/>
    </xf>
    <xf numFmtId="0" fontId="57" fillId="0" borderId="1" xfId="1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43" fontId="57" fillId="0" borderId="1" xfId="0" applyNumberFormat="1" applyFont="1" applyBorder="1" applyAlignment="1">
      <alignment vertical="center"/>
    </xf>
    <xf numFmtId="49" fontId="101" fillId="0" borderId="0" xfId="7" applyNumberFormat="1" applyFont="1" applyAlignment="1">
      <alignment vertical="center"/>
    </xf>
    <xf numFmtId="49" fontId="89" fillId="0" borderId="0" xfId="7" applyNumberFormat="1" applyAlignment="1">
      <alignment vertical="center"/>
    </xf>
    <xf numFmtId="0" fontId="96" fillId="2" borderId="1" xfId="7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left" vertical="center" wrapText="1"/>
    </xf>
    <xf numFmtId="0" fontId="55" fillId="2" borderId="1" xfId="0" applyFont="1" applyFill="1" applyBorder="1" applyAlignment="1">
      <alignment horizontal="center" vertical="center"/>
    </xf>
    <xf numFmtId="0" fontId="96" fillId="2" borderId="1" xfId="0" applyFont="1" applyFill="1" applyBorder="1" applyAlignment="1">
      <alignment vertical="center"/>
    </xf>
    <xf numFmtId="0" fontId="55" fillId="2" borderId="1" xfId="0" applyFont="1" applyFill="1" applyBorder="1" applyAlignment="1">
      <alignment vertical="center"/>
    </xf>
    <xf numFmtId="0" fontId="55" fillId="2" borderId="1" xfId="7" applyFont="1" applyFill="1" applyBorder="1" applyAlignment="1">
      <alignment horizontal="center" vertical="center" wrapText="1"/>
    </xf>
    <xf numFmtId="0" fontId="85" fillId="2" borderId="1" xfId="0" applyFont="1" applyFill="1" applyBorder="1" applyAlignment="1">
      <alignment horizontal="center" vertical="center"/>
    </xf>
    <xf numFmtId="43" fontId="65" fillId="2" borderId="1" xfId="4" applyFont="1" applyFill="1" applyBorder="1" applyAlignment="1">
      <alignment horizontal="center" vertical="center"/>
    </xf>
    <xf numFmtId="0" fontId="89" fillId="2" borderId="0" xfId="7" applyFill="1" applyAlignment="1">
      <alignment horizontal="center" vertical="center"/>
    </xf>
    <xf numFmtId="0" fontId="54" fillId="2" borderId="1" xfId="0" applyFont="1" applyFill="1" applyBorder="1" applyAlignment="1">
      <alignment vertical="center"/>
    </xf>
    <xf numFmtId="43" fontId="99" fillId="0" borderId="0" xfId="7" applyNumberFormat="1" applyFont="1" applyAlignment="1">
      <alignment vertical="center"/>
    </xf>
    <xf numFmtId="49" fontId="98" fillId="3" borderId="2" xfId="7" applyNumberFormat="1" applyFont="1" applyFill="1" applyBorder="1" applyAlignment="1">
      <alignment horizontal="center" vertical="center" wrapText="1"/>
    </xf>
    <xf numFmtId="0" fontId="95" fillId="3" borderId="2" xfId="7" applyFont="1" applyFill="1" applyBorder="1" applyAlignment="1">
      <alignment horizontal="center" vertical="center" wrapText="1"/>
    </xf>
    <xf numFmtId="0" fontId="98" fillId="3" borderId="2" xfId="7" applyFont="1" applyFill="1" applyBorder="1" applyAlignment="1" applyProtection="1">
      <alignment vertical="center" wrapText="1"/>
      <protection locked="0"/>
    </xf>
    <xf numFmtId="0" fontId="98" fillId="3" borderId="6" xfId="7" applyFont="1" applyFill="1" applyBorder="1" applyAlignment="1">
      <alignment horizontal="center" vertical="center" wrapText="1"/>
    </xf>
    <xf numFmtId="0" fontId="98" fillId="3" borderId="2" xfId="7" applyFont="1" applyFill="1" applyBorder="1" applyAlignment="1" applyProtection="1">
      <alignment horizontal="center" vertical="center" wrapText="1"/>
      <protection locked="0"/>
    </xf>
    <xf numFmtId="0" fontId="98" fillId="3" borderId="6" xfId="7" applyFont="1" applyFill="1" applyBorder="1" applyAlignment="1" applyProtection="1">
      <alignment horizontal="left" vertical="center" wrapText="1"/>
      <protection locked="0"/>
    </xf>
    <xf numFmtId="49" fontId="98" fillId="3" borderId="2" xfId="7" applyNumberFormat="1" applyFont="1" applyFill="1" applyBorder="1" applyAlignment="1" applyProtection="1">
      <alignment vertical="center" wrapText="1"/>
      <protection locked="0"/>
    </xf>
    <xf numFmtId="0" fontId="98" fillId="3" borderId="2" xfId="7" applyFont="1" applyFill="1" applyBorder="1" applyAlignment="1">
      <alignment horizontal="center" vertical="center" wrapText="1"/>
    </xf>
    <xf numFmtId="0" fontId="98" fillId="3" borderId="3" xfId="7" applyFont="1" applyFill="1" applyBorder="1" applyAlignment="1">
      <alignment vertical="center" wrapText="1"/>
    </xf>
    <xf numFmtId="0" fontId="98" fillId="3" borderId="6" xfId="7" applyFont="1" applyFill="1" applyBorder="1" applyAlignment="1" applyProtection="1">
      <alignment horizontal="center" vertical="center" wrapText="1"/>
      <protection locked="0"/>
    </xf>
    <xf numFmtId="0" fontId="102" fillId="3" borderId="2" xfId="7" applyFont="1" applyFill="1" applyBorder="1" applyAlignment="1">
      <alignment vertical="center" wrapText="1"/>
    </xf>
    <xf numFmtId="0" fontId="98" fillId="3" borderId="2" xfId="7" applyFont="1" applyFill="1" applyBorder="1" applyAlignment="1">
      <alignment vertical="center" wrapText="1"/>
    </xf>
    <xf numFmtId="0" fontId="98" fillId="3" borderId="3" xfId="7" applyFont="1" applyFill="1" applyBorder="1" applyAlignment="1">
      <alignment horizontal="center" vertical="center" wrapText="1"/>
    </xf>
    <xf numFmtId="0" fontId="90" fillId="3" borderId="0" xfId="7" applyFont="1" applyFill="1" applyAlignment="1">
      <alignment horizontal="center" vertical="center" wrapText="1"/>
    </xf>
    <xf numFmtId="43" fontId="95" fillId="3" borderId="4" xfId="7" applyNumberFormat="1" applyFont="1" applyFill="1" applyBorder="1" applyAlignment="1">
      <alignment vertical="center" wrapText="1"/>
    </xf>
    <xf numFmtId="165" fontId="90" fillId="3" borderId="7" xfId="7" applyNumberFormat="1" applyFont="1" applyFill="1" applyBorder="1" applyAlignment="1">
      <alignment vertical="center" wrapText="1"/>
    </xf>
    <xf numFmtId="165" fontId="90" fillId="3" borderId="1" xfId="7" applyNumberFormat="1" applyFont="1" applyFill="1" applyBorder="1" applyAlignment="1">
      <alignment vertical="center" wrapText="1"/>
    </xf>
    <xf numFmtId="0" fontId="100" fillId="4" borderId="9" xfId="7" applyFont="1" applyFill="1" applyBorder="1" applyAlignment="1">
      <alignment horizontal="center" vertical="center"/>
    </xf>
    <xf numFmtId="0" fontId="98" fillId="3" borderId="0" xfId="7" applyFont="1" applyFill="1" applyAlignment="1" applyProtection="1">
      <alignment horizontal="center" vertical="center" textRotation="90" wrapText="1"/>
      <protection locked="0"/>
    </xf>
    <xf numFmtId="0" fontId="103" fillId="3" borderId="5" xfId="7" applyFont="1" applyFill="1" applyBorder="1" applyAlignment="1">
      <alignment vertical="center" wrapText="1"/>
    </xf>
    <xf numFmtId="165" fontId="90" fillId="3" borderId="8" xfId="7" applyNumberFormat="1" applyFont="1" applyFill="1" applyBorder="1" applyAlignment="1">
      <alignment vertical="center" wrapText="1"/>
    </xf>
    <xf numFmtId="0" fontId="106" fillId="3" borderId="0" xfId="7" applyFont="1" applyFill="1" applyAlignment="1">
      <alignment horizontal="center" vertical="center" wrapText="1"/>
    </xf>
    <xf numFmtId="166" fontId="64" fillId="2" borderId="1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left" vertical="center" wrapText="1"/>
    </xf>
    <xf numFmtId="0" fontId="52" fillId="0" borderId="1" xfId="0" applyFont="1" applyBorder="1" applyAlignment="1">
      <alignment horizontal="left" vertical="center" wrapText="1"/>
    </xf>
    <xf numFmtId="0" fontId="52" fillId="2" borderId="1" xfId="7" applyFont="1" applyFill="1" applyBorder="1" applyAlignment="1">
      <alignment horizontal="left" vertical="center" wrapText="1"/>
    </xf>
    <xf numFmtId="43" fontId="51" fillId="0" borderId="1" xfId="0" applyNumberFormat="1" applyFont="1" applyBorder="1" applyAlignment="1">
      <alignment vertical="center"/>
    </xf>
    <xf numFmtId="0" fontId="50" fillId="2" borderId="1" xfId="7" applyFont="1" applyFill="1" applyBorder="1" applyAlignment="1">
      <alignment horizontal="left" vertical="center" wrapText="1"/>
    </xf>
    <xf numFmtId="43" fontId="49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0" fontId="46" fillId="0" borderId="1" xfId="1" applyFont="1" applyBorder="1" applyAlignment="1">
      <alignment horizontal="center" vertical="center" wrapText="1"/>
    </xf>
    <xf numFmtId="43" fontId="101" fillId="0" borderId="0" xfId="7" applyNumberFormat="1" applyFont="1" applyAlignment="1">
      <alignment horizontal="center" vertical="center"/>
    </xf>
    <xf numFmtId="43" fontId="90" fillId="3" borderId="0" xfId="7" applyNumberFormat="1" applyFont="1" applyFill="1" applyAlignment="1">
      <alignment horizontal="center" vertical="center" wrapText="1"/>
    </xf>
    <xf numFmtId="43" fontId="102" fillId="3" borderId="2" xfId="7" applyNumberFormat="1" applyFont="1" applyFill="1" applyBorder="1" applyAlignment="1">
      <alignment vertical="center" wrapText="1"/>
    </xf>
    <xf numFmtId="43" fontId="89" fillId="0" borderId="0" xfId="7" applyNumberFormat="1" applyAlignment="1">
      <alignment horizontal="center" vertical="center"/>
    </xf>
    <xf numFmtId="0" fontId="52" fillId="2" borderId="1" xfId="7" quotePrefix="1" applyFont="1" applyFill="1" applyBorder="1" applyAlignment="1">
      <alignment horizontal="left" vertical="center" wrapText="1"/>
    </xf>
    <xf numFmtId="0" fontId="53" fillId="2" borderId="1" xfId="0" applyFont="1" applyFill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 wrapText="1"/>
    </xf>
    <xf numFmtId="0" fontId="67" fillId="2" borderId="1" xfId="7" applyFont="1" applyFill="1" applyBorder="1" applyAlignment="1">
      <alignment horizontal="left" vertical="center" wrapText="1"/>
    </xf>
    <xf numFmtId="0" fontId="62" fillId="0" borderId="1" xfId="0" applyFont="1" applyBorder="1" applyAlignment="1">
      <alignment horizontal="left" vertical="center" wrapText="1"/>
    </xf>
    <xf numFmtId="0" fontId="63" fillId="0" borderId="1" xfId="1" applyFont="1" applyBorder="1" applyAlignment="1">
      <alignment horizontal="center" vertical="center" wrapText="1"/>
    </xf>
    <xf numFmtId="0" fontId="50" fillId="2" borderId="1" xfId="0" applyFont="1" applyFill="1" applyBorder="1" applyAlignment="1">
      <alignment horizontal="left" vertical="center" wrapText="1"/>
    </xf>
    <xf numFmtId="0" fontId="43" fillId="0" borderId="1" xfId="7" applyFont="1" applyBorder="1" applyAlignment="1">
      <alignment horizontal="center" vertical="center" wrapText="1"/>
    </xf>
    <xf numFmtId="0" fontId="91" fillId="0" borderId="1" xfId="0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/>
    </xf>
    <xf numFmtId="0" fontId="70" fillId="0" borderId="1" xfId="7" applyFont="1" applyBorder="1" applyAlignment="1">
      <alignment horizontal="left" vertical="center" wrapText="1"/>
    </xf>
    <xf numFmtId="43" fontId="51" fillId="2" borderId="1" xfId="0" applyNumberFormat="1" applyFont="1" applyFill="1" applyBorder="1" applyAlignment="1">
      <alignment vertical="center"/>
    </xf>
    <xf numFmtId="43" fontId="98" fillId="3" borderId="2" xfId="7" applyNumberFormat="1" applyFont="1" applyFill="1" applyBorder="1" applyAlignment="1">
      <alignment horizontal="center" vertical="center" wrapText="1"/>
    </xf>
    <xf numFmtId="0" fontId="42" fillId="0" borderId="1" xfId="7" applyFont="1" applyBorder="1" applyAlignment="1">
      <alignment horizontal="left" vertical="center"/>
    </xf>
    <xf numFmtId="0" fontId="41" fillId="0" borderId="1" xfId="7" applyFont="1" applyBorder="1" applyAlignment="1">
      <alignment horizontal="center" vertical="center" wrapText="1"/>
    </xf>
    <xf numFmtId="0" fontId="40" fillId="0" borderId="1" xfId="38" applyBorder="1" applyAlignment="1">
      <alignment horizontal="center" vertical="center"/>
    </xf>
    <xf numFmtId="0" fontId="40" fillId="0" borderId="1" xfId="0" applyFont="1" applyBorder="1" applyAlignment="1">
      <alignment vertical="center"/>
    </xf>
    <xf numFmtId="0" fontId="40" fillId="0" borderId="1" xfId="0" applyFont="1" applyBorder="1" applyAlignment="1">
      <alignment horizontal="center" vertical="center"/>
    </xf>
    <xf numFmtId="166" fontId="40" fillId="0" borderId="1" xfId="0" applyNumberFormat="1" applyFont="1" applyBorder="1" applyAlignment="1">
      <alignment horizontal="center" vertical="center"/>
    </xf>
    <xf numFmtId="0" fontId="40" fillId="0" borderId="1" xfId="38" applyBorder="1" applyAlignment="1">
      <alignment horizontal="center" vertical="center" wrapText="1"/>
    </xf>
    <xf numFmtId="166" fontId="40" fillId="2" borderId="1" xfId="0" applyNumberFormat="1" applyFont="1" applyFill="1" applyBorder="1" applyAlignment="1">
      <alignment horizontal="center" vertical="center"/>
    </xf>
    <xf numFmtId="0" fontId="40" fillId="2" borderId="1" xfId="38" applyFill="1" applyBorder="1" applyAlignment="1">
      <alignment horizontal="center" vertical="center"/>
    </xf>
    <xf numFmtId="0" fontId="40" fillId="2" borderId="1" xfId="0" applyFont="1" applyFill="1" applyBorder="1" applyAlignment="1">
      <alignment vertical="center"/>
    </xf>
    <xf numFmtId="0" fontId="97" fillId="2" borderId="1" xfId="0" applyFont="1" applyFill="1" applyBorder="1" applyAlignment="1">
      <alignment horizontal="left" vertical="center"/>
    </xf>
    <xf numFmtId="0" fontId="103" fillId="3" borderId="0" xfId="7" applyFont="1" applyFill="1" applyAlignment="1">
      <alignment horizontal="center" vertical="center" wrapText="1"/>
    </xf>
    <xf numFmtId="0" fontId="39" fillId="0" borderId="1" xfId="7" applyFont="1" applyBorder="1" applyAlignment="1">
      <alignment horizontal="center" vertical="center" wrapText="1"/>
    </xf>
    <xf numFmtId="0" fontId="39" fillId="0" borderId="1" xfId="7" applyFont="1" applyBorder="1" applyAlignment="1">
      <alignment horizontal="left" vertical="center"/>
    </xf>
    <xf numFmtId="0" fontId="39" fillId="0" borderId="1" xfId="7" applyFont="1" applyBorder="1" applyAlignment="1">
      <alignment horizontal="center" vertical="center"/>
    </xf>
    <xf numFmtId="0" fontId="104" fillId="0" borderId="10" xfId="7" applyFont="1" applyBorder="1" applyAlignment="1">
      <alignment horizontal="center" vertical="center" wrapText="1"/>
    </xf>
    <xf numFmtId="0" fontId="42" fillId="0" borderId="1" xfId="7" applyFont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0" fontId="38" fillId="0" borderId="1" xfId="7" applyFont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7" fillId="0" borderId="1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2" borderId="1" xfId="1" applyFont="1" applyFill="1" applyBorder="1" applyAlignment="1">
      <alignment horizontal="center" vertical="center" wrapText="1"/>
    </xf>
    <xf numFmtId="49" fontId="37" fillId="2" borderId="1" xfId="0" applyNumberFormat="1" applyFont="1" applyFill="1" applyBorder="1" applyAlignment="1">
      <alignment horizontal="center" vertical="center"/>
    </xf>
    <xf numFmtId="0" fontId="107" fillId="0" borderId="1" xfId="0" applyFont="1" applyBorder="1" applyAlignment="1">
      <alignment vertical="center" wrapText="1"/>
    </xf>
    <xf numFmtId="0" fontId="37" fillId="2" borderId="1" xfId="0" applyFont="1" applyFill="1" applyBorder="1" applyAlignment="1">
      <alignment vertical="center" wrapText="1"/>
    </xf>
    <xf numFmtId="0" fontId="37" fillId="0" borderId="1" xfId="1" quotePrefix="1" applyFont="1" applyBorder="1" applyAlignment="1">
      <alignment horizontal="center" vertical="center" wrapText="1"/>
    </xf>
    <xf numFmtId="0" fontId="36" fillId="0" borderId="1" xfId="7" applyFont="1" applyBorder="1" applyAlignment="1">
      <alignment horizontal="center" vertical="center" wrapText="1"/>
    </xf>
    <xf numFmtId="0" fontId="34" fillId="0" borderId="1" xfId="7" applyFont="1" applyBorder="1" applyAlignment="1">
      <alignment horizontal="center" vertical="center" wrapText="1"/>
    </xf>
    <xf numFmtId="0" fontId="34" fillId="0" borderId="1" xfId="7" applyFont="1" applyBorder="1" applyAlignment="1">
      <alignment horizontal="left" vertical="center"/>
    </xf>
    <xf numFmtId="0" fontId="34" fillId="0" borderId="1" xfId="7" applyFont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center" wrapText="1"/>
    </xf>
    <xf numFmtId="166" fontId="31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vertical="center" wrapText="1"/>
    </xf>
    <xf numFmtId="43" fontId="90" fillId="3" borderId="0" xfId="7" quotePrefix="1" applyNumberFormat="1" applyFont="1" applyFill="1" applyAlignment="1">
      <alignment horizontal="center" vertical="center" wrapText="1"/>
    </xf>
    <xf numFmtId="165" fontId="90" fillId="3" borderId="8" xfId="7" quotePrefix="1" applyNumberFormat="1" applyFont="1" applyFill="1" applyBorder="1" applyAlignment="1">
      <alignment vertical="center" wrapText="1"/>
    </xf>
    <xf numFmtId="165" fontId="90" fillId="3" borderId="1" xfId="7" quotePrefix="1" applyNumberFormat="1" applyFont="1" applyFill="1" applyBorder="1" applyAlignment="1">
      <alignment vertical="center" wrapText="1"/>
    </xf>
    <xf numFmtId="0" fontId="68" fillId="2" borderId="1" xfId="0" applyFont="1" applyFill="1" applyBorder="1" applyAlignment="1">
      <alignment vertical="center"/>
    </xf>
    <xf numFmtId="0" fontId="85" fillId="2" borderId="1" xfId="1" applyFont="1" applyFill="1" applyBorder="1" applyAlignment="1">
      <alignment horizontal="center" vertical="center" wrapText="1"/>
    </xf>
    <xf numFmtId="0" fontId="41" fillId="2" borderId="1" xfId="7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 wrapText="1"/>
    </xf>
    <xf numFmtId="0" fontId="96" fillId="2" borderId="1" xfId="7" applyFont="1" applyFill="1" applyBorder="1" applyAlignment="1">
      <alignment horizontal="left" vertical="center"/>
    </xf>
    <xf numFmtId="49" fontId="28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vertical="center" wrapText="1"/>
    </xf>
    <xf numFmtId="0" fontId="28" fillId="0" borderId="1" xfId="1" applyFont="1" applyBorder="1" applyAlignment="1">
      <alignment horizontal="center" vertical="center" wrapText="1"/>
    </xf>
    <xf numFmtId="0" fontId="28" fillId="2" borderId="1" xfId="7" applyFont="1" applyFill="1" applyBorder="1" applyAlignment="1">
      <alignment horizontal="left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166" fontId="28" fillId="0" borderId="1" xfId="0" applyNumberFormat="1" applyFont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8" fillId="2" borderId="1" xfId="7" quotePrefix="1" applyFont="1" applyFill="1" applyBorder="1" applyAlignment="1">
      <alignment horizontal="left" vertical="center" wrapText="1"/>
    </xf>
    <xf numFmtId="0" fontId="28" fillId="0" borderId="1" xfId="7" applyFont="1" applyBorder="1" applyAlignment="1">
      <alignment horizontal="left" vertical="center"/>
    </xf>
    <xf numFmtId="166" fontId="28" fillId="2" borderId="1" xfId="0" applyNumberFormat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left" vertical="center" wrapText="1"/>
    </xf>
    <xf numFmtId="49" fontId="28" fillId="2" borderId="1" xfId="0" applyNumberFormat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vertical="center" wrapText="1"/>
    </xf>
    <xf numFmtId="0" fontId="28" fillId="0" borderId="1" xfId="7" applyFont="1" applyBorder="1" applyAlignment="1">
      <alignment horizontal="center" vertical="center"/>
    </xf>
    <xf numFmtId="0" fontId="28" fillId="0" borderId="1" xfId="38" applyFont="1" applyBorder="1" applyAlignment="1">
      <alignment horizontal="left" vertical="center"/>
    </xf>
    <xf numFmtId="0" fontId="28" fillId="0" borderId="1" xfId="38" applyFont="1" applyBorder="1" applyAlignment="1">
      <alignment horizontal="center" vertical="center"/>
    </xf>
    <xf numFmtId="0" fontId="28" fillId="0" borderId="1" xfId="7" applyFont="1" applyBorder="1" applyAlignment="1">
      <alignment horizontal="left" vertical="center" wrapText="1"/>
    </xf>
    <xf numFmtId="0" fontId="28" fillId="0" borderId="1" xfId="1" quotePrefix="1" applyFont="1" applyBorder="1" applyAlignment="1">
      <alignment horizontal="center" vertical="center" wrapText="1"/>
    </xf>
    <xf numFmtId="0" fontId="29" fillId="2" borderId="1" xfId="7" applyFont="1" applyFill="1" applyBorder="1" applyAlignment="1">
      <alignment horizontal="left" vertical="center"/>
    </xf>
    <xf numFmtId="0" fontId="89" fillId="2" borderId="1" xfId="7" applyFill="1" applyBorder="1" applyAlignment="1">
      <alignment horizontal="center" vertical="center"/>
    </xf>
    <xf numFmtId="0" fontId="83" fillId="2" borderId="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horizontal="center" vertical="center"/>
    </xf>
    <xf numFmtId="0" fontId="80" fillId="2" borderId="1" xfId="0" applyFont="1" applyFill="1" applyBorder="1" applyAlignment="1">
      <alignment vertical="center"/>
    </xf>
    <xf numFmtId="0" fontId="80" fillId="2" borderId="1" xfId="0" applyFont="1" applyFill="1" applyBorder="1" applyAlignment="1">
      <alignment horizontal="center" vertical="center"/>
    </xf>
    <xf numFmtId="0" fontId="69" fillId="2" borderId="1" xfId="0" applyFont="1" applyFill="1" applyBorder="1" applyAlignment="1">
      <alignment vertical="center"/>
    </xf>
    <xf numFmtId="0" fontId="69" fillId="2" borderId="1" xfId="0" applyFont="1" applyFill="1" applyBorder="1" applyAlignment="1">
      <alignment horizontal="center" vertical="center"/>
    </xf>
    <xf numFmtId="0" fontId="82" fillId="2" borderId="1" xfId="0" applyFont="1" applyFill="1" applyBorder="1" applyAlignment="1">
      <alignment vertical="center"/>
    </xf>
    <xf numFmtId="0" fontId="82" fillId="2" borderId="1" xfId="7" applyFont="1" applyFill="1" applyBorder="1" applyAlignment="1">
      <alignment horizontal="left" vertical="center"/>
    </xf>
    <xf numFmtId="0" fontId="82" fillId="2" borderId="1" xfId="7" applyFont="1" applyFill="1" applyBorder="1" applyAlignment="1">
      <alignment horizontal="center" vertical="center"/>
    </xf>
    <xf numFmtId="0" fontId="81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vertical="center"/>
    </xf>
    <xf numFmtId="0" fontId="78" fillId="2" borderId="1" xfId="0" applyFont="1" applyFill="1" applyBorder="1" applyAlignment="1">
      <alignment horizontal="center" vertical="center"/>
    </xf>
    <xf numFmtId="0" fontId="75" fillId="2" borderId="1" xfId="7" applyFont="1" applyFill="1" applyBorder="1" applyAlignment="1">
      <alignment horizontal="center" vertical="center"/>
    </xf>
    <xf numFmtId="0" fontId="79" fillId="2" borderId="1" xfId="7" applyFont="1" applyFill="1" applyBorder="1" applyAlignment="1">
      <alignment horizontal="left" vertical="center"/>
    </xf>
    <xf numFmtId="0" fontId="79" fillId="2" borderId="1" xfId="7" applyFont="1" applyFill="1" applyBorder="1" applyAlignment="1">
      <alignment horizontal="center" vertical="center"/>
    </xf>
    <xf numFmtId="0" fontId="28" fillId="0" borderId="1" xfId="7" applyFont="1" applyBorder="1" applyAlignment="1">
      <alignment horizontal="center" vertical="center" wrapText="1"/>
    </xf>
    <xf numFmtId="49" fontId="28" fillId="0" borderId="1" xfId="7" applyNumberFormat="1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6" fillId="0" borderId="1" xfId="7" applyFont="1" applyBorder="1" applyAlignment="1">
      <alignment horizontal="center" vertical="center" wrapText="1"/>
    </xf>
    <xf numFmtId="0" fontId="25" fillId="2" borderId="1" xfId="7" applyFont="1" applyFill="1" applyBorder="1" applyAlignment="1">
      <alignment horizontal="left" vertical="center" wrapText="1"/>
    </xf>
    <xf numFmtId="0" fontId="98" fillId="6" borderId="3" xfId="7" applyFont="1" applyFill="1" applyBorder="1" applyAlignment="1">
      <alignment horizontal="center" vertical="center" wrapText="1"/>
    </xf>
    <xf numFmtId="0" fontId="24" fillId="0" borderId="0" xfId="7" applyFont="1" applyAlignment="1">
      <alignment horizontal="left" vertical="center"/>
    </xf>
    <xf numFmtId="0" fontId="24" fillId="0" borderId="1" xfId="7" applyFont="1" applyBorder="1" applyAlignment="1">
      <alignment vertical="center"/>
    </xf>
    <xf numFmtId="0" fontId="24" fillId="0" borderId="1" xfId="7" applyFont="1" applyBorder="1" applyAlignment="1">
      <alignment horizontal="left" vertical="center"/>
    </xf>
    <xf numFmtId="0" fontId="23" fillId="0" borderId="1" xfId="7" applyFont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43" fontId="85" fillId="5" borderId="1" xfId="0" applyNumberFormat="1" applyFont="1" applyFill="1" applyBorder="1" applyAlignment="1">
      <alignment horizontal="center" vertical="center"/>
    </xf>
    <xf numFmtId="43" fontId="91" fillId="7" borderId="1" xfId="0" applyNumberFormat="1" applyFont="1" applyFill="1" applyBorder="1" applyAlignment="1">
      <alignment vertical="center"/>
    </xf>
    <xf numFmtId="0" fontId="97" fillId="0" borderId="1" xfId="0" applyFont="1" applyBorder="1" applyAlignment="1">
      <alignment horizontal="left" vertical="center" wrapText="1"/>
    </xf>
    <xf numFmtId="43" fontId="22" fillId="0" borderId="1" xfId="0" applyNumberFormat="1" applyFont="1" applyBorder="1" applyAlignment="1">
      <alignment vertical="center"/>
    </xf>
    <xf numFmtId="43" fontId="22" fillId="0" borderId="1" xfId="4" applyFont="1" applyFill="1" applyBorder="1" applyAlignment="1">
      <alignment horizontal="center" vertical="center"/>
    </xf>
    <xf numFmtId="43" fontId="22" fillId="2" borderId="1" xfId="4" applyFont="1" applyFill="1" applyBorder="1" applyAlignment="1">
      <alignment horizontal="center" vertical="center"/>
    </xf>
    <xf numFmtId="0" fontId="104" fillId="0" borderId="1" xfId="0" applyFont="1" applyBorder="1" applyAlignment="1">
      <alignment vertical="center"/>
    </xf>
    <xf numFmtId="0" fontId="24" fillId="0" borderId="0" xfId="7" applyFont="1" applyAlignment="1">
      <alignment horizontal="center" vertical="center"/>
    </xf>
    <xf numFmtId="0" fontId="29" fillId="0" borderId="1" xfId="7" applyFont="1" applyBorder="1" applyAlignment="1">
      <alignment horizontal="left" vertical="center"/>
    </xf>
    <xf numFmtId="0" fontId="21" fillId="0" borderId="1" xfId="7" applyFont="1" applyBorder="1" applyAlignment="1">
      <alignment horizontal="center" vertical="center"/>
    </xf>
    <xf numFmtId="0" fontId="21" fillId="0" borderId="1" xfId="7" applyFont="1" applyBorder="1" applyAlignment="1">
      <alignment horizontal="left" vertical="center"/>
    </xf>
    <xf numFmtId="0" fontId="20" fillId="2" borderId="1" xfId="0" applyFont="1" applyFill="1" applyBorder="1" applyAlignment="1">
      <alignment vertical="center"/>
    </xf>
    <xf numFmtId="0" fontId="20" fillId="0" borderId="1" xfId="7" applyFont="1" applyBorder="1" applyAlignment="1">
      <alignment horizontal="left" vertical="center"/>
    </xf>
    <xf numFmtId="0" fontId="19" fillId="0" borderId="1" xfId="0" applyFont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vertical="center"/>
    </xf>
    <xf numFmtId="0" fontId="17" fillId="0" borderId="1" xfId="7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6" fillId="0" borderId="1" xfId="7" applyFont="1" applyBorder="1" applyAlignment="1">
      <alignment horizontal="center" vertical="center" wrapText="1"/>
    </xf>
    <xf numFmtId="0" fontId="16" fillId="0" borderId="1" xfId="38" applyFont="1" applyBorder="1" applyAlignment="1">
      <alignment horizontal="center" vertical="center" wrapText="1"/>
    </xf>
    <xf numFmtId="0" fontId="16" fillId="2" borderId="1" xfId="7" applyFont="1" applyFill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0" fontId="104" fillId="0" borderId="1" xfId="7" applyFont="1" applyBorder="1" applyAlignment="1">
      <alignment horizontal="left" vertical="center"/>
    </xf>
    <xf numFmtId="0" fontId="14" fillId="0" borderId="1" xfId="38" applyFont="1" applyBorder="1" applyAlignment="1">
      <alignment horizontal="left" vertical="center"/>
    </xf>
    <xf numFmtId="0" fontId="14" fillId="0" borderId="1" xfId="38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166" fontId="14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3" fillId="0" borderId="1" xfId="7" applyFont="1" applyBorder="1" applyAlignment="1">
      <alignment horizontal="center" vertical="center" wrapText="1"/>
    </xf>
    <xf numFmtId="0" fontId="12" fillId="2" borderId="1" xfId="0" applyFont="1" applyFill="1" applyBorder="1" applyAlignment="1">
      <alignment vertical="center"/>
    </xf>
    <xf numFmtId="0" fontId="12" fillId="0" borderId="1" xfId="7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1" xfId="7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8" fillId="0" borderId="1" xfId="7" applyFont="1" applyBorder="1" applyAlignment="1">
      <alignment horizontal="left" vertical="center"/>
    </xf>
    <xf numFmtId="0" fontId="7" fillId="0" borderId="1" xfId="7" applyFont="1" applyBorder="1" applyAlignment="1">
      <alignment vertical="center"/>
    </xf>
    <xf numFmtId="0" fontId="7" fillId="0" borderId="1" xfId="7" applyFont="1" applyBorder="1" applyAlignment="1">
      <alignment horizontal="left" vertical="center"/>
    </xf>
    <xf numFmtId="15" fontId="89" fillId="0" borderId="1" xfId="7" applyNumberFormat="1" applyBorder="1" applyAlignment="1">
      <alignment horizontal="center" vertical="center"/>
    </xf>
    <xf numFmtId="0" fontId="91" fillId="0" borderId="1" xfId="7" applyFont="1" applyBorder="1" applyAlignment="1">
      <alignment horizontal="left" vertical="center" wrapText="1"/>
    </xf>
    <xf numFmtId="0" fontId="7" fillId="0" borderId="1" xfId="0" applyFont="1" applyBorder="1" applyAlignment="1">
      <alignment vertical="center"/>
    </xf>
    <xf numFmtId="0" fontId="7" fillId="0" borderId="1" xfId="7" applyFont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7" applyFont="1" applyBorder="1" applyAlignment="1">
      <alignment horizontal="left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0" borderId="1" xfId="7" applyFont="1" applyBorder="1" applyAlignment="1">
      <alignment horizontal="center" vertical="center" wrapText="1"/>
    </xf>
    <xf numFmtId="0" fontId="20" fillId="0" borderId="1" xfId="7" applyFont="1" applyBorder="1" applyAlignment="1">
      <alignment horizontal="center" vertical="center"/>
    </xf>
    <xf numFmtId="0" fontId="91" fillId="0" borderId="1" xfId="42" applyFont="1" applyBorder="1" applyAlignment="1">
      <alignment horizontal="left" vertical="center" wrapText="1"/>
    </xf>
    <xf numFmtId="43" fontId="87" fillId="8" borderId="1" xfId="0" applyNumberFormat="1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38" applyFont="1" applyBorder="1" applyAlignment="1">
      <alignment horizontal="left" vertical="center"/>
    </xf>
    <xf numFmtId="0" fontId="2" fillId="0" borderId="1" xfId="38" applyFont="1" applyBorder="1" applyAlignment="1">
      <alignment horizontal="center" vertical="center"/>
    </xf>
    <xf numFmtId="0" fontId="1" fillId="0" borderId="1" xfId="7" applyFont="1" applyBorder="1" applyAlignment="1">
      <alignment horizontal="left" vertical="center"/>
    </xf>
  </cellXfs>
  <cellStyles count="45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6" xfId="34" xr:uid="{00000000-0005-0000-0000-000005000000}"/>
    <cellStyle name="Millares 2 7" xfId="37" xr:uid="{00000000-0005-0000-0000-000006000000}"/>
    <cellStyle name="Millares 2 8" xfId="40" xr:uid="{00000000-0005-0000-0000-000007000000}"/>
    <cellStyle name="Millares 2 9" xfId="43" xr:uid="{00000000-0005-0000-0000-000008000000}"/>
    <cellStyle name="Millares 3" xfId="12" xr:uid="{00000000-0005-0000-0000-000009000000}"/>
    <cellStyle name="Millares 4" xfId="14" xr:uid="{00000000-0005-0000-0000-00000A000000}"/>
    <cellStyle name="Millares 4 2" xfId="26" xr:uid="{00000000-0005-0000-0000-00000B000000}"/>
    <cellStyle name="Millares 5" xfId="21" xr:uid="{00000000-0005-0000-0000-00000C000000}"/>
    <cellStyle name="Millares 5 2" xfId="28" xr:uid="{00000000-0005-0000-0000-00000D000000}"/>
    <cellStyle name="Millares 7" xfId="2" xr:uid="{00000000-0005-0000-0000-00000E000000}"/>
    <cellStyle name="Moneda 2" xfId="24" xr:uid="{00000000-0005-0000-0000-00000F000000}"/>
    <cellStyle name="Moneda 2 2" xfId="30" xr:uid="{00000000-0005-0000-0000-000010000000}"/>
    <cellStyle name="Normal" xfId="0" builtinId="0"/>
    <cellStyle name="Normal 2" xfId="6" xr:uid="{00000000-0005-0000-0000-000012000000}"/>
    <cellStyle name="Normal 2 2" xfId="20" xr:uid="{00000000-0005-0000-0000-000013000000}"/>
    <cellStyle name="Normal 23" xfId="3" xr:uid="{00000000-0005-0000-0000-000014000000}"/>
    <cellStyle name="Normal 3" xfId="7" xr:uid="{00000000-0005-0000-0000-000015000000}"/>
    <cellStyle name="Normal 3 10" xfId="42" xr:uid="{00000000-0005-0000-0000-000016000000}"/>
    <cellStyle name="Normal 3 2" xfId="9" xr:uid="{00000000-0005-0000-0000-000017000000}"/>
    <cellStyle name="Normal 3 3" xfId="17" xr:uid="{00000000-0005-0000-0000-000018000000}"/>
    <cellStyle name="Normal 3 4" xfId="23" xr:uid="{00000000-0005-0000-0000-000019000000}"/>
    <cellStyle name="Normal 3 4 2" xfId="29" xr:uid="{00000000-0005-0000-0000-00001A000000}"/>
    <cellStyle name="Normal 3 5" xfId="31" xr:uid="{00000000-0005-0000-0000-00001B000000}"/>
    <cellStyle name="Normal 3 6" xfId="33" xr:uid="{00000000-0005-0000-0000-00001C000000}"/>
    <cellStyle name="Normal 3 7" xfId="36" xr:uid="{00000000-0005-0000-0000-00001D000000}"/>
    <cellStyle name="Normal 3 7 2" xfId="44" xr:uid="{00000000-0005-0000-0000-00001E000000}"/>
    <cellStyle name="Normal 3 8" xfId="38" xr:uid="{00000000-0005-0000-0000-00001F000000}"/>
    <cellStyle name="Normal 3 8 2" xfId="41" xr:uid="{00000000-0005-0000-0000-000020000000}"/>
    <cellStyle name="Normal 3 9" xfId="39" xr:uid="{00000000-0005-0000-0000-000021000000}"/>
    <cellStyle name="Normal 4" xfId="11" xr:uid="{00000000-0005-0000-0000-000022000000}"/>
    <cellStyle name="Normal 4 2" xfId="22" xr:uid="{00000000-0005-0000-0000-000023000000}"/>
    <cellStyle name="Normal 5" xfId="13" xr:uid="{00000000-0005-0000-0000-000024000000}"/>
    <cellStyle name="Normal 5 2" xfId="25" xr:uid="{00000000-0005-0000-0000-000025000000}"/>
    <cellStyle name="Normal 56 2" xfId="8" xr:uid="{00000000-0005-0000-0000-000026000000}"/>
    <cellStyle name="Normal 6" xfId="15" xr:uid="{00000000-0005-0000-0000-000027000000}"/>
    <cellStyle name="Normal 7" xfId="16" xr:uid="{00000000-0005-0000-0000-000028000000}"/>
    <cellStyle name="Normal 8" xfId="19" xr:uid="{00000000-0005-0000-0000-000029000000}"/>
    <cellStyle name="Normal 8 2" xfId="27" xr:uid="{00000000-0005-0000-0000-00002A000000}"/>
    <cellStyle name="Normal 9" xfId="35" xr:uid="{00000000-0005-0000-0000-00002B000000}"/>
    <cellStyle name="Normal_Hoja1" xfId="1" xr:uid="{00000000-0005-0000-0000-00002C000000}"/>
  </cellStyles>
  <dxfs count="0"/>
  <tableStyles count="0" defaultTableStyle="TableStyleMedium2" defaultPivotStyle="PivotStyleLight16"/>
  <colors>
    <mruColors>
      <color rgb="FFFFCC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G57"/>
  <sheetViews>
    <sheetView tabSelected="1" topLeftCell="J1" workbookViewId="0">
      <selection activeCell="V5" sqref="V5"/>
    </sheetView>
  </sheetViews>
  <sheetFormatPr baseColWidth="10" defaultColWidth="11.42578125" defaultRowHeight="15" x14ac:dyDescent="0.25"/>
  <cols>
    <col min="1" max="1" width="9.140625" style="44" customWidth="1"/>
    <col min="2" max="2" width="36.42578125" style="29" customWidth="1"/>
    <col min="3" max="3" width="32.285156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5.5703125" style="4" customWidth="1"/>
    <col min="9" max="9" width="23" style="4" customWidth="1"/>
    <col min="10" max="10" width="20" style="1" customWidth="1"/>
    <col min="11" max="11" width="8.42578125" style="4" customWidth="1"/>
    <col min="12" max="12" width="10.140625" style="2" customWidth="1"/>
    <col min="13" max="13" width="5.42578125" style="2" customWidth="1"/>
    <col min="14" max="14" width="5" style="2" customWidth="1"/>
    <col min="15" max="15" width="6.28515625" style="1" customWidth="1"/>
    <col min="16" max="16" width="8.7109375" style="1" customWidth="1"/>
    <col min="17" max="19" width="10.7109375" style="2" customWidth="1"/>
    <col min="20" max="21" width="13.7109375" style="2" customWidth="1"/>
    <col min="22" max="22" width="13.5703125" style="2" customWidth="1"/>
    <col min="23" max="23" width="11.85546875" style="2" customWidth="1"/>
    <col min="24" max="24" width="11.28515625" style="2" customWidth="1"/>
    <col min="25" max="25" width="13.140625" style="2" customWidth="1"/>
    <col min="26" max="26" width="10.85546875" style="5" customWidth="1"/>
    <col min="27" max="27" width="10.7109375" style="5" customWidth="1"/>
    <col min="28" max="29" width="12.7109375" style="2" customWidth="1"/>
    <col min="30" max="30" width="15.140625" style="2" customWidth="1"/>
    <col min="31" max="31" width="13.5703125" style="2" customWidth="1"/>
    <col min="32" max="16384" width="11.42578125" style="2"/>
  </cols>
  <sheetData>
    <row r="1" spans="1:33" s="28" customFormat="1" ht="13.5" thickBot="1" x14ac:dyDescent="0.3">
      <c r="A1" s="42"/>
      <c r="B1" s="29"/>
      <c r="C1" s="29"/>
      <c r="F1" s="33"/>
      <c r="G1" s="55"/>
      <c r="H1" s="27"/>
      <c r="I1" s="27"/>
      <c r="J1" s="30"/>
      <c r="K1" s="27"/>
      <c r="O1" s="30"/>
      <c r="P1" s="30"/>
      <c r="Z1" s="31"/>
      <c r="AA1" s="31"/>
    </row>
    <row r="2" spans="1:33" s="28" customFormat="1" ht="13.5" thickBot="1" x14ac:dyDescent="0.3">
      <c r="A2" s="42"/>
      <c r="B2" s="29"/>
      <c r="C2" s="29"/>
      <c r="D2" s="30"/>
      <c r="F2" s="33"/>
      <c r="G2" s="55"/>
      <c r="H2" s="27"/>
      <c r="I2" s="27"/>
      <c r="J2" s="30"/>
      <c r="K2" s="27"/>
      <c r="L2" s="32"/>
      <c r="O2" s="30"/>
      <c r="P2" s="127"/>
      <c r="Q2" s="82">
        <f t="shared" ref="Q2:AE2" si="0">SUBTOTAL(9,Q5:Q56)</f>
        <v>78819.900000000009</v>
      </c>
      <c r="R2" s="82">
        <f t="shared" si="0"/>
        <v>1974</v>
      </c>
      <c r="S2" s="82">
        <f t="shared" si="0"/>
        <v>121596</v>
      </c>
      <c r="T2" s="82">
        <f t="shared" si="0"/>
        <v>19641.740000000002</v>
      </c>
      <c r="U2" s="82">
        <f t="shared" si="0"/>
        <v>202389.9</v>
      </c>
      <c r="V2" s="82">
        <f t="shared" si="0"/>
        <v>0</v>
      </c>
      <c r="W2" s="82">
        <f t="shared" si="0"/>
        <v>10296.1502</v>
      </c>
      <c r="X2" s="82">
        <f t="shared" si="0"/>
        <v>10296.1502</v>
      </c>
      <c r="Y2" s="82">
        <f t="shared" si="0"/>
        <v>192093.74980000002</v>
      </c>
      <c r="Z2" s="82">
        <f t="shared" si="0"/>
        <v>1.82</v>
      </c>
      <c r="AA2" s="82">
        <f t="shared" si="0"/>
        <v>20592.290800000002</v>
      </c>
      <c r="AB2" s="82">
        <f t="shared" si="0"/>
        <v>1576.3979999999999</v>
      </c>
      <c r="AC2" s="82">
        <f t="shared" si="0"/>
        <v>6071.6969999999992</v>
      </c>
      <c r="AD2" s="82">
        <f t="shared" si="0"/>
        <v>28240.385800000004</v>
      </c>
      <c r="AE2" s="82">
        <f t="shared" si="0"/>
        <v>230630.28580000001</v>
      </c>
    </row>
    <row r="3" spans="1:33" ht="15.75" thickBot="1" x14ac:dyDescent="0.3">
      <c r="A3" s="43"/>
      <c r="D3" s="81"/>
      <c r="K3" s="89"/>
      <c r="L3" s="131">
        <v>2026</v>
      </c>
      <c r="M3" s="86"/>
      <c r="P3" s="81"/>
      <c r="Q3" s="88"/>
      <c r="R3" s="88"/>
      <c r="S3" s="88"/>
      <c r="T3" s="88"/>
      <c r="U3" s="83"/>
      <c r="V3" s="83"/>
      <c r="W3" s="83"/>
      <c r="X3" s="84"/>
      <c r="Y3" s="84"/>
      <c r="Z3" s="84"/>
      <c r="AA3" s="84"/>
      <c r="AB3" s="85"/>
      <c r="AC3" s="85"/>
      <c r="AD3" s="85"/>
      <c r="AE3" s="85"/>
    </row>
    <row r="4" spans="1:33" s="19" customFormat="1" ht="37.15" customHeight="1" x14ac:dyDescent="0.25">
      <c r="A4" s="68" t="s">
        <v>79</v>
      </c>
      <c r="B4" s="69" t="s">
        <v>26</v>
      </c>
      <c r="C4" s="70" t="s">
        <v>17</v>
      </c>
      <c r="D4" s="71" t="s">
        <v>16</v>
      </c>
      <c r="E4" s="72" t="s">
        <v>0</v>
      </c>
      <c r="F4" s="73" t="s">
        <v>67</v>
      </c>
      <c r="G4" s="74" t="s">
        <v>1</v>
      </c>
      <c r="H4" s="75" t="s">
        <v>2</v>
      </c>
      <c r="I4" s="72" t="s">
        <v>4</v>
      </c>
      <c r="J4" s="72" t="s">
        <v>3</v>
      </c>
      <c r="K4" s="76" t="s">
        <v>56</v>
      </c>
      <c r="L4" s="76" t="s">
        <v>232</v>
      </c>
      <c r="M4" s="77" t="s">
        <v>5</v>
      </c>
      <c r="N4" s="72" t="s">
        <v>6</v>
      </c>
      <c r="O4" s="75" t="s">
        <v>39</v>
      </c>
      <c r="P4" s="75" t="s">
        <v>57</v>
      </c>
      <c r="Q4" s="79" t="s">
        <v>70</v>
      </c>
      <c r="R4" s="79" t="s">
        <v>71</v>
      </c>
      <c r="S4" s="79" t="s">
        <v>109</v>
      </c>
      <c r="T4" s="79" t="s">
        <v>76</v>
      </c>
      <c r="U4" s="76" t="s">
        <v>345</v>
      </c>
      <c r="V4" s="76" t="s">
        <v>60</v>
      </c>
      <c r="W4" s="76" t="s">
        <v>82</v>
      </c>
      <c r="X4" s="76" t="s">
        <v>81</v>
      </c>
      <c r="Y4" s="80" t="s">
        <v>77</v>
      </c>
      <c r="Z4" s="75" t="s">
        <v>91</v>
      </c>
      <c r="AA4" s="76" t="s">
        <v>83</v>
      </c>
      <c r="AB4" s="76" t="s">
        <v>84</v>
      </c>
      <c r="AC4" s="76" t="s">
        <v>80</v>
      </c>
      <c r="AD4" s="76" t="s">
        <v>61</v>
      </c>
      <c r="AE4" s="76" t="s">
        <v>92</v>
      </c>
      <c r="AG4" s="67"/>
    </row>
    <row r="5" spans="1:33" s="1" customFormat="1" ht="30" customHeight="1" x14ac:dyDescent="0.25">
      <c r="A5" s="160" t="s">
        <v>93</v>
      </c>
      <c r="B5" s="161" t="s">
        <v>59</v>
      </c>
      <c r="C5" s="111" t="s">
        <v>12</v>
      </c>
      <c r="D5" s="22">
        <v>11</v>
      </c>
      <c r="E5" s="162" t="s">
        <v>14</v>
      </c>
      <c r="F5" s="207" t="s">
        <v>111</v>
      </c>
      <c r="G5" s="118">
        <v>92700199</v>
      </c>
      <c r="H5" s="60" t="s">
        <v>163</v>
      </c>
      <c r="I5" s="119" t="s">
        <v>164</v>
      </c>
      <c r="J5" s="97" t="s">
        <v>230</v>
      </c>
      <c r="K5" s="41" t="s">
        <v>68</v>
      </c>
      <c r="L5" s="47">
        <v>45640</v>
      </c>
      <c r="M5" s="6" t="s">
        <v>8</v>
      </c>
      <c r="N5" s="146" t="s">
        <v>32</v>
      </c>
      <c r="O5" s="18">
        <f t="shared" ref="O5:O56" ca="1" si="1">DATEDIF(DATE(IF(MID($J5,5,2)+2000&gt;YEAR(TODAY()),MID($J5,5,2)+1900,MID($J5,5,2)+2000),MID($J5,7,2),MID($J5,9,2)),TODAY(),"y")</f>
        <v>42</v>
      </c>
      <c r="P5" s="24">
        <f t="shared" ref="P5:P11" si="2">Q5/30</f>
        <v>734.99</v>
      </c>
      <c r="Q5" s="8">
        <v>22049.7</v>
      </c>
      <c r="R5" s="8">
        <v>270</v>
      </c>
      <c r="S5" s="8">
        <v>39180</v>
      </c>
      <c r="T5" s="8">
        <v>19641.740000000002</v>
      </c>
      <c r="U5" s="215">
        <f>Q5+R5+S5</f>
        <v>61499.7</v>
      </c>
      <c r="V5" s="10"/>
      <c r="W5" s="8">
        <f>Q5*13%</f>
        <v>2866.4610000000002</v>
      </c>
      <c r="X5" s="26">
        <f t="shared" ref="X5:X11" si="3">SUM(V5:W5)</f>
        <v>2866.4610000000002</v>
      </c>
      <c r="Y5" s="39">
        <f t="shared" ref="Y5:Y11" si="4">U5-X5</f>
        <v>58633.238999999994</v>
      </c>
      <c r="Z5" s="46">
        <v>0.26</v>
      </c>
      <c r="AA5" s="9">
        <f>Q5*Z5</f>
        <v>5732.9220000000005</v>
      </c>
      <c r="AB5" s="40">
        <f t="shared" ref="AB5:AB11" si="5">Q5*2%</f>
        <v>440.99400000000003</v>
      </c>
      <c r="AC5" s="9">
        <f t="shared" ref="AC5:AC11" si="6">U5*3%</f>
        <v>1844.9909999999998</v>
      </c>
      <c r="AD5" s="39">
        <f>SUM(AA5:AC5)</f>
        <v>8018.9070000000002</v>
      </c>
      <c r="AE5" s="26">
        <f t="shared" ref="AE5:AE11" si="7">U5+AD5</f>
        <v>69518.607000000004</v>
      </c>
    </row>
    <row r="6" spans="1:33" s="1" customFormat="1" ht="30" customHeight="1" x14ac:dyDescent="0.25">
      <c r="A6" s="160">
        <v>167</v>
      </c>
      <c r="B6" s="161" t="s">
        <v>162</v>
      </c>
      <c r="C6" s="161" t="s">
        <v>13</v>
      </c>
      <c r="D6" s="22">
        <v>13</v>
      </c>
      <c r="E6" s="167" t="s">
        <v>9</v>
      </c>
      <c r="F6" s="168" t="s">
        <v>112</v>
      </c>
      <c r="G6" s="124" t="s">
        <v>216</v>
      </c>
      <c r="H6" s="21" t="s">
        <v>194</v>
      </c>
      <c r="I6" s="198" t="s">
        <v>214</v>
      </c>
      <c r="J6" s="198" t="s">
        <v>215</v>
      </c>
      <c r="K6" s="155" t="s">
        <v>68</v>
      </c>
      <c r="L6" s="47">
        <v>45658</v>
      </c>
      <c r="M6" s="23" t="s">
        <v>8</v>
      </c>
      <c r="N6" s="134" t="s">
        <v>32</v>
      </c>
      <c r="O6" s="18">
        <f t="shared" ca="1" si="1"/>
        <v>28</v>
      </c>
      <c r="P6" s="214">
        <f t="shared" si="2"/>
        <v>280.76</v>
      </c>
      <c r="Q6" s="14">
        <v>8422.7999999999993</v>
      </c>
      <c r="R6" s="14">
        <v>284</v>
      </c>
      <c r="S6" s="14">
        <v>11000</v>
      </c>
      <c r="T6" s="8"/>
      <c r="U6" s="215">
        <f t="shared" ref="U6:U11" si="8">Q6+R6+S6</f>
        <v>19706.8</v>
      </c>
      <c r="V6" s="10"/>
      <c r="W6" s="8">
        <v>1101.82</v>
      </c>
      <c r="X6" s="26">
        <f t="shared" si="3"/>
        <v>1101.82</v>
      </c>
      <c r="Y6" s="39">
        <f t="shared" si="4"/>
        <v>18604.98</v>
      </c>
      <c r="Z6" s="46">
        <v>0.26</v>
      </c>
      <c r="AA6" s="9">
        <v>2203.6352000000002</v>
      </c>
      <c r="AB6" s="40">
        <f t="shared" si="5"/>
        <v>168.45599999999999</v>
      </c>
      <c r="AC6" s="9">
        <f t="shared" si="6"/>
        <v>591.20399999999995</v>
      </c>
      <c r="AD6" s="39">
        <f t="shared" ref="AD6:AD11" si="9">SUM(AA6:AC6)</f>
        <v>2963.2952000000005</v>
      </c>
      <c r="AE6" s="26">
        <f t="shared" si="7"/>
        <v>22670.0952</v>
      </c>
    </row>
    <row r="7" spans="1:33" s="1" customFormat="1" ht="30" customHeight="1" x14ac:dyDescent="0.25">
      <c r="A7" s="160">
        <v>167</v>
      </c>
      <c r="B7" s="161" t="s">
        <v>162</v>
      </c>
      <c r="C7" s="161" t="s">
        <v>13</v>
      </c>
      <c r="D7" s="22">
        <v>73</v>
      </c>
      <c r="E7" s="167" t="s">
        <v>9</v>
      </c>
      <c r="F7" s="168" t="s">
        <v>150</v>
      </c>
      <c r="G7" s="124"/>
      <c r="H7" s="220" t="s">
        <v>252</v>
      </c>
      <c r="I7" s="185"/>
      <c r="J7" s="186"/>
      <c r="K7" s="241" t="s">
        <v>318</v>
      </c>
      <c r="L7" s="150"/>
      <c r="M7" s="6" t="s">
        <v>8</v>
      </c>
      <c r="N7" s="134"/>
      <c r="O7" s="18" t="e">
        <f t="shared" ca="1" si="1"/>
        <v>#VALUE!</v>
      </c>
      <c r="P7" s="214">
        <f t="shared" si="2"/>
        <v>280.76</v>
      </c>
      <c r="Q7" s="14">
        <v>8422.7999999999993</v>
      </c>
      <c r="R7" s="13">
        <v>284</v>
      </c>
      <c r="S7" s="13">
        <v>11000</v>
      </c>
      <c r="T7" s="8"/>
      <c r="U7" s="215">
        <f t="shared" si="8"/>
        <v>19706.8</v>
      </c>
      <c r="V7" s="10"/>
      <c r="W7" s="8">
        <v>1101.82</v>
      </c>
      <c r="X7" s="26">
        <f t="shared" si="3"/>
        <v>1101.82</v>
      </c>
      <c r="Y7" s="39">
        <f t="shared" si="4"/>
        <v>18604.98</v>
      </c>
      <c r="Z7" s="46">
        <v>0.26</v>
      </c>
      <c r="AA7" s="9">
        <v>2203.6352000000002</v>
      </c>
      <c r="AB7" s="40">
        <f t="shared" si="5"/>
        <v>168.45599999999999</v>
      </c>
      <c r="AC7" s="9">
        <f t="shared" si="6"/>
        <v>591.20399999999995</v>
      </c>
      <c r="AD7" s="39">
        <f t="shared" si="9"/>
        <v>2963.2952000000005</v>
      </c>
      <c r="AE7" s="26">
        <f t="shared" si="7"/>
        <v>22670.0952</v>
      </c>
    </row>
    <row r="8" spans="1:33" s="1" customFormat="1" ht="30" customHeight="1" x14ac:dyDescent="0.25">
      <c r="A8" s="160">
        <v>167</v>
      </c>
      <c r="B8" s="161" t="s">
        <v>162</v>
      </c>
      <c r="C8" s="161" t="s">
        <v>108</v>
      </c>
      <c r="D8" s="22">
        <v>14</v>
      </c>
      <c r="E8" s="167" t="s">
        <v>107</v>
      </c>
      <c r="F8" s="169" t="s">
        <v>114</v>
      </c>
      <c r="G8" s="124">
        <v>92700237</v>
      </c>
      <c r="H8" s="21" t="s">
        <v>274</v>
      </c>
      <c r="I8" s="176" t="s">
        <v>276</v>
      </c>
      <c r="J8" s="177" t="s">
        <v>277</v>
      </c>
      <c r="K8" s="164" t="s">
        <v>68</v>
      </c>
      <c r="L8" s="171">
        <v>45717</v>
      </c>
      <c r="M8" s="6" t="s">
        <v>8</v>
      </c>
      <c r="N8" s="110" t="s">
        <v>32</v>
      </c>
      <c r="O8" s="18">
        <f t="shared" ca="1" si="1"/>
        <v>30</v>
      </c>
      <c r="P8" s="24">
        <f t="shared" si="2"/>
        <v>278.8</v>
      </c>
      <c r="Q8" s="14">
        <v>8364</v>
      </c>
      <c r="R8" s="8">
        <v>284</v>
      </c>
      <c r="S8" s="8">
        <v>6016</v>
      </c>
      <c r="T8" s="8"/>
      <c r="U8" s="215">
        <f t="shared" si="8"/>
        <v>14664</v>
      </c>
      <c r="V8" s="10"/>
      <c r="W8" s="8">
        <f>(P8*30.4)*13%</f>
        <v>1101.8176000000001</v>
      </c>
      <c r="X8" s="26">
        <f t="shared" si="3"/>
        <v>1101.8176000000001</v>
      </c>
      <c r="Y8" s="39">
        <f t="shared" si="4"/>
        <v>13562.1824</v>
      </c>
      <c r="Z8" s="46">
        <v>0.26</v>
      </c>
      <c r="AA8" s="9">
        <f>(P8*30.4)*Z8</f>
        <v>2203.6352000000002</v>
      </c>
      <c r="AB8" s="40">
        <f t="shared" si="5"/>
        <v>167.28</v>
      </c>
      <c r="AC8" s="9">
        <f t="shared" si="6"/>
        <v>439.91999999999996</v>
      </c>
      <c r="AD8" s="39">
        <f t="shared" si="9"/>
        <v>2810.8352000000004</v>
      </c>
      <c r="AE8" s="26">
        <f t="shared" si="7"/>
        <v>17474.835200000001</v>
      </c>
    </row>
    <row r="9" spans="1:33" s="1" customFormat="1" ht="30" customHeight="1" x14ac:dyDescent="0.25">
      <c r="A9" s="160">
        <v>168</v>
      </c>
      <c r="B9" s="161" t="s">
        <v>40</v>
      </c>
      <c r="C9" s="111" t="s">
        <v>33</v>
      </c>
      <c r="D9" s="22">
        <v>15</v>
      </c>
      <c r="E9" s="167" t="s">
        <v>10</v>
      </c>
      <c r="F9" s="172" t="s">
        <v>115</v>
      </c>
      <c r="G9" s="181">
        <v>92700204</v>
      </c>
      <c r="H9" s="60" t="s">
        <v>176</v>
      </c>
      <c r="I9" s="182" t="s">
        <v>204</v>
      </c>
      <c r="J9" s="183" t="s">
        <v>205</v>
      </c>
      <c r="K9" s="155" t="s">
        <v>68</v>
      </c>
      <c r="L9" s="47">
        <v>45658</v>
      </c>
      <c r="M9" s="11" t="s">
        <v>8</v>
      </c>
      <c r="N9" s="134" t="s">
        <v>7</v>
      </c>
      <c r="O9" s="18">
        <f t="shared" ca="1" si="1"/>
        <v>46</v>
      </c>
      <c r="P9" s="24">
        <f t="shared" si="2"/>
        <v>492.46</v>
      </c>
      <c r="Q9" s="14">
        <v>14773.8</v>
      </c>
      <c r="R9" s="14">
        <v>284</v>
      </c>
      <c r="S9" s="14">
        <v>26400</v>
      </c>
      <c r="T9" s="8"/>
      <c r="U9" s="215">
        <f t="shared" si="8"/>
        <v>41457.800000000003</v>
      </c>
      <c r="V9" s="10"/>
      <c r="W9" s="8">
        <f>Q9*13%</f>
        <v>1920.5940000000001</v>
      </c>
      <c r="X9" s="26">
        <f t="shared" si="3"/>
        <v>1920.5940000000001</v>
      </c>
      <c r="Y9" s="39">
        <f t="shared" si="4"/>
        <v>39537.206000000006</v>
      </c>
      <c r="Z9" s="46">
        <v>0.26</v>
      </c>
      <c r="AA9" s="9">
        <f>Q9*Z9</f>
        <v>3841.1880000000001</v>
      </c>
      <c r="AB9" s="40">
        <f t="shared" si="5"/>
        <v>295.476</v>
      </c>
      <c r="AC9" s="9">
        <f t="shared" si="6"/>
        <v>1243.7340000000002</v>
      </c>
      <c r="AD9" s="39">
        <f t="shared" si="9"/>
        <v>5380.3980000000001</v>
      </c>
      <c r="AE9" s="26">
        <f t="shared" si="7"/>
        <v>46838.198000000004</v>
      </c>
    </row>
    <row r="10" spans="1:33" s="1" customFormat="1" ht="30" customHeight="1" x14ac:dyDescent="0.25">
      <c r="A10" s="160" t="s">
        <v>97</v>
      </c>
      <c r="B10" s="161" t="s">
        <v>40</v>
      </c>
      <c r="C10" s="161" t="s">
        <v>108</v>
      </c>
      <c r="D10" s="22">
        <v>12</v>
      </c>
      <c r="E10" s="162" t="s">
        <v>107</v>
      </c>
      <c r="F10" s="168" t="s">
        <v>116</v>
      </c>
      <c r="G10" s="124">
        <v>105110</v>
      </c>
      <c r="H10" s="216" t="s">
        <v>281</v>
      </c>
      <c r="I10" s="12" t="s">
        <v>286</v>
      </c>
      <c r="J10" s="7" t="s">
        <v>287</v>
      </c>
      <c r="K10" s="41" t="s">
        <v>68</v>
      </c>
      <c r="L10" s="47">
        <v>45748</v>
      </c>
      <c r="M10" s="6" t="s">
        <v>8</v>
      </c>
      <c r="N10" s="146" t="s">
        <v>32</v>
      </c>
      <c r="O10" s="18">
        <f t="shared" ca="1" si="1"/>
        <v>32</v>
      </c>
      <c r="P10" s="24">
        <f t="shared" si="2"/>
        <v>278.8</v>
      </c>
      <c r="Q10" s="14">
        <v>8364</v>
      </c>
      <c r="R10" s="8">
        <v>284</v>
      </c>
      <c r="S10" s="14">
        <v>10000</v>
      </c>
      <c r="T10" s="8"/>
      <c r="U10" s="215">
        <f t="shared" si="8"/>
        <v>18648</v>
      </c>
      <c r="V10" s="10"/>
      <c r="W10" s="8">
        <f>(P10*30.4)*13%</f>
        <v>1101.8176000000001</v>
      </c>
      <c r="X10" s="26">
        <f t="shared" si="3"/>
        <v>1101.8176000000001</v>
      </c>
      <c r="Y10" s="39">
        <f t="shared" si="4"/>
        <v>17546.182400000002</v>
      </c>
      <c r="Z10" s="46">
        <v>0.26</v>
      </c>
      <c r="AA10" s="9">
        <f>(P10*30.4)*Z10</f>
        <v>2203.6352000000002</v>
      </c>
      <c r="AB10" s="40">
        <f t="shared" si="5"/>
        <v>167.28</v>
      </c>
      <c r="AC10" s="9">
        <f t="shared" si="6"/>
        <v>559.43999999999994</v>
      </c>
      <c r="AD10" s="39">
        <f t="shared" si="9"/>
        <v>2930.3552000000004</v>
      </c>
      <c r="AE10" s="26">
        <f t="shared" si="7"/>
        <v>21578.355200000002</v>
      </c>
    </row>
    <row r="11" spans="1:33" s="1" customFormat="1" ht="33" customHeight="1" x14ac:dyDescent="0.25">
      <c r="A11" s="173">
        <v>169</v>
      </c>
      <c r="B11" s="142" t="s">
        <v>246</v>
      </c>
      <c r="C11" s="111" t="s">
        <v>193</v>
      </c>
      <c r="D11" s="22">
        <v>17</v>
      </c>
      <c r="E11" s="167" t="s">
        <v>15</v>
      </c>
      <c r="F11" s="172" t="s">
        <v>117</v>
      </c>
      <c r="G11" s="124" t="s">
        <v>165</v>
      </c>
      <c r="H11" s="126" t="s">
        <v>166</v>
      </c>
      <c r="I11" s="125" t="s">
        <v>31</v>
      </c>
      <c r="J11" s="184" t="s">
        <v>30</v>
      </c>
      <c r="K11" s="155" t="s">
        <v>68</v>
      </c>
      <c r="L11" s="121">
        <v>44044</v>
      </c>
      <c r="M11" s="233" t="s">
        <v>8</v>
      </c>
      <c r="N11" s="136" t="s">
        <v>7</v>
      </c>
      <c r="O11" s="18">
        <f t="shared" ca="1" si="1"/>
        <v>45</v>
      </c>
      <c r="P11" s="214">
        <f t="shared" si="2"/>
        <v>280.76</v>
      </c>
      <c r="Q11" s="14">
        <v>8422.7999999999993</v>
      </c>
      <c r="R11" s="14">
        <v>284</v>
      </c>
      <c r="S11" s="14">
        <v>18000</v>
      </c>
      <c r="T11" s="8"/>
      <c r="U11" s="215">
        <f t="shared" si="8"/>
        <v>26706.799999999999</v>
      </c>
      <c r="V11" s="10"/>
      <c r="W11" s="8">
        <v>1101.82</v>
      </c>
      <c r="X11" s="26">
        <f t="shared" si="3"/>
        <v>1101.82</v>
      </c>
      <c r="Y11" s="39">
        <f t="shared" si="4"/>
        <v>25604.98</v>
      </c>
      <c r="Z11" s="46">
        <v>0.26</v>
      </c>
      <c r="AA11" s="9">
        <v>2203.64</v>
      </c>
      <c r="AB11" s="40">
        <f t="shared" si="5"/>
        <v>168.45599999999999</v>
      </c>
      <c r="AC11" s="9">
        <f t="shared" si="6"/>
        <v>801.20399999999995</v>
      </c>
      <c r="AD11" s="39">
        <f t="shared" si="9"/>
        <v>3173.3</v>
      </c>
      <c r="AE11" s="26">
        <f t="shared" si="7"/>
        <v>29880.1</v>
      </c>
    </row>
    <row r="12" spans="1:33" s="1" customFormat="1" ht="30" customHeight="1" x14ac:dyDescent="0.25">
      <c r="A12" s="160" t="s">
        <v>233</v>
      </c>
      <c r="B12" s="161" t="s">
        <v>161</v>
      </c>
      <c r="C12" s="161" t="s">
        <v>108</v>
      </c>
      <c r="D12" s="22">
        <v>28</v>
      </c>
      <c r="E12" s="167" t="s">
        <v>107</v>
      </c>
      <c r="F12" s="172" t="s">
        <v>124</v>
      </c>
      <c r="G12" s="124" t="s">
        <v>197</v>
      </c>
      <c r="H12" s="60" t="s">
        <v>196</v>
      </c>
      <c r="I12" s="125" t="s">
        <v>99</v>
      </c>
      <c r="J12" s="184" t="s">
        <v>100</v>
      </c>
      <c r="K12" s="155" t="s">
        <v>68</v>
      </c>
      <c r="L12" s="47">
        <v>44835</v>
      </c>
      <c r="M12" s="6" t="s">
        <v>8</v>
      </c>
      <c r="N12" s="134" t="s">
        <v>7</v>
      </c>
      <c r="O12" s="18">
        <f t="shared" ca="1" si="1"/>
        <v>28</v>
      </c>
      <c r="P12" s="24"/>
      <c r="Q12" s="14"/>
      <c r="R12" s="8"/>
      <c r="S12" s="14"/>
      <c r="T12" s="8"/>
      <c r="U12" s="215"/>
      <c r="V12" s="10"/>
      <c r="W12" s="8"/>
      <c r="X12" s="26"/>
      <c r="Y12" s="39"/>
      <c r="Z12" s="46"/>
      <c r="AA12" s="9"/>
      <c r="AB12" s="40"/>
      <c r="AC12" s="9"/>
      <c r="AD12" s="39"/>
      <c r="AE12" s="26"/>
    </row>
    <row r="13" spans="1:33" s="1" customFormat="1" ht="30" customHeight="1" x14ac:dyDescent="0.25">
      <c r="A13" s="160">
        <v>171</v>
      </c>
      <c r="B13" s="111" t="s">
        <v>190</v>
      </c>
      <c r="C13" s="111" t="s">
        <v>167</v>
      </c>
      <c r="D13" s="22">
        <v>19</v>
      </c>
      <c r="E13" s="162" t="s">
        <v>15</v>
      </c>
      <c r="F13" s="172" t="s">
        <v>119</v>
      </c>
      <c r="G13" s="181">
        <v>92700203</v>
      </c>
      <c r="H13" s="20" t="s">
        <v>179</v>
      </c>
      <c r="I13" s="182" t="s">
        <v>206</v>
      </c>
      <c r="J13" s="183" t="s">
        <v>207</v>
      </c>
      <c r="K13" s="155" t="s">
        <v>68</v>
      </c>
      <c r="L13" s="47">
        <v>45658</v>
      </c>
      <c r="M13" s="231" t="s">
        <v>8</v>
      </c>
      <c r="N13" s="136" t="s">
        <v>7</v>
      </c>
      <c r="O13" s="18">
        <f t="shared" ca="1" si="1"/>
        <v>46</v>
      </c>
      <c r="P13" s="214"/>
      <c r="Q13" s="14"/>
      <c r="R13" s="14"/>
      <c r="S13" s="14"/>
      <c r="T13" s="8"/>
      <c r="U13" s="215"/>
      <c r="V13" s="10"/>
      <c r="W13" s="8"/>
      <c r="X13" s="26"/>
      <c r="Y13" s="39"/>
      <c r="Z13" s="46"/>
      <c r="AA13" s="9"/>
      <c r="AB13" s="40"/>
      <c r="AC13" s="9"/>
      <c r="AD13" s="39"/>
      <c r="AE13" s="26"/>
    </row>
    <row r="14" spans="1:33" s="1" customFormat="1" ht="30" customHeight="1" x14ac:dyDescent="0.25">
      <c r="A14" s="160">
        <v>173</v>
      </c>
      <c r="B14" s="161" t="s">
        <v>42</v>
      </c>
      <c r="C14" s="161" t="s">
        <v>29</v>
      </c>
      <c r="D14" s="22">
        <v>69</v>
      </c>
      <c r="E14" s="162" t="s">
        <v>11</v>
      </c>
      <c r="F14" s="172" t="s">
        <v>120</v>
      </c>
      <c r="G14" s="124">
        <v>92700236</v>
      </c>
      <c r="H14" s="17" t="s">
        <v>264</v>
      </c>
      <c r="I14" s="185" t="s">
        <v>265</v>
      </c>
      <c r="J14" s="186" t="s">
        <v>266</v>
      </c>
      <c r="K14" s="155" t="s">
        <v>68</v>
      </c>
      <c r="L14" s="150">
        <v>45717</v>
      </c>
      <c r="M14" s="231" t="s">
        <v>8</v>
      </c>
      <c r="N14" s="134" t="s">
        <v>7</v>
      </c>
      <c r="O14" s="18">
        <f t="shared" ca="1" si="1"/>
        <v>37</v>
      </c>
      <c r="P14" s="24"/>
      <c r="Q14" s="14"/>
      <c r="R14" s="8"/>
      <c r="S14" s="96"/>
      <c r="T14" s="8"/>
      <c r="U14" s="215"/>
      <c r="V14" s="10"/>
      <c r="W14" s="8"/>
      <c r="X14" s="26"/>
      <c r="Y14" s="39"/>
      <c r="Z14" s="46"/>
      <c r="AA14" s="9"/>
      <c r="AB14" s="40"/>
      <c r="AC14" s="9"/>
      <c r="AD14" s="39"/>
      <c r="AE14" s="26"/>
    </row>
    <row r="15" spans="1:33" s="1" customFormat="1" ht="30" customHeight="1" x14ac:dyDescent="0.25">
      <c r="A15" s="160">
        <v>173</v>
      </c>
      <c r="B15" s="161" t="s">
        <v>42</v>
      </c>
      <c r="C15" s="161" t="s">
        <v>108</v>
      </c>
      <c r="D15" s="22">
        <v>21</v>
      </c>
      <c r="E15" s="162" t="s">
        <v>107</v>
      </c>
      <c r="F15" s="168" t="s">
        <v>121</v>
      </c>
      <c r="G15" s="118">
        <v>92700211</v>
      </c>
      <c r="H15" s="220" t="s">
        <v>252</v>
      </c>
      <c r="I15" s="119"/>
      <c r="J15" s="120"/>
      <c r="K15" s="263" t="s">
        <v>318</v>
      </c>
      <c r="L15" s="47"/>
      <c r="M15" s="231" t="s">
        <v>8</v>
      </c>
      <c r="N15" s="242"/>
      <c r="O15" s="18" t="e">
        <f t="shared" ca="1" si="1"/>
        <v>#VALUE!</v>
      </c>
      <c r="P15" s="24"/>
      <c r="Q15" s="14"/>
      <c r="R15" s="8"/>
      <c r="S15" s="14"/>
      <c r="T15" s="8"/>
      <c r="U15" s="215"/>
      <c r="V15" s="10"/>
      <c r="W15" s="8"/>
      <c r="X15" s="26"/>
      <c r="Y15" s="39"/>
      <c r="Z15" s="46"/>
      <c r="AA15" s="9"/>
      <c r="AB15" s="40"/>
      <c r="AC15" s="9"/>
      <c r="AD15" s="39"/>
      <c r="AE15" s="26"/>
    </row>
    <row r="16" spans="1:33" s="1" customFormat="1" ht="30" customHeight="1" x14ac:dyDescent="0.25">
      <c r="A16" s="160">
        <v>174</v>
      </c>
      <c r="B16" s="161" t="s">
        <v>43</v>
      </c>
      <c r="C16" s="111" t="s">
        <v>34</v>
      </c>
      <c r="D16" s="22">
        <v>23</v>
      </c>
      <c r="E16" s="162" t="s">
        <v>10</v>
      </c>
      <c r="F16" s="172" t="s">
        <v>122</v>
      </c>
      <c r="G16" s="124">
        <v>92700202</v>
      </c>
      <c r="H16" s="17" t="s">
        <v>177</v>
      </c>
      <c r="I16" s="182" t="s">
        <v>208</v>
      </c>
      <c r="J16" s="183" t="s">
        <v>209</v>
      </c>
      <c r="K16" s="155" t="s">
        <v>68</v>
      </c>
      <c r="L16" s="47">
        <v>45658</v>
      </c>
      <c r="M16" s="6" t="s">
        <v>8</v>
      </c>
      <c r="N16" s="134" t="s">
        <v>32</v>
      </c>
      <c r="O16" s="18">
        <f t="shared" ca="1" si="1"/>
        <v>46</v>
      </c>
      <c r="P16" s="24"/>
      <c r="Q16" s="14"/>
      <c r="R16" s="8"/>
      <c r="S16" s="8"/>
      <c r="T16" s="8"/>
      <c r="U16" s="215"/>
      <c r="V16" s="10"/>
      <c r="W16" s="8"/>
      <c r="X16" s="26"/>
      <c r="Y16" s="39"/>
      <c r="Z16" s="46"/>
      <c r="AA16" s="9"/>
      <c r="AB16" s="40"/>
      <c r="AC16" s="9"/>
      <c r="AD16" s="39"/>
      <c r="AE16" s="26"/>
    </row>
    <row r="17" spans="1:31" s="1" customFormat="1" ht="30" customHeight="1" x14ac:dyDescent="0.25">
      <c r="A17" s="160">
        <v>175</v>
      </c>
      <c r="B17" s="161" t="s">
        <v>44</v>
      </c>
      <c r="C17" s="161" t="s">
        <v>18</v>
      </c>
      <c r="D17" s="22">
        <v>25</v>
      </c>
      <c r="E17" s="162" t="s">
        <v>11</v>
      </c>
      <c r="F17" s="168" t="s">
        <v>123</v>
      </c>
      <c r="G17" s="124" t="s">
        <v>198</v>
      </c>
      <c r="H17" s="17" t="s">
        <v>168</v>
      </c>
      <c r="I17" s="187" t="s">
        <v>94</v>
      </c>
      <c r="J17" s="188" t="s">
        <v>98</v>
      </c>
      <c r="K17" s="155" t="s">
        <v>68</v>
      </c>
      <c r="L17" s="47">
        <v>44682</v>
      </c>
      <c r="M17" s="6" t="s">
        <v>8</v>
      </c>
      <c r="N17" s="134" t="s">
        <v>7</v>
      </c>
      <c r="O17" s="18">
        <f t="shared" ca="1" si="1"/>
        <v>27</v>
      </c>
      <c r="P17" s="24"/>
      <c r="Q17" s="14"/>
      <c r="R17" s="8"/>
      <c r="S17" s="96"/>
      <c r="T17" s="8"/>
      <c r="U17" s="215"/>
      <c r="V17" s="10"/>
      <c r="W17" s="8"/>
      <c r="X17" s="26"/>
      <c r="Y17" s="39"/>
      <c r="Z17" s="46"/>
      <c r="AA17" s="9"/>
      <c r="AB17" s="40"/>
      <c r="AC17" s="9"/>
      <c r="AD17" s="39"/>
      <c r="AE17" s="26"/>
    </row>
    <row r="18" spans="1:31" s="1" customFormat="1" ht="30" customHeight="1" x14ac:dyDescent="0.25">
      <c r="A18" s="160">
        <v>175</v>
      </c>
      <c r="B18" s="161" t="s">
        <v>44</v>
      </c>
      <c r="C18" s="161" t="s">
        <v>108</v>
      </c>
      <c r="D18" s="22">
        <v>45</v>
      </c>
      <c r="E18" s="162" t="s">
        <v>107</v>
      </c>
      <c r="F18" s="163" t="s">
        <v>118</v>
      </c>
      <c r="G18" s="124"/>
      <c r="H18" s="236" t="s">
        <v>252</v>
      </c>
      <c r="I18" s="205"/>
      <c r="J18" s="205"/>
      <c r="K18" s="264" t="s">
        <v>318</v>
      </c>
      <c r="L18" s="47"/>
      <c r="M18" s="6" t="s">
        <v>8</v>
      </c>
      <c r="N18" s="117"/>
      <c r="O18" s="18" t="e">
        <f t="shared" ca="1" si="1"/>
        <v>#VALUE!</v>
      </c>
      <c r="P18" s="24"/>
      <c r="Q18" s="14"/>
      <c r="R18" s="8"/>
      <c r="S18" s="8"/>
      <c r="T18" s="8"/>
      <c r="U18" s="215"/>
      <c r="V18" s="10"/>
      <c r="W18" s="8"/>
      <c r="X18" s="26"/>
      <c r="Y18" s="39"/>
      <c r="Z18" s="46"/>
      <c r="AA18" s="9"/>
      <c r="AB18" s="40"/>
      <c r="AC18" s="9"/>
      <c r="AD18" s="39"/>
      <c r="AE18" s="26"/>
    </row>
    <row r="19" spans="1:31" s="65" customFormat="1" ht="30" customHeight="1" x14ac:dyDescent="0.25">
      <c r="A19" s="173">
        <v>177</v>
      </c>
      <c r="B19" s="174" t="s">
        <v>86</v>
      </c>
      <c r="C19" s="174" t="s">
        <v>87</v>
      </c>
      <c r="D19" s="57">
        <v>27</v>
      </c>
      <c r="E19" s="167" t="s">
        <v>11</v>
      </c>
      <c r="F19" s="172" t="s">
        <v>88</v>
      </c>
      <c r="G19" s="124" t="s">
        <v>199</v>
      </c>
      <c r="H19" s="17" t="s">
        <v>316</v>
      </c>
      <c r="I19" s="61" t="s">
        <v>210</v>
      </c>
      <c r="J19" s="59" t="s">
        <v>211</v>
      </c>
      <c r="K19" s="155" t="s">
        <v>68</v>
      </c>
      <c r="L19" s="47">
        <v>45658</v>
      </c>
      <c r="M19" s="234" t="s">
        <v>8</v>
      </c>
      <c r="N19" s="135" t="s">
        <v>7</v>
      </c>
      <c r="O19" s="63">
        <f t="shared" ca="1" si="1"/>
        <v>31</v>
      </c>
      <c r="P19" s="24"/>
      <c r="Q19" s="14"/>
      <c r="R19" s="45"/>
      <c r="S19" s="96"/>
      <c r="T19" s="8"/>
      <c r="U19" s="215"/>
      <c r="V19" s="10"/>
      <c r="W19" s="8"/>
      <c r="X19" s="26"/>
      <c r="Y19" s="39"/>
      <c r="Z19" s="64"/>
      <c r="AA19" s="9"/>
      <c r="AB19" s="40"/>
      <c r="AC19" s="9"/>
      <c r="AD19" s="39"/>
      <c r="AE19" s="26"/>
    </row>
    <row r="20" spans="1:31" s="1" customFormat="1" ht="30" customHeight="1" x14ac:dyDescent="0.25">
      <c r="A20" s="160" t="s">
        <v>89</v>
      </c>
      <c r="B20" s="174" t="s">
        <v>86</v>
      </c>
      <c r="C20" s="161" t="s">
        <v>108</v>
      </c>
      <c r="D20" s="22">
        <v>6</v>
      </c>
      <c r="E20" s="167" t="s">
        <v>107</v>
      </c>
      <c r="F20" s="172" t="s">
        <v>160</v>
      </c>
      <c r="G20" s="124">
        <v>92700234</v>
      </c>
      <c r="H20" s="17" t="s">
        <v>275</v>
      </c>
      <c r="I20" s="180" t="s">
        <v>278</v>
      </c>
      <c r="J20" s="180" t="s">
        <v>279</v>
      </c>
      <c r="K20" s="155" t="s">
        <v>68</v>
      </c>
      <c r="L20" s="90">
        <v>45704</v>
      </c>
      <c r="M20" s="156" t="s">
        <v>8</v>
      </c>
      <c r="N20" s="157" t="s">
        <v>7</v>
      </c>
      <c r="O20" s="18">
        <f t="shared" ca="1" si="1"/>
        <v>35</v>
      </c>
      <c r="P20" s="24"/>
      <c r="Q20" s="14"/>
      <c r="R20" s="8"/>
      <c r="S20" s="14"/>
      <c r="T20" s="8"/>
      <c r="U20" s="215"/>
      <c r="V20" s="10"/>
      <c r="W20" s="8"/>
      <c r="X20" s="26"/>
      <c r="Y20" s="39"/>
      <c r="Z20" s="46"/>
      <c r="AA20" s="9"/>
      <c r="AB20" s="40"/>
      <c r="AC20" s="9"/>
      <c r="AD20" s="39"/>
      <c r="AE20" s="26"/>
    </row>
    <row r="21" spans="1:31" s="1" customFormat="1" ht="30" customHeight="1" x14ac:dyDescent="0.25">
      <c r="A21" s="160">
        <v>178</v>
      </c>
      <c r="B21" s="161" t="s">
        <v>46</v>
      </c>
      <c r="C21" s="111" t="s">
        <v>172</v>
      </c>
      <c r="D21" s="22">
        <v>32</v>
      </c>
      <c r="E21" s="162" t="s">
        <v>10</v>
      </c>
      <c r="F21" s="168" t="s">
        <v>125</v>
      </c>
      <c r="G21" s="124"/>
      <c r="H21" s="220" t="s">
        <v>252</v>
      </c>
      <c r="I21" s="182"/>
      <c r="J21" s="183"/>
      <c r="K21" s="264" t="s">
        <v>318</v>
      </c>
      <c r="L21" s="47"/>
      <c r="M21" s="6" t="s">
        <v>8</v>
      </c>
      <c r="N21" s="134"/>
      <c r="O21" s="18" t="e">
        <f t="shared" ca="1" si="1"/>
        <v>#VALUE!</v>
      </c>
      <c r="P21" s="24"/>
      <c r="Q21" s="14"/>
      <c r="R21" s="8"/>
      <c r="S21" s="8"/>
      <c r="T21" s="8"/>
      <c r="U21" s="215"/>
      <c r="V21" s="10"/>
      <c r="W21" s="8"/>
      <c r="X21" s="26"/>
      <c r="Y21" s="39"/>
      <c r="Z21" s="46"/>
      <c r="AA21" s="9"/>
      <c r="AB21" s="40"/>
      <c r="AC21" s="9"/>
      <c r="AD21" s="39"/>
      <c r="AE21" s="26"/>
    </row>
    <row r="22" spans="1:31" s="1" customFormat="1" ht="30" customHeight="1" x14ac:dyDescent="0.25">
      <c r="A22" s="160">
        <v>179</v>
      </c>
      <c r="B22" s="161" t="s">
        <v>48</v>
      </c>
      <c r="C22" s="161" t="s">
        <v>19</v>
      </c>
      <c r="D22" s="22">
        <v>34</v>
      </c>
      <c r="E22" s="162" t="s">
        <v>11</v>
      </c>
      <c r="F22" s="168" t="s">
        <v>126</v>
      </c>
      <c r="G22" s="124" t="s">
        <v>200</v>
      </c>
      <c r="H22" s="17" t="s">
        <v>181</v>
      </c>
      <c r="I22" s="191" t="s">
        <v>227</v>
      </c>
      <c r="J22" s="183" t="s">
        <v>228</v>
      </c>
      <c r="K22" s="155" t="s">
        <v>68</v>
      </c>
      <c r="L22" s="47">
        <v>45658</v>
      </c>
      <c r="M22" s="6" t="s">
        <v>8</v>
      </c>
      <c r="N22" s="134" t="s">
        <v>7</v>
      </c>
      <c r="O22" s="18">
        <f t="shared" ca="1" si="1"/>
        <v>35</v>
      </c>
      <c r="P22" s="24"/>
      <c r="Q22" s="14"/>
      <c r="R22" s="8"/>
      <c r="S22" s="96"/>
      <c r="T22" s="8"/>
      <c r="U22" s="215"/>
      <c r="V22" s="10"/>
      <c r="W22" s="8"/>
      <c r="X22" s="26"/>
      <c r="Y22" s="39"/>
      <c r="Z22" s="46"/>
      <c r="AA22" s="9"/>
      <c r="AB22" s="40"/>
      <c r="AC22" s="9"/>
      <c r="AD22" s="39"/>
      <c r="AE22" s="26"/>
    </row>
    <row r="23" spans="1:31" s="1" customFormat="1" ht="30" customHeight="1" x14ac:dyDescent="0.25">
      <c r="A23" s="160">
        <v>180</v>
      </c>
      <c r="B23" s="161" t="s">
        <v>47</v>
      </c>
      <c r="C23" s="161" t="s">
        <v>20</v>
      </c>
      <c r="D23" s="22">
        <v>35</v>
      </c>
      <c r="E23" s="162" t="s">
        <v>11</v>
      </c>
      <c r="F23" s="168" t="s">
        <v>127</v>
      </c>
      <c r="G23" s="118"/>
      <c r="H23" s="255" t="s">
        <v>252</v>
      </c>
      <c r="I23" s="211"/>
      <c r="J23" s="211"/>
      <c r="K23" s="263" t="s">
        <v>318</v>
      </c>
      <c r="L23" s="123"/>
      <c r="M23" s="213" t="s">
        <v>8</v>
      </c>
      <c r="N23" s="232"/>
      <c r="O23" s="18" t="e">
        <f t="shared" ca="1" si="1"/>
        <v>#VALUE!</v>
      </c>
      <c r="P23" s="24"/>
      <c r="Q23" s="14"/>
      <c r="R23" s="8"/>
      <c r="S23" s="96"/>
      <c r="T23" s="8"/>
      <c r="U23" s="215"/>
      <c r="V23" s="10"/>
      <c r="W23" s="8"/>
      <c r="X23" s="26"/>
      <c r="Y23" s="39"/>
      <c r="Z23" s="46"/>
      <c r="AA23" s="9"/>
      <c r="AB23" s="40"/>
      <c r="AC23" s="9"/>
      <c r="AD23" s="39"/>
      <c r="AE23" s="26"/>
    </row>
    <row r="24" spans="1:31" s="1" customFormat="1" ht="30" customHeight="1" x14ac:dyDescent="0.25">
      <c r="A24" s="160" t="s">
        <v>90</v>
      </c>
      <c r="B24" s="161" t="s">
        <v>47</v>
      </c>
      <c r="C24" s="161" t="s">
        <v>108</v>
      </c>
      <c r="D24" s="22">
        <v>44</v>
      </c>
      <c r="E24" s="167" t="s">
        <v>107</v>
      </c>
      <c r="F24" s="172" t="s">
        <v>128</v>
      </c>
      <c r="G24" s="124">
        <v>92700249</v>
      </c>
      <c r="H24" s="21" t="s">
        <v>311</v>
      </c>
      <c r="I24" s="199" t="s">
        <v>310</v>
      </c>
      <c r="J24" s="200" t="s">
        <v>309</v>
      </c>
      <c r="K24" s="155" t="s">
        <v>68</v>
      </c>
      <c r="L24" s="47">
        <v>45809</v>
      </c>
      <c r="M24" s="6" t="s">
        <v>8</v>
      </c>
      <c r="N24" s="232" t="s">
        <v>32</v>
      </c>
      <c r="O24" s="18">
        <f t="shared" ca="1" si="1"/>
        <v>28</v>
      </c>
      <c r="P24" s="24"/>
      <c r="Q24" s="14"/>
      <c r="R24" s="8"/>
      <c r="S24" s="14"/>
      <c r="T24" s="8"/>
      <c r="U24" s="215"/>
      <c r="V24" s="10"/>
      <c r="W24" s="8"/>
      <c r="X24" s="26"/>
      <c r="Y24" s="39"/>
      <c r="Z24" s="46"/>
      <c r="AA24" s="9"/>
      <c r="AB24" s="40"/>
      <c r="AC24" s="9"/>
      <c r="AD24" s="39"/>
      <c r="AE24" s="26"/>
    </row>
    <row r="25" spans="1:31" s="1" customFormat="1" ht="30" customHeight="1" x14ac:dyDescent="0.25">
      <c r="A25" s="160">
        <v>182</v>
      </c>
      <c r="B25" s="161" t="s">
        <v>49</v>
      </c>
      <c r="C25" s="111" t="s">
        <v>156</v>
      </c>
      <c r="D25" s="22">
        <v>41</v>
      </c>
      <c r="E25" s="162" t="s">
        <v>157</v>
      </c>
      <c r="F25" s="168" t="s">
        <v>62</v>
      </c>
      <c r="G25" s="124" t="s">
        <v>339</v>
      </c>
      <c r="H25" s="267" t="s">
        <v>338</v>
      </c>
      <c r="I25" s="226" t="s">
        <v>340</v>
      </c>
      <c r="J25" s="266" t="s">
        <v>341</v>
      </c>
      <c r="K25" s="225" t="s">
        <v>313</v>
      </c>
      <c r="L25" s="90">
        <v>45962</v>
      </c>
      <c r="M25" s="6" t="s">
        <v>8</v>
      </c>
      <c r="N25" s="265" t="s">
        <v>32</v>
      </c>
      <c r="O25" s="18">
        <f t="shared" ca="1" si="1"/>
        <v>53</v>
      </c>
      <c r="P25" s="24"/>
      <c r="Q25" s="14"/>
      <c r="R25" s="8"/>
      <c r="S25" s="8"/>
      <c r="T25" s="8"/>
      <c r="U25" s="215"/>
      <c r="V25" s="10"/>
      <c r="W25" s="8"/>
      <c r="X25" s="26"/>
      <c r="Y25" s="39"/>
      <c r="Z25" s="46"/>
      <c r="AA25" s="9"/>
      <c r="AB25" s="40"/>
      <c r="AC25" s="9"/>
      <c r="AD25" s="39"/>
      <c r="AE25" s="26"/>
    </row>
    <row r="26" spans="1:31" s="1" customFormat="1" ht="30" customHeight="1" x14ac:dyDescent="0.25">
      <c r="A26" s="160">
        <v>184</v>
      </c>
      <c r="B26" s="161" t="s">
        <v>50</v>
      </c>
      <c r="C26" s="161" t="s">
        <v>22</v>
      </c>
      <c r="D26" s="22">
        <v>43</v>
      </c>
      <c r="E26" s="162" t="s">
        <v>11</v>
      </c>
      <c r="F26" s="168" t="s">
        <v>62</v>
      </c>
      <c r="G26" s="124">
        <v>92700194</v>
      </c>
      <c r="H26" s="17" t="s">
        <v>169</v>
      </c>
      <c r="I26" s="182" t="s">
        <v>158</v>
      </c>
      <c r="J26" s="183" t="s">
        <v>159</v>
      </c>
      <c r="K26" s="155" t="s">
        <v>68</v>
      </c>
      <c r="L26" s="47">
        <v>45352</v>
      </c>
      <c r="M26" s="6" t="s">
        <v>8</v>
      </c>
      <c r="N26" s="134" t="s">
        <v>7</v>
      </c>
      <c r="O26" s="18">
        <f t="shared" ca="1" si="1"/>
        <v>27</v>
      </c>
      <c r="P26" s="24"/>
      <c r="Q26" s="14"/>
      <c r="R26" s="8"/>
      <c r="S26" s="96"/>
      <c r="T26" s="8"/>
      <c r="U26" s="215"/>
      <c r="V26" s="10"/>
      <c r="W26" s="8"/>
      <c r="X26" s="26"/>
      <c r="Y26" s="39"/>
      <c r="Z26" s="46"/>
      <c r="AA26" s="9"/>
      <c r="AB26" s="40"/>
      <c r="AC26" s="9"/>
      <c r="AD26" s="39"/>
      <c r="AE26" s="26"/>
    </row>
    <row r="27" spans="1:31" s="1" customFormat="1" ht="30" customHeight="1" x14ac:dyDescent="0.25">
      <c r="A27" s="160">
        <v>184</v>
      </c>
      <c r="B27" s="161" t="s">
        <v>50</v>
      </c>
      <c r="C27" s="161" t="s">
        <v>108</v>
      </c>
      <c r="D27" s="22">
        <v>76</v>
      </c>
      <c r="E27" s="162" t="s">
        <v>107</v>
      </c>
      <c r="F27" s="168" t="s">
        <v>129</v>
      </c>
      <c r="G27" s="124" t="s">
        <v>201</v>
      </c>
      <c r="H27" s="17" t="s">
        <v>191</v>
      </c>
      <c r="I27" s="194" t="s">
        <v>202</v>
      </c>
      <c r="J27" s="195" t="s">
        <v>203</v>
      </c>
      <c r="K27" s="155" t="s">
        <v>68</v>
      </c>
      <c r="L27" s="90">
        <v>45658</v>
      </c>
      <c r="M27" s="6" t="s">
        <v>8</v>
      </c>
      <c r="N27" s="51" t="s">
        <v>7</v>
      </c>
      <c r="O27" s="18">
        <f t="shared" ca="1" si="1"/>
        <v>45</v>
      </c>
      <c r="P27" s="24"/>
      <c r="Q27" s="14"/>
      <c r="R27" s="8"/>
      <c r="S27" s="14"/>
      <c r="T27" s="8"/>
      <c r="U27" s="215"/>
      <c r="V27" s="10"/>
      <c r="W27" s="8"/>
      <c r="X27" s="26"/>
      <c r="Y27" s="39"/>
      <c r="Z27" s="46"/>
      <c r="AA27" s="9"/>
      <c r="AB27" s="40"/>
      <c r="AC27" s="9"/>
      <c r="AD27" s="39"/>
      <c r="AE27" s="26"/>
    </row>
    <row r="28" spans="1:31" s="1" customFormat="1" ht="30" customHeight="1" x14ac:dyDescent="0.25">
      <c r="A28" s="160">
        <v>185</v>
      </c>
      <c r="B28" s="161" t="s">
        <v>155</v>
      </c>
      <c r="C28" s="161" t="s">
        <v>21</v>
      </c>
      <c r="D28" s="22">
        <v>4</v>
      </c>
      <c r="E28" s="162" t="s">
        <v>11</v>
      </c>
      <c r="F28" s="168" t="s">
        <v>63</v>
      </c>
      <c r="G28" s="124">
        <v>92700255</v>
      </c>
      <c r="H28" s="17" t="s">
        <v>322</v>
      </c>
      <c r="I28" s="250" t="s">
        <v>324</v>
      </c>
      <c r="J28" s="249" t="s">
        <v>323</v>
      </c>
      <c r="K28" s="243" t="s">
        <v>68</v>
      </c>
      <c r="L28" s="90">
        <v>45901</v>
      </c>
      <c r="M28" s="98" t="s">
        <v>8</v>
      </c>
      <c r="N28" s="244" t="s">
        <v>32</v>
      </c>
      <c r="O28" s="18">
        <f t="shared" ca="1" si="1"/>
        <v>35</v>
      </c>
      <c r="P28" s="24"/>
      <c r="Q28" s="14"/>
      <c r="R28" s="8"/>
      <c r="S28" s="96"/>
      <c r="T28" s="8"/>
      <c r="U28" s="215"/>
      <c r="V28" s="10"/>
      <c r="W28" s="8"/>
      <c r="X28" s="26"/>
      <c r="Y28" s="39"/>
      <c r="Z28" s="46"/>
      <c r="AA28" s="9"/>
      <c r="AB28" s="40"/>
      <c r="AC28" s="9"/>
      <c r="AD28" s="39"/>
      <c r="AE28" s="26"/>
    </row>
    <row r="29" spans="1:31" s="1" customFormat="1" ht="30" customHeight="1" x14ac:dyDescent="0.25">
      <c r="A29" s="160">
        <v>185</v>
      </c>
      <c r="B29" s="161" t="s">
        <v>155</v>
      </c>
      <c r="C29" s="161" t="s">
        <v>108</v>
      </c>
      <c r="D29" s="22">
        <v>74</v>
      </c>
      <c r="E29" s="167" t="s">
        <v>107</v>
      </c>
      <c r="F29" s="163" t="s">
        <v>130</v>
      </c>
      <c r="G29" s="124">
        <v>92700210</v>
      </c>
      <c r="H29" s="17" t="s">
        <v>182</v>
      </c>
      <c r="I29" s="189" t="s">
        <v>212</v>
      </c>
      <c r="J29" s="190" t="s">
        <v>213</v>
      </c>
      <c r="K29" s="155" t="s">
        <v>68</v>
      </c>
      <c r="L29" s="47">
        <v>45658</v>
      </c>
      <c r="M29" s="6" t="s">
        <v>8</v>
      </c>
      <c r="N29" s="134" t="s">
        <v>32</v>
      </c>
      <c r="O29" s="18">
        <f t="shared" ca="1" si="1"/>
        <v>30</v>
      </c>
      <c r="P29" s="24"/>
      <c r="Q29" s="14"/>
      <c r="R29" s="8"/>
      <c r="S29" s="14"/>
      <c r="T29" s="8"/>
      <c r="U29" s="215"/>
      <c r="V29" s="10"/>
      <c r="W29" s="8"/>
      <c r="X29" s="26"/>
      <c r="Y29" s="39"/>
      <c r="Z29" s="46"/>
      <c r="AA29" s="9"/>
      <c r="AB29" s="40"/>
      <c r="AC29" s="9"/>
      <c r="AD29" s="39"/>
      <c r="AE29" s="26"/>
    </row>
    <row r="30" spans="1:31" s="1" customFormat="1" ht="30" customHeight="1" x14ac:dyDescent="0.25">
      <c r="A30" s="160">
        <v>185</v>
      </c>
      <c r="B30" s="161" t="s">
        <v>155</v>
      </c>
      <c r="C30" s="161" t="s">
        <v>108</v>
      </c>
      <c r="D30" s="22">
        <v>55</v>
      </c>
      <c r="E30" s="167" t="s">
        <v>107</v>
      </c>
      <c r="F30" s="163" t="s">
        <v>131</v>
      </c>
      <c r="G30" s="124">
        <v>92700244</v>
      </c>
      <c r="H30" s="21" t="s">
        <v>291</v>
      </c>
      <c r="I30" s="237" t="s">
        <v>292</v>
      </c>
      <c r="J30" s="238" t="s">
        <v>293</v>
      </c>
      <c r="K30" s="239" t="s">
        <v>68</v>
      </c>
      <c r="L30" s="240">
        <v>45778</v>
      </c>
      <c r="M30" s="6" t="s">
        <v>8</v>
      </c>
      <c r="N30" s="110" t="s">
        <v>32</v>
      </c>
      <c r="O30" s="18">
        <f t="shared" ca="1" si="1"/>
        <v>35</v>
      </c>
      <c r="P30" s="24"/>
      <c r="Q30" s="14"/>
      <c r="R30" s="8"/>
      <c r="S30" s="8"/>
      <c r="T30" s="8"/>
      <c r="U30" s="215"/>
      <c r="V30" s="10"/>
      <c r="W30" s="8"/>
      <c r="X30" s="26"/>
      <c r="Y30" s="39"/>
      <c r="Z30" s="46"/>
      <c r="AA30" s="9"/>
      <c r="AB30" s="40"/>
      <c r="AC30" s="9"/>
      <c r="AD30" s="39"/>
      <c r="AE30" s="26"/>
    </row>
    <row r="31" spans="1:31" s="1" customFormat="1" ht="30" customHeight="1" x14ac:dyDescent="0.25">
      <c r="A31" s="160">
        <v>186</v>
      </c>
      <c r="B31" s="161" t="s">
        <v>51</v>
      </c>
      <c r="C31" s="111" t="s">
        <v>36</v>
      </c>
      <c r="D31" s="22">
        <v>47</v>
      </c>
      <c r="E31" s="162" t="s">
        <v>10</v>
      </c>
      <c r="F31" s="168" t="s">
        <v>64</v>
      </c>
      <c r="G31" s="124" t="s">
        <v>173</v>
      </c>
      <c r="H31" s="17" t="s">
        <v>174</v>
      </c>
      <c r="I31" s="196" t="s">
        <v>251</v>
      </c>
      <c r="J31" s="197" t="s">
        <v>175</v>
      </c>
      <c r="K31" s="155" t="s">
        <v>68</v>
      </c>
      <c r="L31" s="47">
        <v>45640</v>
      </c>
      <c r="M31" s="6" t="s">
        <v>8</v>
      </c>
      <c r="N31" s="146" t="s">
        <v>32</v>
      </c>
      <c r="O31" s="18">
        <f t="shared" ca="1" si="1"/>
        <v>25</v>
      </c>
      <c r="P31" s="24"/>
      <c r="Q31" s="14"/>
      <c r="R31" s="8"/>
      <c r="S31" s="8"/>
      <c r="T31" s="8"/>
      <c r="U31" s="215"/>
      <c r="V31" s="10"/>
      <c r="W31" s="8"/>
      <c r="X31" s="26"/>
      <c r="Y31" s="39"/>
      <c r="Z31" s="46"/>
      <c r="AA31" s="9"/>
      <c r="AB31" s="40"/>
      <c r="AC31" s="9"/>
      <c r="AD31" s="39"/>
      <c r="AE31" s="26"/>
    </row>
    <row r="32" spans="1:31" s="1" customFormat="1" ht="30" customHeight="1" x14ac:dyDescent="0.25">
      <c r="A32" s="160">
        <v>188</v>
      </c>
      <c r="B32" s="161" t="s">
        <v>52</v>
      </c>
      <c r="C32" s="161" t="s">
        <v>27</v>
      </c>
      <c r="D32" s="22">
        <v>48</v>
      </c>
      <c r="E32" s="167" t="s">
        <v>11</v>
      </c>
      <c r="F32" s="163" t="s">
        <v>65</v>
      </c>
      <c r="G32" s="124" t="s">
        <v>229</v>
      </c>
      <c r="H32" s="60" t="s">
        <v>273</v>
      </c>
      <c r="I32" s="119" t="s">
        <v>244</v>
      </c>
      <c r="J32" s="120" t="s">
        <v>245</v>
      </c>
      <c r="K32" s="41" t="s">
        <v>68</v>
      </c>
      <c r="L32" s="47">
        <v>45658</v>
      </c>
      <c r="M32" s="6" t="s">
        <v>8</v>
      </c>
      <c r="N32" s="51" t="s">
        <v>7</v>
      </c>
      <c r="O32" s="18">
        <f t="shared" ca="1" si="1"/>
        <v>61</v>
      </c>
      <c r="P32" s="24"/>
      <c r="Q32" s="14"/>
      <c r="R32" s="14"/>
      <c r="S32" s="96"/>
      <c r="T32" s="8"/>
      <c r="U32" s="215"/>
      <c r="V32" s="10"/>
      <c r="W32" s="8"/>
      <c r="X32" s="26"/>
      <c r="Y32" s="39"/>
      <c r="Z32" s="46"/>
      <c r="AA32" s="9"/>
      <c r="AB32" s="40"/>
      <c r="AC32" s="9"/>
      <c r="AD32" s="39"/>
      <c r="AE32" s="26"/>
    </row>
    <row r="33" spans="1:31" s="1" customFormat="1" ht="30" x14ac:dyDescent="0.25">
      <c r="A33" s="160" t="s">
        <v>69</v>
      </c>
      <c r="B33" s="161" t="s">
        <v>52</v>
      </c>
      <c r="C33" s="161" t="s">
        <v>108</v>
      </c>
      <c r="D33" s="22">
        <v>59</v>
      </c>
      <c r="E33" s="167" t="s">
        <v>107</v>
      </c>
      <c r="F33" s="163" t="s">
        <v>132</v>
      </c>
      <c r="G33" s="202">
        <v>92700232</v>
      </c>
      <c r="H33" s="17" t="s">
        <v>250</v>
      </c>
      <c r="I33" s="164" t="s">
        <v>253</v>
      </c>
      <c r="J33" s="165" t="s">
        <v>262</v>
      </c>
      <c r="K33" s="164" t="s">
        <v>68</v>
      </c>
      <c r="L33" s="171">
        <v>45323</v>
      </c>
      <c r="M33" s="6" t="s">
        <v>8</v>
      </c>
      <c r="N33" s="232" t="s">
        <v>32</v>
      </c>
      <c r="O33" s="18">
        <f t="shared" ca="1" si="1"/>
        <v>28</v>
      </c>
      <c r="P33" s="24"/>
      <c r="Q33" s="14"/>
      <c r="R33" s="8"/>
      <c r="S33" s="14"/>
      <c r="T33" s="8"/>
      <c r="U33" s="215"/>
      <c r="V33" s="10"/>
      <c r="W33" s="8"/>
      <c r="X33" s="26"/>
      <c r="Y33" s="39"/>
      <c r="Z33" s="46"/>
      <c r="AA33" s="9"/>
      <c r="AB33" s="40"/>
      <c r="AC33" s="9"/>
      <c r="AD33" s="39"/>
      <c r="AE33" s="26"/>
    </row>
    <row r="34" spans="1:31" s="1" customFormat="1" ht="30" customHeight="1" x14ac:dyDescent="0.25">
      <c r="A34" s="160">
        <v>189</v>
      </c>
      <c r="B34" s="161" t="s">
        <v>53</v>
      </c>
      <c r="C34" s="161" t="s">
        <v>28</v>
      </c>
      <c r="D34" s="22">
        <v>49</v>
      </c>
      <c r="E34" s="167" t="s">
        <v>11</v>
      </c>
      <c r="F34" s="163" t="s">
        <v>66</v>
      </c>
      <c r="G34" s="118" t="s">
        <v>226</v>
      </c>
      <c r="H34" s="17" t="s">
        <v>263</v>
      </c>
      <c r="I34" s="66" t="s">
        <v>38</v>
      </c>
      <c r="J34" s="133" t="s">
        <v>37</v>
      </c>
      <c r="K34" s="41" t="s">
        <v>68</v>
      </c>
      <c r="L34" s="90">
        <v>44044</v>
      </c>
      <c r="M34" s="6" t="s">
        <v>8</v>
      </c>
      <c r="N34" s="230" t="s">
        <v>32</v>
      </c>
      <c r="O34" s="18">
        <f t="shared" ca="1" si="1"/>
        <v>30</v>
      </c>
      <c r="P34" s="24"/>
      <c r="Q34" s="14"/>
      <c r="R34" s="14"/>
      <c r="S34" s="96"/>
      <c r="T34" s="8"/>
      <c r="U34" s="215"/>
      <c r="V34" s="10"/>
      <c r="W34" s="8"/>
      <c r="X34" s="26"/>
      <c r="Y34" s="39"/>
      <c r="Z34" s="46"/>
      <c r="AA34" s="9"/>
      <c r="AB34" s="40"/>
      <c r="AC34" s="9"/>
      <c r="AD34" s="39"/>
      <c r="AE34" s="26"/>
    </row>
    <row r="35" spans="1:31" s="1" customFormat="1" ht="30" customHeight="1" x14ac:dyDescent="0.25">
      <c r="A35" s="160">
        <v>189</v>
      </c>
      <c r="B35" s="161" t="s">
        <v>53</v>
      </c>
      <c r="C35" s="161" t="s">
        <v>108</v>
      </c>
      <c r="D35" s="22">
        <v>50</v>
      </c>
      <c r="E35" s="167" t="s">
        <v>107</v>
      </c>
      <c r="F35" s="172" t="s">
        <v>134</v>
      </c>
      <c r="G35" s="118" t="s">
        <v>226</v>
      </c>
      <c r="H35" s="17" t="s">
        <v>312</v>
      </c>
      <c r="I35" s="229" t="s">
        <v>314</v>
      </c>
      <c r="J35" s="228" t="s">
        <v>315</v>
      </c>
      <c r="K35" s="41" t="s">
        <v>68</v>
      </c>
      <c r="L35" s="90">
        <v>45824</v>
      </c>
      <c r="M35" s="6" t="s">
        <v>8</v>
      </c>
      <c r="N35" s="230" t="s">
        <v>7</v>
      </c>
      <c r="O35" s="18">
        <f t="shared" ca="1" si="1"/>
        <v>50</v>
      </c>
      <c r="P35" s="24"/>
      <c r="Q35" s="14"/>
      <c r="R35" s="8"/>
      <c r="S35" s="14"/>
      <c r="T35" s="8"/>
      <c r="U35" s="215"/>
      <c r="V35" s="10"/>
      <c r="W35" s="8"/>
      <c r="X35" s="26"/>
      <c r="Y35" s="39"/>
      <c r="Z35" s="46"/>
      <c r="AA35" s="9"/>
      <c r="AB35" s="40"/>
      <c r="AC35" s="9"/>
      <c r="AD35" s="39"/>
      <c r="AE35" s="26"/>
    </row>
    <row r="36" spans="1:31" s="1" customFormat="1" ht="42" customHeight="1" x14ac:dyDescent="0.25">
      <c r="A36" s="160">
        <v>189</v>
      </c>
      <c r="B36" s="161" t="s">
        <v>53</v>
      </c>
      <c r="C36" s="161" t="s">
        <v>108</v>
      </c>
      <c r="D36" s="22">
        <v>72</v>
      </c>
      <c r="E36" s="167" t="s">
        <v>107</v>
      </c>
      <c r="F36" s="172" t="s">
        <v>134</v>
      </c>
      <c r="G36" s="118">
        <v>92700259</v>
      </c>
      <c r="H36" s="220" t="s">
        <v>335</v>
      </c>
      <c r="I36" s="229" t="s">
        <v>336</v>
      </c>
      <c r="J36" s="260" t="s">
        <v>337</v>
      </c>
      <c r="K36" s="227" t="s">
        <v>68</v>
      </c>
      <c r="L36" s="90">
        <v>45946</v>
      </c>
      <c r="M36" s="6" t="s">
        <v>8</v>
      </c>
      <c r="N36" s="232" t="s">
        <v>7</v>
      </c>
      <c r="O36" s="18">
        <f t="shared" ca="1" si="1"/>
        <v>32</v>
      </c>
      <c r="P36" s="24"/>
      <c r="Q36" s="14"/>
      <c r="R36" s="8"/>
      <c r="S36" s="8"/>
      <c r="T36" s="8"/>
      <c r="U36" s="215"/>
      <c r="V36" s="10"/>
      <c r="W36" s="8"/>
      <c r="X36" s="26"/>
      <c r="Y36" s="39"/>
      <c r="Z36" s="46"/>
      <c r="AA36" s="9"/>
      <c r="AB36" s="40"/>
      <c r="AC36" s="9"/>
      <c r="AD36" s="39"/>
      <c r="AE36" s="26"/>
    </row>
    <row r="37" spans="1:31" s="1" customFormat="1" ht="30" x14ac:dyDescent="0.25">
      <c r="A37" s="160">
        <v>191</v>
      </c>
      <c r="B37" s="161" t="s">
        <v>54</v>
      </c>
      <c r="C37" s="111" t="s">
        <v>282</v>
      </c>
      <c r="D37" s="22">
        <v>51</v>
      </c>
      <c r="E37" s="162" t="s">
        <v>10</v>
      </c>
      <c r="F37" s="168" t="s">
        <v>135</v>
      </c>
      <c r="G37" s="124">
        <v>92700239</v>
      </c>
      <c r="H37" s="17" t="s">
        <v>280</v>
      </c>
      <c r="I37" s="164" t="s">
        <v>283</v>
      </c>
      <c r="J37" s="165" t="s">
        <v>284</v>
      </c>
      <c r="K37" s="164" t="s">
        <v>68</v>
      </c>
      <c r="L37" s="166">
        <v>45732</v>
      </c>
      <c r="M37" s="6" t="s">
        <v>8</v>
      </c>
      <c r="N37" s="201" t="s">
        <v>32</v>
      </c>
      <c r="O37" s="18">
        <f t="shared" ca="1" si="1"/>
        <v>29</v>
      </c>
      <c r="P37" s="24"/>
      <c r="Q37" s="14"/>
      <c r="R37" s="8"/>
      <c r="S37" s="8"/>
      <c r="T37" s="8"/>
      <c r="U37" s="215"/>
      <c r="V37" s="10"/>
      <c r="W37" s="8"/>
      <c r="X37" s="26"/>
      <c r="Y37" s="39"/>
      <c r="Z37" s="46"/>
      <c r="AA37" s="9"/>
      <c r="AB37" s="40"/>
      <c r="AC37" s="9"/>
      <c r="AD37" s="39"/>
      <c r="AE37" s="26"/>
    </row>
    <row r="38" spans="1:31" s="1" customFormat="1" ht="30" customHeight="1" x14ac:dyDescent="0.25">
      <c r="A38" s="160">
        <v>191</v>
      </c>
      <c r="B38" s="161" t="s">
        <v>54</v>
      </c>
      <c r="C38" s="161" t="s">
        <v>13</v>
      </c>
      <c r="D38" s="22">
        <v>16</v>
      </c>
      <c r="E38" s="162" t="s">
        <v>9</v>
      </c>
      <c r="F38" s="172" t="s">
        <v>136</v>
      </c>
      <c r="G38" s="118">
        <v>92700205</v>
      </c>
      <c r="H38" s="17" t="s">
        <v>178</v>
      </c>
      <c r="I38" s="15" t="s">
        <v>217</v>
      </c>
      <c r="J38" s="112" t="s">
        <v>218</v>
      </c>
      <c r="K38" s="41" t="s">
        <v>68</v>
      </c>
      <c r="L38" s="47">
        <v>45658</v>
      </c>
      <c r="M38" s="6" t="s">
        <v>8</v>
      </c>
      <c r="N38" s="128" t="s">
        <v>7</v>
      </c>
      <c r="O38" s="18">
        <f t="shared" ca="1" si="1"/>
        <v>32</v>
      </c>
      <c r="P38" s="214"/>
      <c r="Q38" s="14"/>
      <c r="R38" s="8"/>
      <c r="S38" s="8"/>
      <c r="T38" s="8"/>
      <c r="U38" s="215"/>
      <c r="V38" s="10"/>
      <c r="W38" s="8"/>
      <c r="X38" s="26"/>
      <c r="Y38" s="39"/>
      <c r="Z38" s="46"/>
      <c r="AA38" s="9"/>
      <c r="AB38" s="40"/>
      <c r="AC38" s="9"/>
      <c r="AD38" s="39"/>
      <c r="AE38" s="26"/>
    </row>
    <row r="39" spans="1:31" s="1" customFormat="1" ht="30" x14ac:dyDescent="0.25">
      <c r="A39" s="160">
        <v>192</v>
      </c>
      <c r="B39" s="161" t="s">
        <v>45</v>
      </c>
      <c r="C39" s="161" t="s">
        <v>25</v>
      </c>
      <c r="D39" s="22">
        <v>5</v>
      </c>
      <c r="E39" s="162" t="s">
        <v>11</v>
      </c>
      <c r="F39" s="168" t="s">
        <v>137</v>
      </c>
      <c r="G39" s="118">
        <v>92700246</v>
      </c>
      <c r="H39" s="17" t="s">
        <v>299</v>
      </c>
      <c r="I39" s="129" t="s">
        <v>300</v>
      </c>
      <c r="J39" s="130" t="s">
        <v>301</v>
      </c>
      <c r="K39" s="41" t="s">
        <v>68</v>
      </c>
      <c r="L39" s="90">
        <v>45793</v>
      </c>
      <c r="M39" s="23" t="s">
        <v>8</v>
      </c>
      <c r="N39" s="232" t="s">
        <v>7</v>
      </c>
      <c r="O39" s="18">
        <f t="shared" ca="1" si="1"/>
        <v>26</v>
      </c>
      <c r="P39" s="24"/>
      <c r="Q39" s="14"/>
      <c r="R39" s="8"/>
      <c r="S39" s="96"/>
      <c r="T39" s="8"/>
      <c r="U39" s="215"/>
      <c r="V39" s="10"/>
      <c r="W39" s="8"/>
      <c r="X39" s="26"/>
      <c r="Y39" s="39"/>
      <c r="Z39" s="46"/>
      <c r="AA39" s="9"/>
      <c r="AB39" s="40"/>
      <c r="AC39" s="9"/>
      <c r="AD39" s="39"/>
      <c r="AE39" s="26"/>
    </row>
    <row r="40" spans="1:31" s="1" customFormat="1" ht="30" x14ac:dyDescent="0.25">
      <c r="A40" s="160">
        <v>192</v>
      </c>
      <c r="B40" s="161" t="s">
        <v>45</v>
      </c>
      <c r="C40" s="161" t="s">
        <v>108</v>
      </c>
      <c r="D40" s="22">
        <v>61</v>
      </c>
      <c r="E40" s="167" t="s">
        <v>107</v>
      </c>
      <c r="F40" s="172" t="s">
        <v>138</v>
      </c>
      <c r="G40" s="118" t="s">
        <v>221</v>
      </c>
      <c r="H40" s="216" t="s">
        <v>180</v>
      </c>
      <c r="I40" s="12" t="s">
        <v>219</v>
      </c>
      <c r="J40" s="7" t="s">
        <v>220</v>
      </c>
      <c r="K40" s="41" t="s">
        <v>68</v>
      </c>
      <c r="L40" s="47">
        <v>45658</v>
      </c>
      <c r="M40" s="6" t="s">
        <v>8</v>
      </c>
      <c r="N40" s="212" t="s">
        <v>32</v>
      </c>
      <c r="O40" s="18">
        <f ca="1">DATEDIF(DATE(IF(MID($J40,5,2)+2000&gt;YEAR(TODAY()),MID($J40,5,2)+1900,MID($J40,5,2)+2000),MID($J40,7,2),MID($J40,9,2)),TODAY(),"y")</f>
        <v>28</v>
      </c>
      <c r="P40" s="24"/>
      <c r="Q40" s="14"/>
      <c r="R40" s="8"/>
      <c r="S40" s="14"/>
      <c r="T40" s="8"/>
      <c r="U40" s="215"/>
      <c r="V40" s="10"/>
      <c r="W40" s="8"/>
      <c r="X40" s="26"/>
      <c r="Y40" s="39"/>
      <c r="Z40" s="46"/>
      <c r="AA40" s="9"/>
      <c r="AB40" s="40"/>
      <c r="AC40" s="9"/>
      <c r="AD40" s="39"/>
      <c r="AE40" s="26"/>
    </row>
    <row r="41" spans="1:31" s="1" customFormat="1" ht="30" x14ac:dyDescent="0.25">
      <c r="A41" s="160">
        <v>192</v>
      </c>
      <c r="B41" s="161" t="s">
        <v>45</v>
      </c>
      <c r="C41" s="161" t="s">
        <v>108</v>
      </c>
      <c r="D41" s="22">
        <v>10</v>
      </c>
      <c r="E41" s="167" t="s">
        <v>107</v>
      </c>
      <c r="F41" s="172" t="s">
        <v>139</v>
      </c>
      <c r="G41" s="252">
        <v>92700258</v>
      </c>
      <c r="H41" s="255" t="s">
        <v>328</v>
      </c>
      <c r="I41" s="253" t="s">
        <v>329</v>
      </c>
      <c r="J41" s="261" t="s">
        <v>330</v>
      </c>
      <c r="K41" s="41" t="s">
        <v>68</v>
      </c>
      <c r="L41" s="254">
        <v>45946</v>
      </c>
      <c r="M41" s="23" t="s">
        <v>8</v>
      </c>
      <c r="N41" s="232" t="s">
        <v>7</v>
      </c>
      <c r="O41" s="18">
        <f t="shared" ca="1" si="1"/>
        <v>27</v>
      </c>
      <c r="P41" s="24"/>
      <c r="Q41" s="14"/>
      <c r="R41" s="8"/>
      <c r="S41" s="8"/>
      <c r="T41" s="8"/>
      <c r="U41" s="215"/>
      <c r="V41" s="10"/>
      <c r="W41" s="8"/>
      <c r="X41" s="26"/>
      <c r="Y41" s="39"/>
      <c r="Z41" s="46"/>
      <c r="AA41" s="9"/>
      <c r="AB41" s="40"/>
      <c r="AC41" s="9"/>
      <c r="AD41" s="39"/>
      <c r="AE41" s="26"/>
    </row>
    <row r="42" spans="1:31" s="1" customFormat="1" ht="30" x14ac:dyDescent="0.25">
      <c r="A42" s="160">
        <v>193</v>
      </c>
      <c r="B42" s="161" t="s">
        <v>41</v>
      </c>
      <c r="C42" s="161" t="s">
        <v>23</v>
      </c>
      <c r="D42" s="22">
        <v>52</v>
      </c>
      <c r="E42" s="162" t="s">
        <v>11</v>
      </c>
      <c r="F42" s="168" t="s">
        <v>140</v>
      </c>
      <c r="G42" s="118">
        <v>92700230</v>
      </c>
      <c r="H42" s="17" t="s">
        <v>248</v>
      </c>
      <c r="I42" s="147" t="s">
        <v>254</v>
      </c>
      <c r="J42" s="148" t="s">
        <v>255</v>
      </c>
      <c r="K42" s="41" t="s">
        <v>68</v>
      </c>
      <c r="L42" s="123">
        <v>45689</v>
      </c>
      <c r="M42" s="6" t="s">
        <v>8</v>
      </c>
      <c r="N42" s="145" t="s">
        <v>7</v>
      </c>
      <c r="O42" s="18">
        <f t="shared" ca="1" si="1"/>
        <v>41</v>
      </c>
      <c r="P42" s="24"/>
      <c r="Q42" s="14"/>
      <c r="R42" s="8"/>
      <c r="S42" s="96"/>
      <c r="T42" s="8"/>
      <c r="U42" s="215"/>
      <c r="V42" s="10"/>
      <c r="W42" s="8"/>
      <c r="X42" s="26"/>
      <c r="Y42" s="39"/>
      <c r="Z42" s="46"/>
      <c r="AA42" s="9"/>
      <c r="AB42" s="40"/>
      <c r="AC42" s="9"/>
      <c r="AD42" s="39"/>
      <c r="AE42" s="26"/>
    </row>
    <row r="43" spans="1:31" s="1" customFormat="1" ht="30" x14ac:dyDescent="0.25">
      <c r="A43" s="160">
        <v>193</v>
      </c>
      <c r="B43" s="161" t="s">
        <v>41</v>
      </c>
      <c r="C43" s="161" t="s">
        <v>108</v>
      </c>
      <c r="D43" s="22">
        <v>53</v>
      </c>
      <c r="E43" s="167" t="s">
        <v>107</v>
      </c>
      <c r="F43" s="172" t="s">
        <v>141</v>
      </c>
      <c r="G43" s="124">
        <v>92700229</v>
      </c>
      <c r="H43" s="21" t="s">
        <v>247</v>
      </c>
      <c r="I43" s="170" t="s">
        <v>256</v>
      </c>
      <c r="J43" s="175" t="s">
        <v>257</v>
      </c>
      <c r="K43" s="164" t="s">
        <v>68</v>
      </c>
      <c r="L43" s="171">
        <v>45689</v>
      </c>
      <c r="M43" s="23" t="s">
        <v>8</v>
      </c>
      <c r="N43" s="201" t="s">
        <v>7</v>
      </c>
      <c r="O43" s="18">
        <f t="shared" ca="1" si="1"/>
        <v>29</v>
      </c>
      <c r="P43" s="24"/>
      <c r="Q43" s="14"/>
      <c r="R43" s="8"/>
      <c r="S43" s="14"/>
      <c r="T43" s="8"/>
      <c r="U43" s="215"/>
      <c r="V43" s="10"/>
      <c r="W43" s="8"/>
      <c r="X43" s="26"/>
      <c r="Y43" s="39"/>
      <c r="Z43" s="46"/>
      <c r="AA43" s="9"/>
      <c r="AB43" s="40"/>
      <c r="AC43" s="9"/>
      <c r="AD43" s="39"/>
      <c r="AE43" s="26"/>
    </row>
    <row r="44" spans="1:31" s="1" customFormat="1" ht="30" x14ac:dyDescent="0.25">
      <c r="A44" s="160">
        <v>193</v>
      </c>
      <c r="B44" s="161" t="s">
        <v>41</v>
      </c>
      <c r="C44" s="161" t="s">
        <v>108</v>
      </c>
      <c r="D44" s="22">
        <v>54</v>
      </c>
      <c r="E44" s="167" t="s">
        <v>107</v>
      </c>
      <c r="F44" s="172" t="s">
        <v>142</v>
      </c>
      <c r="G44" s="124">
        <v>92700256</v>
      </c>
      <c r="H44" s="17" t="s">
        <v>325</v>
      </c>
      <c r="I44" s="251" t="s">
        <v>327</v>
      </c>
      <c r="J44" s="251" t="s">
        <v>326</v>
      </c>
      <c r="K44" s="246" t="s">
        <v>68</v>
      </c>
      <c r="L44" s="123">
        <v>45916</v>
      </c>
      <c r="M44" s="11" t="s">
        <v>8</v>
      </c>
      <c r="N44" s="248" t="s">
        <v>7</v>
      </c>
      <c r="O44" s="18">
        <f ca="1">DATEDIF(DATE(IF(MID($J44,5,2)+2000&gt;YEAR(TODAY()),MID($J44,5,2)+1900,MID($J44,5,2)+2000),MID($J44,7,2),MID($J44,9,2)),TODAY(),"y")</f>
        <v>29</v>
      </c>
      <c r="P44" s="24"/>
      <c r="Q44" s="14"/>
      <c r="R44" s="13"/>
      <c r="S44" s="8"/>
      <c r="T44" s="8"/>
      <c r="U44" s="215"/>
      <c r="V44" s="10"/>
      <c r="W44" s="8"/>
      <c r="X44" s="26"/>
      <c r="Y44" s="39"/>
      <c r="Z44" s="46"/>
      <c r="AA44" s="9"/>
      <c r="AB44" s="40"/>
      <c r="AC44" s="9"/>
      <c r="AD44" s="39"/>
      <c r="AE44" s="26"/>
    </row>
    <row r="45" spans="1:31" s="1" customFormat="1" ht="30" x14ac:dyDescent="0.25">
      <c r="A45" s="160">
        <v>194</v>
      </c>
      <c r="B45" s="161" t="s">
        <v>55</v>
      </c>
      <c r="C45" s="161" t="s">
        <v>24</v>
      </c>
      <c r="D45" s="22">
        <v>77</v>
      </c>
      <c r="E45" s="162" t="s">
        <v>11</v>
      </c>
      <c r="F45" s="168" t="s">
        <v>143</v>
      </c>
      <c r="G45" s="118" t="s">
        <v>170</v>
      </c>
      <c r="H45" s="17" t="s">
        <v>171</v>
      </c>
      <c r="I45" s="119" t="s">
        <v>95</v>
      </c>
      <c r="J45" s="120" t="s">
        <v>96</v>
      </c>
      <c r="K45" s="41" t="s">
        <v>68</v>
      </c>
      <c r="L45" s="123">
        <v>44682</v>
      </c>
      <c r="M45" s="6" t="s">
        <v>8</v>
      </c>
      <c r="N45" s="51" t="s">
        <v>7</v>
      </c>
      <c r="O45" s="18">
        <f t="shared" ca="1" si="1"/>
        <v>34</v>
      </c>
      <c r="P45" s="24"/>
      <c r="Q45" s="14"/>
      <c r="R45" s="8"/>
      <c r="S45" s="96"/>
      <c r="T45" s="8"/>
      <c r="U45" s="215"/>
      <c r="V45" s="10"/>
      <c r="W45" s="8"/>
      <c r="X45" s="26"/>
      <c r="Y45" s="39"/>
      <c r="Z45" s="46"/>
      <c r="AA45" s="9"/>
      <c r="AB45" s="40"/>
      <c r="AC45" s="9"/>
      <c r="AD45" s="39"/>
      <c r="AE45" s="26"/>
    </row>
    <row r="46" spans="1:31" s="1" customFormat="1" ht="30" x14ac:dyDescent="0.25">
      <c r="A46" s="160">
        <v>194</v>
      </c>
      <c r="B46" s="161" t="s">
        <v>55</v>
      </c>
      <c r="C46" s="161" t="s">
        <v>108</v>
      </c>
      <c r="D46" s="22">
        <v>30</v>
      </c>
      <c r="E46" s="167" t="s">
        <v>107</v>
      </c>
      <c r="F46" s="172" t="s">
        <v>144</v>
      </c>
      <c r="G46" s="252">
        <v>92700257</v>
      </c>
      <c r="H46" s="255" t="s">
        <v>331</v>
      </c>
      <c r="I46" s="253" t="s">
        <v>332</v>
      </c>
      <c r="J46" s="253" t="s">
        <v>333</v>
      </c>
      <c r="K46" s="256" t="s">
        <v>68</v>
      </c>
      <c r="L46" s="254">
        <v>45946</v>
      </c>
      <c r="M46" s="23" t="s">
        <v>8</v>
      </c>
      <c r="N46" s="257" t="s">
        <v>32</v>
      </c>
      <c r="O46" s="18">
        <f t="shared" ca="1" si="1"/>
        <v>35</v>
      </c>
      <c r="P46" s="24"/>
      <c r="Q46" s="14"/>
      <c r="R46" s="8"/>
      <c r="S46" s="14"/>
      <c r="T46" s="8"/>
      <c r="U46" s="215"/>
      <c r="V46" s="10"/>
      <c r="W46" s="8"/>
      <c r="X46" s="26"/>
      <c r="Y46" s="39"/>
      <c r="Z46" s="46"/>
      <c r="AA46" s="9"/>
      <c r="AB46" s="40"/>
      <c r="AC46" s="9"/>
      <c r="AD46" s="39"/>
      <c r="AE46" s="26"/>
    </row>
    <row r="47" spans="1:31" s="1" customFormat="1" ht="30" customHeight="1" x14ac:dyDescent="0.25">
      <c r="A47" s="160">
        <v>194</v>
      </c>
      <c r="B47" s="161" t="s">
        <v>55</v>
      </c>
      <c r="C47" s="161" t="s">
        <v>108</v>
      </c>
      <c r="D47" s="22">
        <v>56</v>
      </c>
      <c r="E47" s="167" t="s">
        <v>107</v>
      </c>
      <c r="F47" s="172" t="s">
        <v>145</v>
      </c>
      <c r="G47" s="118">
        <v>92700253</v>
      </c>
      <c r="H47" s="21" t="s">
        <v>319</v>
      </c>
      <c r="I47" s="147" t="s">
        <v>320</v>
      </c>
      <c r="J47" s="147" t="s">
        <v>321</v>
      </c>
      <c r="K47" s="41" t="s">
        <v>68</v>
      </c>
      <c r="L47" s="123">
        <v>45854</v>
      </c>
      <c r="M47" s="11" t="s">
        <v>8</v>
      </c>
      <c r="N47" s="232" t="s">
        <v>32</v>
      </c>
      <c r="O47" s="18">
        <f ca="1">DATEDIF(DATE(IF(MID($J47,5,2)+2000&gt;YEAR(TODAY()),MID($J47,5,2)+1900,MID($J47,5,2)+2000),MID($J47,7,2),MID($J47,9,2)),TODAY(),"y")</f>
        <v>53</v>
      </c>
      <c r="P47" s="24"/>
      <c r="Q47" s="14"/>
      <c r="R47" s="13"/>
      <c r="S47" s="8"/>
      <c r="T47" s="8"/>
      <c r="U47" s="215"/>
      <c r="V47" s="10"/>
      <c r="W47" s="8"/>
      <c r="X47" s="26"/>
      <c r="Y47" s="39"/>
      <c r="Z47" s="46"/>
      <c r="AA47" s="9"/>
      <c r="AB47" s="40"/>
      <c r="AC47" s="9"/>
      <c r="AD47" s="39"/>
      <c r="AE47" s="26"/>
    </row>
    <row r="48" spans="1:31" s="1" customFormat="1" ht="30" customHeight="1" x14ac:dyDescent="0.25">
      <c r="A48" s="160">
        <v>190</v>
      </c>
      <c r="B48" s="161" t="s">
        <v>187</v>
      </c>
      <c r="C48" s="111" t="s">
        <v>188</v>
      </c>
      <c r="D48" s="22">
        <v>7</v>
      </c>
      <c r="E48" s="162" t="s">
        <v>10</v>
      </c>
      <c r="F48" s="178" t="s">
        <v>146</v>
      </c>
      <c r="G48" s="124" t="s">
        <v>223</v>
      </c>
      <c r="H48" s="17" t="s">
        <v>222</v>
      </c>
      <c r="I48" s="192" t="s">
        <v>224</v>
      </c>
      <c r="J48" s="193" t="s">
        <v>225</v>
      </c>
      <c r="K48" s="155" t="s">
        <v>68</v>
      </c>
      <c r="L48" s="90">
        <v>45658</v>
      </c>
      <c r="M48" s="6" t="s">
        <v>8</v>
      </c>
      <c r="N48" s="206" t="s">
        <v>7</v>
      </c>
      <c r="O48" s="18">
        <v>39</v>
      </c>
      <c r="P48" s="24"/>
      <c r="Q48" s="14"/>
      <c r="R48" s="8"/>
      <c r="S48" s="8"/>
      <c r="T48" s="8"/>
      <c r="U48" s="215"/>
      <c r="V48" s="10"/>
      <c r="W48" s="8"/>
      <c r="X48" s="26"/>
      <c r="Y48" s="39"/>
      <c r="Z48" s="46"/>
      <c r="AA48" s="9"/>
      <c r="AB48" s="40"/>
      <c r="AC48" s="9"/>
      <c r="AD48" s="39"/>
      <c r="AE48" s="26"/>
    </row>
    <row r="49" spans="1:31" s="1" customFormat="1" ht="30" x14ac:dyDescent="0.25">
      <c r="A49" s="160" t="s">
        <v>236</v>
      </c>
      <c r="B49" s="161" t="s">
        <v>183</v>
      </c>
      <c r="C49" s="161" t="s">
        <v>108</v>
      </c>
      <c r="D49" s="22">
        <v>8</v>
      </c>
      <c r="E49" s="167" t="s">
        <v>107</v>
      </c>
      <c r="F49" s="163" t="s">
        <v>147</v>
      </c>
      <c r="G49" s="118">
        <v>92700248</v>
      </c>
      <c r="H49" s="21" t="s">
        <v>302</v>
      </c>
      <c r="I49" s="222" t="s">
        <v>303</v>
      </c>
      <c r="J49" s="223" t="s">
        <v>307</v>
      </c>
      <c r="K49" s="41" t="s">
        <v>68</v>
      </c>
      <c r="L49" s="90">
        <v>45793</v>
      </c>
      <c r="M49" s="6" t="s">
        <v>8</v>
      </c>
      <c r="N49" s="232" t="s">
        <v>7</v>
      </c>
      <c r="O49" s="18">
        <f t="shared" ca="1" si="1"/>
        <v>37</v>
      </c>
      <c r="P49" s="24"/>
      <c r="Q49" s="14"/>
      <c r="R49" s="8"/>
      <c r="S49" s="14"/>
      <c r="T49" s="8"/>
      <c r="U49" s="215"/>
      <c r="V49" s="10"/>
      <c r="W49" s="8"/>
      <c r="X49" s="26"/>
      <c r="Y49" s="39"/>
      <c r="Z49" s="46"/>
      <c r="AA49" s="9"/>
      <c r="AB49" s="40"/>
      <c r="AC49" s="9"/>
      <c r="AD49" s="39"/>
      <c r="AE49" s="26"/>
    </row>
    <row r="50" spans="1:31" s="1" customFormat="1" ht="30" x14ac:dyDescent="0.25">
      <c r="A50" s="160" t="s">
        <v>237</v>
      </c>
      <c r="B50" s="161" t="s">
        <v>184</v>
      </c>
      <c r="C50" s="161" t="s">
        <v>108</v>
      </c>
      <c r="D50" s="179">
        <v>60</v>
      </c>
      <c r="E50" s="167" t="s">
        <v>107</v>
      </c>
      <c r="F50" s="163" t="s">
        <v>148</v>
      </c>
      <c r="G50" s="118">
        <v>92700233</v>
      </c>
      <c r="H50" s="21" t="s">
        <v>249</v>
      </c>
      <c r="I50" s="116" t="s">
        <v>258</v>
      </c>
      <c r="J50" s="132" t="s">
        <v>259</v>
      </c>
      <c r="K50" s="41" t="s">
        <v>68</v>
      </c>
      <c r="L50" s="90">
        <v>45689</v>
      </c>
      <c r="M50" s="11" t="s">
        <v>8</v>
      </c>
      <c r="N50" s="232" t="s">
        <v>32</v>
      </c>
      <c r="O50" s="18">
        <f t="shared" ca="1" si="1"/>
        <v>29</v>
      </c>
      <c r="P50" s="24"/>
      <c r="Q50" s="14"/>
      <c r="R50" s="8"/>
      <c r="S50" s="14"/>
      <c r="T50" s="8"/>
      <c r="U50" s="215"/>
      <c r="V50" s="10"/>
      <c r="W50" s="8"/>
      <c r="X50" s="26"/>
      <c r="Y50" s="39"/>
      <c r="Z50" s="46"/>
      <c r="AA50" s="9"/>
      <c r="AB50" s="40"/>
      <c r="AC50" s="9"/>
      <c r="AD50" s="39"/>
      <c r="AE50" s="26"/>
    </row>
    <row r="51" spans="1:31" s="1" customFormat="1" ht="30" x14ac:dyDescent="0.25">
      <c r="A51" s="160" t="s">
        <v>238</v>
      </c>
      <c r="B51" s="161" t="s">
        <v>234</v>
      </c>
      <c r="C51" s="161" t="s">
        <v>108</v>
      </c>
      <c r="D51" s="179">
        <v>79</v>
      </c>
      <c r="E51" s="167" t="s">
        <v>107</v>
      </c>
      <c r="F51" s="163" t="s">
        <v>149</v>
      </c>
      <c r="G51" s="210">
        <v>92700242</v>
      </c>
      <c r="H51" s="17" t="s">
        <v>288</v>
      </c>
      <c r="I51" s="66" t="s">
        <v>289</v>
      </c>
      <c r="J51" s="221" t="s">
        <v>290</v>
      </c>
      <c r="K51" s="41" t="s">
        <v>68</v>
      </c>
      <c r="L51" s="90">
        <v>45763</v>
      </c>
      <c r="M51" s="11" t="s">
        <v>8</v>
      </c>
      <c r="N51" s="212" t="s">
        <v>32</v>
      </c>
      <c r="O51" s="18">
        <f t="shared" ca="1" si="1"/>
        <v>41</v>
      </c>
      <c r="P51" s="24"/>
      <c r="Q51" s="14"/>
      <c r="R51" s="8"/>
      <c r="S51" s="14"/>
      <c r="T51" s="8"/>
      <c r="U51" s="215"/>
      <c r="V51" s="10"/>
      <c r="W51" s="8"/>
      <c r="X51" s="26"/>
      <c r="Y51" s="39"/>
      <c r="Z51" s="46"/>
      <c r="AA51" s="9"/>
      <c r="AB51" s="40"/>
      <c r="AC51" s="9"/>
      <c r="AD51" s="39"/>
      <c r="AE51" s="26"/>
    </row>
    <row r="52" spans="1:31" s="1" customFormat="1" ht="30" x14ac:dyDescent="0.25">
      <c r="A52" s="160" t="s">
        <v>239</v>
      </c>
      <c r="B52" s="161" t="s">
        <v>235</v>
      </c>
      <c r="C52" s="161" t="s">
        <v>108</v>
      </c>
      <c r="D52" s="22">
        <v>38</v>
      </c>
      <c r="E52" s="167" t="s">
        <v>107</v>
      </c>
      <c r="F52" s="163" t="s">
        <v>153</v>
      </c>
      <c r="G52" s="124">
        <v>92700260</v>
      </c>
      <c r="H52" s="220" t="s">
        <v>342</v>
      </c>
      <c r="I52" s="164" t="s">
        <v>343</v>
      </c>
      <c r="J52" s="165" t="s">
        <v>344</v>
      </c>
      <c r="K52" s="164" t="s">
        <v>68</v>
      </c>
      <c r="L52" s="171">
        <v>45962</v>
      </c>
      <c r="M52" s="6" t="s">
        <v>8</v>
      </c>
      <c r="N52" s="265" t="s">
        <v>32</v>
      </c>
      <c r="O52" s="53">
        <f ca="1">DATEDIF(DATE(IF(MID($J52,5,2)+2000&gt;YEAR(TODAY()),MID($J52,5,2)+1900,MID($J52,5,2)+2000),MID($J52,7,2),MID($J52,9,2)),TODAY(),"y")</f>
        <v>64</v>
      </c>
      <c r="P52" s="24"/>
      <c r="Q52" s="14"/>
      <c r="R52" s="54"/>
      <c r="S52" s="14"/>
      <c r="T52" s="8"/>
      <c r="U52" s="215"/>
      <c r="V52" s="10"/>
      <c r="W52" s="8"/>
      <c r="X52" s="26"/>
      <c r="Y52" s="39"/>
      <c r="Z52" s="46"/>
      <c r="AA52" s="9"/>
      <c r="AB52" s="40"/>
      <c r="AC52" s="9"/>
      <c r="AD52" s="39"/>
      <c r="AE52" s="26"/>
    </row>
    <row r="53" spans="1:31" s="1" customFormat="1" ht="30" customHeight="1" x14ac:dyDescent="0.25">
      <c r="A53" s="160" t="s">
        <v>240</v>
      </c>
      <c r="B53" s="161" t="s">
        <v>189</v>
      </c>
      <c r="C53" s="161" t="s">
        <v>108</v>
      </c>
      <c r="D53" s="22">
        <v>1</v>
      </c>
      <c r="E53" s="167" t="s">
        <v>107</v>
      </c>
      <c r="F53" s="168" t="s">
        <v>113</v>
      </c>
      <c r="G53" s="118">
        <v>92700225</v>
      </c>
      <c r="H53" s="17" t="s">
        <v>192</v>
      </c>
      <c r="I53" s="12" t="s">
        <v>260</v>
      </c>
      <c r="J53" s="7" t="s">
        <v>261</v>
      </c>
      <c r="K53" s="41" t="s">
        <v>68</v>
      </c>
      <c r="L53" s="90">
        <v>45658</v>
      </c>
      <c r="M53" s="6" t="s">
        <v>8</v>
      </c>
      <c r="N53" s="128" t="s">
        <v>32</v>
      </c>
      <c r="O53" s="18">
        <f ca="1">DATEDIF(DATE(IF(MID($J53,5,2)+2000&gt;YEAR(TODAY()),MID($J53,5,2)+1900,MID($J53,5,2)+2000),MID($J53,7,2),MID($J53,9,2)),TODAY(),"y")</f>
        <v>42</v>
      </c>
      <c r="P53" s="24"/>
      <c r="Q53" s="14"/>
      <c r="R53" s="14"/>
      <c r="S53" s="14"/>
      <c r="T53" s="8"/>
      <c r="U53" s="215"/>
      <c r="V53" s="10"/>
      <c r="W53" s="8"/>
      <c r="X53" s="26"/>
      <c r="Y53" s="39"/>
      <c r="Z53" s="46"/>
      <c r="AA53" s="9"/>
      <c r="AB53" s="40"/>
      <c r="AC53" s="9"/>
      <c r="AD53" s="39"/>
      <c r="AE53" s="26"/>
    </row>
    <row r="54" spans="1:31" s="1" customFormat="1" ht="30" customHeight="1" x14ac:dyDescent="0.25">
      <c r="A54" s="160" t="s">
        <v>241</v>
      </c>
      <c r="B54" s="161" t="s">
        <v>185</v>
      </c>
      <c r="C54" s="161" t="s">
        <v>108</v>
      </c>
      <c r="D54" s="22">
        <v>9</v>
      </c>
      <c r="E54" s="167" t="s">
        <v>107</v>
      </c>
      <c r="F54" s="172" t="s">
        <v>152</v>
      </c>
      <c r="G54" s="118">
        <v>84662</v>
      </c>
      <c r="H54" s="17" t="s">
        <v>294</v>
      </c>
      <c r="I54" s="203" t="s">
        <v>295</v>
      </c>
      <c r="J54" s="204" t="s">
        <v>296</v>
      </c>
      <c r="K54" s="41" t="s">
        <v>68</v>
      </c>
      <c r="L54" s="90">
        <v>45778</v>
      </c>
      <c r="M54" s="6" t="s">
        <v>8</v>
      </c>
      <c r="N54" s="51" t="s">
        <v>7</v>
      </c>
      <c r="O54" s="18">
        <f t="shared" ca="1" si="1"/>
        <v>43</v>
      </c>
      <c r="P54" s="24"/>
      <c r="Q54" s="14"/>
      <c r="R54" s="13"/>
      <c r="S54" s="14"/>
      <c r="T54" s="8"/>
      <c r="U54" s="215"/>
      <c r="V54" s="10"/>
      <c r="W54" s="8"/>
      <c r="X54" s="26"/>
      <c r="Y54" s="39"/>
      <c r="Z54" s="46"/>
      <c r="AA54" s="9"/>
      <c r="AB54" s="40"/>
      <c r="AC54" s="9"/>
      <c r="AD54" s="39"/>
      <c r="AE54" s="26"/>
    </row>
    <row r="55" spans="1:31" s="1" customFormat="1" ht="30" x14ac:dyDescent="0.25">
      <c r="A55" s="160" t="s">
        <v>242</v>
      </c>
      <c r="B55" s="161" t="s">
        <v>186</v>
      </c>
      <c r="C55" s="161" t="s">
        <v>108</v>
      </c>
      <c r="D55" s="22">
        <v>62</v>
      </c>
      <c r="E55" s="167" t="s">
        <v>107</v>
      </c>
      <c r="F55" s="163" t="s">
        <v>151</v>
      </c>
      <c r="G55" s="118">
        <v>92700247</v>
      </c>
      <c r="H55" s="21" t="s">
        <v>304</v>
      </c>
      <c r="I55" s="147" t="s">
        <v>305</v>
      </c>
      <c r="J55" s="148" t="s">
        <v>306</v>
      </c>
      <c r="K55" s="41" t="s">
        <v>68</v>
      </c>
      <c r="L55" s="90">
        <v>45793</v>
      </c>
      <c r="M55" s="52" t="s">
        <v>85</v>
      </c>
      <c r="N55" s="232" t="s">
        <v>7</v>
      </c>
      <c r="O55" s="53">
        <f t="shared" ca="1" si="1"/>
        <v>26</v>
      </c>
      <c r="P55" s="24"/>
      <c r="Q55" s="14"/>
      <c r="R55" s="54"/>
      <c r="S55" s="14"/>
      <c r="T55" s="8"/>
      <c r="U55" s="215"/>
      <c r="V55" s="10"/>
      <c r="W55" s="8"/>
      <c r="X55" s="26"/>
      <c r="Y55" s="39"/>
      <c r="Z55" s="46"/>
      <c r="AA55" s="9"/>
      <c r="AB55" s="40"/>
      <c r="AC55" s="9"/>
      <c r="AD55" s="39"/>
      <c r="AE55" s="26"/>
    </row>
    <row r="56" spans="1:31" ht="30" x14ac:dyDescent="0.25">
      <c r="A56" s="160" t="s">
        <v>243</v>
      </c>
      <c r="B56" s="161" t="s">
        <v>195</v>
      </c>
      <c r="C56" s="161" t="s">
        <v>108</v>
      </c>
      <c r="D56" s="22">
        <v>80</v>
      </c>
      <c r="E56" s="167" t="s">
        <v>107</v>
      </c>
      <c r="F56" s="163" t="s">
        <v>154</v>
      </c>
      <c r="G56" s="118"/>
      <c r="H56" s="236" t="s">
        <v>252</v>
      </c>
      <c r="I56" s="222"/>
      <c r="J56" s="223"/>
      <c r="K56" s="41" t="s">
        <v>68</v>
      </c>
      <c r="L56" s="90"/>
      <c r="M56" s="6" t="s">
        <v>8</v>
      </c>
      <c r="N56" s="232"/>
      <c r="O56" s="18" t="e">
        <f t="shared" ca="1" si="1"/>
        <v>#VALUE!</v>
      </c>
      <c r="P56" s="24"/>
      <c r="Q56" s="14"/>
      <c r="R56" s="8"/>
      <c r="S56" s="14"/>
      <c r="T56" s="8"/>
      <c r="U56" s="215"/>
      <c r="V56" s="10"/>
      <c r="W56" s="8"/>
      <c r="X56" s="26"/>
      <c r="Y56" s="39"/>
      <c r="Z56" s="46"/>
      <c r="AA56" s="9"/>
      <c r="AB56" s="40"/>
      <c r="AC56" s="9"/>
      <c r="AD56" s="39"/>
      <c r="AE56" s="26"/>
    </row>
    <row r="57" spans="1:31" x14ac:dyDescent="0.25">
      <c r="S57" s="16"/>
      <c r="U57" s="215">
        <f t="shared" ref="U57" si="10">Q57+R57+S57</f>
        <v>0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>
    <pageSetUpPr fitToPage="1"/>
  </sheetPr>
  <dimension ref="A1:AJ57"/>
  <sheetViews>
    <sheetView showGridLines="0" zoomScaleNormal="100" workbookViewId="0">
      <pane xSplit="1" ySplit="4" topLeftCell="O5" activePane="bottomRight" state="frozen"/>
      <selection pane="topRight" activeCell="B1" sqref="B1"/>
      <selection pane="bottomLeft" activeCell="A5" sqref="A5"/>
      <selection pane="bottomRight" activeCell="Z7" sqref="Z7"/>
    </sheetView>
  </sheetViews>
  <sheetFormatPr baseColWidth="10" defaultColWidth="11.42578125" defaultRowHeight="15" x14ac:dyDescent="0.25"/>
  <cols>
    <col min="1" max="1" width="9.140625" style="44" customWidth="1"/>
    <col min="2" max="2" width="20.85546875" style="29" customWidth="1"/>
    <col min="3" max="3" width="21.425781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2.140625" style="34" customWidth="1"/>
    <col min="9" max="9" width="21.5703125" style="4" customWidth="1"/>
    <col min="10" max="10" width="16.42578125" style="4" customWidth="1"/>
    <col min="11" max="11" width="8.42578125" style="4" customWidth="1"/>
    <col min="12" max="12" width="10.42578125" style="2" customWidth="1"/>
    <col min="13" max="13" width="3.7109375" style="2" customWidth="1"/>
    <col min="14" max="14" width="5.28515625" style="2" customWidth="1"/>
    <col min="15" max="15" width="14.85546875" style="1" customWidth="1"/>
    <col min="16" max="16" width="8.7109375" style="102" customWidth="1"/>
    <col min="17" max="17" width="11.7109375" style="102" customWidth="1"/>
    <col min="18" max="20" width="10.7109375" style="2" customWidth="1"/>
    <col min="21" max="21" width="10.7109375" style="49" customWidth="1"/>
    <col min="22" max="24" width="10.7109375" style="2" customWidth="1"/>
    <col min="25" max="25" width="12.7109375" style="2" customWidth="1"/>
    <col min="26" max="26" width="10.7109375" style="2" customWidth="1"/>
    <col min="27" max="27" width="11.5703125" style="2" customWidth="1"/>
    <col min="28" max="28" width="10.7109375" style="2" customWidth="1"/>
    <col min="29" max="29" width="11.28515625" style="2" customWidth="1"/>
    <col min="30" max="30" width="13.5703125" style="2" customWidth="1"/>
    <col min="31" max="31" width="9.140625" style="2" customWidth="1"/>
    <col min="32" max="33" width="10.7109375" style="2" customWidth="1"/>
    <col min="34" max="34" width="10.85546875" style="5" customWidth="1"/>
    <col min="35" max="35" width="11.28515625" style="5" customWidth="1"/>
    <col min="36" max="36" width="12.7109375" style="2" customWidth="1"/>
    <col min="37" max="16384" width="11.42578125" style="2"/>
  </cols>
  <sheetData>
    <row r="1" spans="1:36" s="28" customFormat="1" ht="13.5" thickBot="1" x14ac:dyDescent="0.3">
      <c r="A1" s="42"/>
      <c r="B1" s="29"/>
      <c r="C1" s="29"/>
      <c r="F1" s="33"/>
      <c r="G1" s="55"/>
      <c r="H1" s="33"/>
      <c r="I1" s="27"/>
      <c r="J1" s="27"/>
      <c r="K1" s="27"/>
      <c r="O1" s="30"/>
      <c r="P1" s="99"/>
      <c r="Q1" s="99"/>
      <c r="AH1" s="31"/>
      <c r="AI1" s="31"/>
    </row>
    <row r="2" spans="1:36" s="28" customFormat="1" ht="13.5" thickBot="1" x14ac:dyDescent="0.3">
      <c r="A2" s="42"/>
      <c r="B2" s="29"/>
      <c r="C2" s="29"/>
      <c r="D2" s="30"/>
      <c r="F2" s="33"/>
      <c r="G2" s="55"/>
      <c r="H2" s="33"/>
      <c r="I2" s="27"/>
      <c r="J2" s="27"/>
      <c r="K2" s="27"/>
      <c r="L2" s="32"/>
      <c r="O2" s="30"/>
      <c r="P2" s="87" t="s">
        <v>78</v>
      </c>
      <c r="Q2" s="82">
        <f t="shared" ref="Q2:W2" si="0">SUBTOTAL(9,Q5:Q56)</f>
        <v>39409.950000000004</v>
      </c>
      <c r="R2" s="82">
        <f t="shared" si="0"/>
        <v>78819.900000000009</v>
      </c>
      <c r="S2" s="82">
        <f t="shared" si="0"/>
        <v>987</v>
      </c>
      <c r="T2" s="82">
        <f t="shared" si="0"/>
        <v>1974</v>
      </c>
      <c r="U2" s="82">
        <f>SUBTOTAL(9,U5:U56)</f>
        <v>60798</v>
      </c>
      <c r="V2" s="82">
        <f t="shared" si="0"/>
        <v>121596</v>
      </c>
      <c r="W2" s="82">
        <f t="shared" si="0"/>
        <v>0</v>
      </c>
      <c r="X2" s="82">
        <f>SUBTOTAL(9,X5:X55)</f>
        <v>19641.740000000002</v>
      </c>
      <c r="Y2" s="82">
        <f>SUBTOTAL(9,Y5:Y56)</f>
        <v>101194.95</v>
      </c>
      <c r="Z2" s="82">
        <f t="shared" ref="Z2:AF2" si="1">SUBTOTAL(9,Z5:Z56)</f>
        <v>0</v>
      </c>
      <c r="AA2" s="82">
        <f>SUBTOTAL(9,AA5:AA56)</f>
        <v>5148.0751</v>
      </c>
      <c r="AB2" s="82">
        <f>SUBTOTAL(9,AB5:AB56)</f>
        <v>0</v>
      </c>
      <c r="AC2" s="82">
        <f t="shared" si="1"/>
        <v>5148.0751</v>
      </c>
      <c r="AD2" s="82">
        <f t="shared" si="1"/>
        <v>96046.87490000001</v>
      </c>
      <c r="AE2" s="82"/>
      <c r="AF2" s="82">
        <f t="shared" si="1"/>
        <v>10296.1502</v>
      </c>
      <c r="AG2" s="82">
        <f>SUBTOTAL(9,AG5:AG56)</f>
        <v>788.19899999999996</v>
      </c>
      <c r="AH2" s="82">
        <f>SUBTOTAL(9,AH5:AH56)</f>
        <v>3035.8484999999996</v>
      </c>
      <c r="AI2" s="82">
        <f>SUBTOTAL(9,AI5:AI56)</f>
        <v>14120.197700000002</v>
      </c>
      <c r="AJ2" s="82">
        <f>SUBTOTAL(9,AJ5:AJ56)</f>
        <v>115315.1477</v>
      </c>
    </row>
    <row r="3" spans="1:36" ht="15.75" thickBot="1" x14ac:dyDescent="0.3">
      <c r="A3" s="43"/>
      <c r="D3" s="81"/>
      <c r="K3" s="89"/>
      <c r="L3" s="131">
        <v>2025</v>
      </c>
      <c r="M3" s="86"/>
      <c r="P3" s="100"/>
      <c r="Q3" s="152" t="s">
        <v>267</v>
      </c>
      <c r="R3" s="153"/>
      <c r="S3" s="153" t="s">
        <v>272</v>
      </c>
      <c r="T3" s="88"/>
      <c r="U3" s="153" t="s">
        <v>268</v>
      </c>
      <c r="V3" s="88"/>
      <c r="W3" s="88"/>
      <c r="X3" s="88"/>
      <c r="Y3" s="83"/>
      <c r="Z3" s="83"/>
      <c r="AA3" s="83"/>
      <c r="AB3" s="83"/>
      <c r="AC3" s="83"/>
      <c r="AD3" s="83"/>
      <c r="AE3" s="83"/>
      <c r="AF3" s="154" t="s">
        <v>269</v>
      </c>
      <c r="AG3" s="154" t="s">
        <v>270</v>
      </c>
      <c r="AH3" s="154" t="s">
        <v>271</v>
      </c>
      <c r="AI3" s="84"/>
      <c r="AJ3" s="85"/>
    </row>
    <row r="4" spans="1:36" s="19" customFormat="1" ht="37.15" customHeight="1" x14ac:dyDescent="0.25">
      <c r="A4" s="68" t="s">
        <v>79</v>
      </c>
      <c r="B4" s="69" t="s">
        <v>26</v>
      </c>
      <c r="C4" s="70" t="s">
        <v>17</v>
      </c>
      <c r="D4" s="71" t="s">
        <v>16</v>
      </c>
      <c r="E4" s="72" t="s">
        <v>0</v>
      </c>
      <c r="F4" s="73" t="s">
        <v>67</v>
      </c>
      <c r="G4" s="74" t="s">
        <v>1</v>
      </c>
      <c r="H4" s="75" t="s">
        <v>2</v>
      </c>
      <c r="I4" s="72" t="s">
        <v>4</v>
      </c>
      <c r="J4" s="72" t="s">
        <v>3</v>
      </c>
      <c r="K4" s="76" t="s">
        <v>56</v>
      </c>
      <c r="L4" s="76" t="s">
        <v>231</v>
      </c>
      <c r="M4" s="77" t="s">
        <v>5</v>
      </c>
      <c r="N4" s="72" t="s">
        <v>6</v>
      </c>
      <c r="O4" s="75" t="s">
        <v>39</v>
      </c>
      <c r="P4" s="115" t="s">
        <v>57</v>
      </c>
      <c r="Q4" s="101" t="s">
        <v>58</v>
      </c>
      <c r="R4" s="79" t="s">
        <v>70</v>
      </c>
      <c r="S4" s="78" t="s">
        <v>72</v>
      </c>
      <c r="T4" s="79" t="s">
        <v>71</v>
      </c>
      <c r="U4" s="78" t="s">
        <v>73</v>
      </c>
      <c r="V4" s="79" t="s">
        <v>74</v>
      </c>
      <c r="W4" s="78" t="s">
        <v>75</v>
      </c>
      <c r="X4" s="79" t="s">
        <v>76</v>
      </c>
      <c r="Y4" s="76" t="s">
        <v>110</v>
      </c>
      <c r="Z4" s="76" t="s">
        <v>103</v>
      </c>
      <c r="AA4" s="76" t="s">
        <v>102</v>
      </c>
      <c r="AB4" s="76" t="s">
        <v>106</v>
      </c>
      <c r="AC4" s="76" t="s">
        <v>81</v>
      </c>
      <c r="AD4" s="208" t="s">
        <v>77</v>
      </c>
      <c r="AE4" s="75" t="s">
        <v>91</v>
      </c>
      <c r="AF4" s="76" t="s">
        <v>101</v>
      </c>
      <c r="AG4" s="76" t="s">
        <v>104</v>
      </c>
      <c r="AH4" s="76" t="s">
        <v>80</v>
      </c>
      <c r="AI4" s="76" t="s">
        <v>105</v>
      </c>
      <c r="AJ4" s="76" t="s">
        <v>92</v>
      </c>
    </row>
    <row r="5" spans="1:36" s="1" customFormat="1" ht="30" customHeight="1" x14ac:dyDescent="0.25">
      <c r="A5" s="137" t="s">
        <v>93</v>
      </c>
      <c r="B5" s="138" t="s">
        <v>59</v>
      </c>
      <c r="C5" s="111" t="s">
        <v>12</v>
      </c>
      <c r="D5" s="22">
        <v>11</v>
      </c>
      <c r="E5" s="139" t="s">
        <v>14</v>
      </c>
      <c r="F5" s="35" t="s">
        <v>111</v>
      </c>
      <c r="G5" s="118">
        <v>92700199</v>
      </c>
      <c r="H5" s="60" t="s">
        <v>163</v>
      </c>
      <c r="I5" s="119" t="s">
        <v>164</v>
      </c>
      <c r="J5" s="97" t="s">
        <v>230</v>
      </c>
      <c r="K5" s="41" t="s">
        <v>68</v>
      </c>
      <c r="L5" s="47">
        <v>45640</v>
      </c>
      <c r="M5" s="6" t="s">
        <v>8</v>
      </c>
      <c r="N5" s="146" t="s">
        <v>32</v>
      </c>
      <c r="O5" s="18">
        <f t="shared" ref="O5:O56" ca="1" si="2">DATEDIF(DATE(IF(MID($J5,5,2)+2000&gt;YEAR(TODAY()),MID($J5,5,2)+1900,MID($J5,5,2)+2000),MID($J5,7,2),MID($J5,9,2)),TODAY(),"y")</f>
        <v>42</v>
      </c>
      <c r="P5" s="24">
        <f>R5/30</f>
        <v>734.99</v>
      </c>
      <c r="Q5" s="8">
        <f>R5/2</f>
        <v>11024.85</v>
      </c>
      <c r="R5" s="8">
        <v>22049.7</v>
      </c>
      <c r="S5" s="8">
        <f>T5/2</f>
        <v>135</v>
      </c>
      <c r="T5" s="8">
        <v>270</v>
      </c>
      <c r="U5" s="48">
        <f>V5/2</f>
        <v>19590</v>
      </c>
      <c r="V5" s="8">
        <v>39180</v>
      </c>
      <c r="W5" s="8"/>
      <c r="X5" s="8">
        <v>19641.740000000002</v>
      </c>
      <c r="Y5" s="50">
        <f t="shared" ref="Y5:Y11" si="3">Q5+S5+U5</f>
        <v>30749.85</v>
      </c>
      <c r="Z5" s="217">
        <f>ENE!V5/2</f>
        <v>0</v>
      </c>
      <c r="AA5" s="8">
        <f>Q5*13%</f>
        <v>1433.2305000000001</v>
      </c>
      <c r="AB5" s="8"/>
      <c r="AC5" s="25">
        <f t="shared" ref="AC5:AC11" si="4">SUM(Z5:AB5)</f>
        <v>1433.2305000000001</v>
      </c>
      <c r="AD5" s="39">
        <f t="shared" ref="AD5:AD11" si="5">Y5-AC5</f>
        <v>29316.619499999997</v>
      </c>
      <c r="AE5" s="218">
        <v>0.26</v>
      </c>
      <c r="AF5" s="9">
        <f>Q5*AE5</f>
        <v>2866.4610000000002</v>
      </c>
      <c r="AG5" s="40">
        <f t="shared" ref="AG5:AG11" si="6">Q5*2%</f>
        <v>220.49700000000001</v>
      </c>
      <c r="AH5" s="9">
        <f t="shared" ref="AH5:AH11" si="7">Y5*3%</f>
        <v>922.49549999999988</v>
      </c>
      <c r="AI5" s="39">
        <f>SUM(AF5+AG5+AH5)</f>
        <v>4009.4535000000001</v>
      </c>
      <c r="AJ5" s="26">
        <f t="shared" ref="AJ5:AJ11" si="8">Y5+AI5</f>
        <v>34759.303500000002</v>
      </c>
    </row>
    <row r="6" spans="1:36" s="1" customFormat="1" ht="30" customHeight="1" x14ac:dyDescent="0.25">
      <c r="A6" s="137">
        <v>167</v>
      </c>
      <c r="B6" s="138" t="s">
        <v>162</v>
      </c>
      <c r="C6" s="138" t="s">
        <v>13</v>
      </c>
      <c r="D6" s="22">
        <v>13</v>
      </c>
      <c r="E6" s="140" t="s">
        <v>9</v>
      </c>
      <c r="F6" s="36" t="s">
        <v>112</v>
      </c>
      <c r="G6" s="124" t="s">
        <v>216</v>
      </c>
      <c r="H6" s="21" t="s">
        <v>194</v>
      </c>
      <c r="I6" s="198" t="s">
        <v>214</v>
      </c>
      <c r="J6" s="198" t="s">
        <v>215</v>
      </c>
      <c r="K6" s="155" t="s">
        <v>68</v>
      </c>
      <c r="L6" s="47">
        <v>45658</v>
      </c>
      <c r="M6" s="23" t="s">
        <v>8</v>
      </c>
      <c r="N6" s="134" t="s">
        <v>32</v>
      </c>
      <c r="O6" s="18">
        <f t="shared" ca="1" si="2"/>
        <v>28</v>
      </c>
      <c r="P6" s="214">
        <f t="shared" ref="P6:P11" si="9">R6/30</f>
        <v>280.76</v>
      </c>
      <c r="Q6" s="8">
        <f t="shared" ref="Q6:Q11" si="10">R6/2</f>
        <v>4211.3999999999996</v>
      </c>
      <c r="R6" s="14">
        <v>8422.7999999999993</v>
      </c>
      <c r="S6" s="8">
        <f t="shared" ref="S6:S11" si="11">T6/2</f>
        <v>142</v>
      </c>
      <c r="T6" s="14">
        <v>284</v>
      </c>
      <c r="U6" s="48">
        <f t="shared" ref="U6:U11" si="12">V6/2</f>
        <v>5500</v>
      </c>
      <c r="V6" s="14">
        <v>11000</v>
      </c>
      <c r="W6" s="8"/>
      <c r="X6" s="8"/>
      <c r="Y6" s="50">
        <f t="shared" si="3"/>
        <v>9853.4</v>
      </c>
      <c r="Z6" s="217">
        <f>ENE!V6/2</f>
        <v>0</v>
      </c>
      <c r="AA6" s="8">
        <v>550.91</v>
      </c>
      <c r="AB6" s="8"/>
      <c r="AC6" s="25">
        <f t="shared" si="4"/>
        <v>550.91</v>
      </c>
      <c r="AD6" s="39">
        <f t="shared" si="5"/>
        <v>9302.49</v>
      </c>
      <c r="AE6" s="218">
        <v>0.26</v>
      </c>
      <c r="AF6" s="9">
        <v>1101.82</v>
      </c>
      <c r="AG6" s="40">
        <f t="shared" si="6"/>
        <v>84.227999999999994</v>
      </c>
      <c r="AH6" s="9">
        <f t="shared" si="7"/>
        <v>295.60199999999998</v>
      </c>
      <c r="AI6" s="39">
        <f t="shared" ref="AI6:AI11" si="13">SUM(AF6+AG6+AH6)</f>
        <v>1481.65</v>
      </c>
      <c r="AJ6" s="26">
        <f t="shared" si="8"/>
        <v>11335.05</v>
      </c>
    </row>
    <row r="7" spans="1:36" s="1" customFormat="1" ht="30" customHeight="1" x14ac:dyDescent="0.25">
      <c r="A7" s="137">
        <v>167</v>
      </c>
      <c r="B7" s="138" t="s">
        <v>162</v>
      </c>
      <c r="C7" s="151" t="s">
        <v>13</v>
      </c>
      <c r="D7" s="22">
        <v>73</v>
      </c>
      <c r="E7" s="140" t="s">
        <v>9</v>
      </c>
      <c r="F7" s="36" t="s">
        <v>150</v>
      </c>
      <c r="G7" s="124"/>
      <c r="H7" s="220" t="s">
        <v>252</v>
      </c>
      <c r="I7" s="185"/>
      <c r="J7" s="186"/>
      <c r="K7" s="155"/>
      <c r="L7" s="150"/>
      <c r="M7" s="6" t="s">
        <v>8</v>
      </c>
      <c r="N7" s="134"/>
      <c r="O7" s="18" t="e">
        <f t="shared" ca="1" si="2"/>
        <v>#VALUE!</v>
      </c>
      <c r="P7" s="214">
        <f t="shared" si="9"/>
        <v>280.76</v>
      </c>
      <c r="Q7" s="8">
        <f t="shared" si="10"/>
        <v>4211.3999999999996</v>
      </c>
      <c r="R7" s="14">
        <v>8422.7999999999993</v>
      </c>
      <c r="S7" s="8">
        <f t="shared" si="11"/>
        <v>142</v>
      </c>
      <c r="T7" s="14">
        <v>284</v>
      </c>
      <c r="U7" s="48">
        <f t="shared" si="12"/>
        <v>5500</v>
      </c>
      <c r="V7" s="14">
        <v>11000</v>
      </c>
      <c r="W7" s="8"/>
      <c r="X7" s="8"/>
      <c r="Y7" s="50">
        <f t="shared" si="3"/>
        <v>9853.4</v>
      </c>
      <c r="Z7" s="217">
        <f>ENE!V7/2</f>
        <v>0</v>
      </c>
      <c r="AA7" s="8">
        <v>550.91</v>
      </c>
      <c r="AB7" s="8"/>
      <c r="AC7" s="25">
        <f t="shared" si="4"/>
        <v>550.91</v>
      </c>
      <c r="AD7" s="39">
        <f t="shared" si="5"/>
        <v>9302.49</v>
      </c>
      <c r="AE7" s="218">
        <v>0.26</v>
      </c>
      <c r="AF7" s="9">
        <v>1101.82</v>
      </c>
      <c r="AG7" s="40">
        <f t="shared" si="6"/>
        <v>84.227999999999994</v>
      </c>
      <c r="AH7" s="9">
        <f t="shared" si="7"/>
        <v>295.60199999999998</v>
      </c>
      <c r="AI7" s="39">
        <f t="shared" si="13"/>
        <v>1481.65</v>
      </c>
      <c r="AJ7" s="26">
        <f t="shared" si="8"/>
        <v>11335.05</v>
      </c>
    </row>
    <row r="8" spans="1:36" s="1" customFormat="1" ht="30" customHeight="1" x14ac:dyDescent="0.25">
      <c r="A8" s="137">
        <v>167</v>
      </c>
      <c r="B8" s="138" t="s">
        <v>162</v>
      </c>
      <c r="C8" s="138" t="s">
        <v>108</v>
      </c>
      <c r="D8" s="22">
        <v>14</v>
      </c>
      <c r="E8" s="140" t="s">
        <v>107</v>
      </c>
      <c r="F8" s="103" t="s">
        <v>114</v>
      </c>
      <c r="G8" s="124">
        <v>92700237</v>
      </c>
      <c r="H8" s="21" t="s">
        <v>274</v>
      </c>
      <c r="I8" s="176" t="s">
        <v>276</v>
      </c>
      <c r="J8" s="177" t="s">
        <v>277</v>
      </c>
      <c r="K8" s="164" t="s">
        <v>68</v>
      </c>
      <c r="L8" s="171">
        <v>45717</v>
      </c>
      <c r="M8" s="6" t="s">
        <v>8</v>
      </c>
      <c r="N8" s="110" t="s">
        <v>32</v>
      </c>
      <c r="O8" s="18">
        <f t="shared" ca="1" si="2"/>
        <v>30</v>
      </c>
      <c r="P8" s="24">
        <f t="shared" si="9"/>
        <v>278.8</v>
      </c>
      <c r="Q8" s="8">
        <f t="shared" si="10"/>
        <v>4182</v>
      </c>
      <c r="R8" s="14">
        <v>8364</v>
      </c>
      <c r="S8" s="8">
        <f t="shared" si="11"/>
        <v>142</v>
      </c>
      <c r="T8" s="8">
        <v>284</v>
      </c>
      <c r="U8" s="48">
        <f t="shared" si="12"/>
        <v>3008</v>
      </c>
      <c r="V8" s="8">
        <v>6016</v>
      </c>
      <c r="W8" s="8"/>
      <c r="X8" s="8"/>
      <c r="Y8" s="50">
        <f t="shared" si="3"/>
        <v>7332</v>
      </c>
      <c r="Z8" s="217">
        <f>ENE!V8/2</f>
        <v>0</v>
      </c>
      <c r="AA8" s="8">
        <f>(P8*15.2)*13%</f>
        <v>550.90880000000004</v>
      </c>
      <c r="AB8" s="8"/>
      <c r="AC8" s="25">
        <f t="shared" si="4"/>
        <v>550.90880000000004</v>
      </c>
      <c r="AD8" s="39">
        <f t="shared" si="5"/>
        <v>6781.0911999999998</v>
      </c>
      <c r="AE8" s="218">
        <v>0.26</v>
      </c>
      <c r="AF8" s="9">
        <f>(P8*15.2)*AE8</f>
        <v>1101.8176000000001</v>
      </c>
      <c r="AG8" s="40">
        <f t="shared" si="6"/>
        <v>83.64</v>
      </c>
      <c r="AH8" s="9">
        <f t="shared" si="7"/>
        <v>219.95999999999998</v>
      </c>
      <c r="AI8" s="39">
        <f t="shared" si="13"/>
        <v>1405.4176000000002</v>
      </c>
      <c r="AJ8" s="26">
        <f t="shared" si="8"/>
        <v>8737.4176000000007</v>
      </c>
    </row>
    <row r="9" spans="1:36" s="1" customFormat="1" ht="30" customHeight="1" x14ac:dyDescent="0.25">
      <c r="A9" s="137">
        <v>168</v>
      </c>
      <c r="B9" s="138" t="s">
        <v>40</v>
      </c>
      <c r="C9" s="111" t="s">
        <v>33</v>
      </c>
      <c r="D9" s="22">
        <v>15</v>
      </c>
      <c r="E9" s="140" t="s">
        <v>10</v>
      </c>
      <c r="F9" s="104" t="s">
        <v>115</v>
      </c>
      <c r="G9" s="181">
        <v>92700204</v>
      </c>
      <c r="H9" s="60" t="s">
        <v>176</v>
      </c>
      <c r="I9" s="182" t="s">
        <v>204</v>
      </c>
      <c r="J9" s="183" t="s">
        <v>205</v>
      </c>
      <c r="K9" s="155" t="s">
        <v>68</v>
      </c>
      <c r="L9" s="47">
        <v>45658</v>
      </c>
      <c r="M9" s="11" t="s">
        <v>8</v>
      </c>
      <c r="N9" s="134" t="s">
        <v>7</v>
      </c>
      <c r="O9" s="18">
        <f t="shared" ca="1" si="2"/>
        <v>46</v>
      </c>
      <c r="P9" s="24">
        <f t="shared" si="9"/>
        <v>492.46</v>
      </c>
      <c r="Q9" s="8">
        <f t="shared" si="10"/>
        <v>7386.9</v>
      </c>
      <c r="R9" s="14">
        <v>14773.8</v>
      </c>
      <c r="S9" s="8">
        <f t="shared" si="11"/>
        <v>142</v>
      </c>
      <c r="T9" s="14">
        <v>284</v>
      </c>
      <c r="U9" s="48">
        <f t="shared" si="12"/>
        <v>13200</v>
      </c>
      <c r="V9" s="14">
        <v>26400</v>
      </c>
      <c r="W9" s="8"/>
      <c r="X9" s="8"/>
      <c r="Y9" s="50">
        <f t="shared" si="3"/>
        <v>20728.900000000001</v>
      </c>
      <c r="Z9" s="217">
        <f>ENE!V9/2</f>
        <v>0</v>
      </c>
      <c r="AA9" s="8">
        <f>Q9*13%</f>
        <v>960.29700000000003</v>
      </c>
      <c r="AB9" s="8"/>
      <c r="AC9" s="25">
        <f t="shared" si="4"/>
        <v>960.29700000000003</v>
      </c>
      <c r="AD9" s="39">
        <f t="shared" si="5"/>
        <v>19768.603000000003</v>
      </c>
      <c r="AE9" s="218">
        <v>0.26</v>
      </c>
      <c r="AF9" s="9">
        <f>Q9*AE9</f>
        <v>1920.5940000000001</v>
      </c>
      <c r="AG9" s="40">
        <f t="shared" si="6"/>
        <v>147.738</v>
      </c>
      <c r="AH9" s="9">
        <f t="shared" si="7"/>
        <v>621.86700000000008</v>
      </c>
      <c r="AI9" s="39">
        <f t="shared" si="13"/>
        <v>2690.1990000000001</v>
      </c>
      <c r="AJ9" s="26">
        <f t="shared" si="8"/>
        <v>23419.099000000002</v>
      </c>
    </row>
    <row r="10" spans="1:36" s="1" customFormat="1" ht="30" customHeight="1" x14ac:dyDescent="0.25">
      <c r="A10" s="137" t="s">
        <v>97</v>
      </c>
      <c r="B10" s="138" t="s">
        <v>40</v>
      </c>
      <c r="C10" s="138" t="s">
        <v>108</v>
      </c>
      <c r="D10" s="22">
        <v>12</v>
      </c>
      <c r="E10" s="139" t="s">
        <v>107</v>
      </c>
      <c r="F10" s="105" t="s">
        <v>116</v>
      </c>
      <c r="G10" s="118" t="s">
        <v>285</v>
      </c>
      <c r="H10" s="216" t="s">
        <v>281</v>
      </c>
      <c r="I10" s="12" t="s">
        <v>286</v>
      </c>
      <c r="J10" s="7" t="s">
        <v>287</v>
      </c>
      <c r="K10" s="41" t="s">
        <v>68</v>
      </c>
      <c r="L10" s="47">
        <v>45748</v>
      </c>
      <c r="M10" s="108" t="s">
        <v>8</v>
      </c>
      <c r="N10" s="212" t="s">
        <v>32</v>
      </c>
      <c r="O10" s="18">
        <f ca="1">DATEDIF(DATE(IF(MID($J10,5,2)+2000&gt;YEAR(TODAY()),MID($J10,5,2)+1900,MID($J10,5,2)+2000),MID($J10,7,2),MID($J10,9,2)),TODAY(),"y")</f>
        <v>32</v>
      </c>
      <c r="P10" s="24">
        <v>278.8</v>
      </c>
      <c r="Q10" s="8">
        <f t="shared" si="10"/>
        <v>4182</v>
      </c>
      <c r="R10" s="14">
        <v>8364</v>
      </c>
      <c r="S10" s="8">
        <f t="shared" si="11"/>
        <v>142</v>
      </c>
      <c r="T10" s="14">
        <v>284</v>
      </c>
      <c r="U10" s="48">
        <f t="shared" si="12"/>
        <v>5000</v>
      </c>
      <c r="V10" s="8">
        <v>10000</v>
      </c>
      <c r="W10" s="8"/>
      <c r="X10" s="8"/>
      <c r="Y10" s="50">
        <f t="shared" si="3"/>
        <v>9324</v>
      </c>
      <c r="Z10" s="217">
        <f>ENE!V10/2</f>
        <v>0</v>
      </c>
      <c r="AA10" s="8">
        <f>(P10*15.2)*13%</f>
        <v>550.90880000000004</v>
      </c>
      <c r="AB10" s="8"/>
      <c r="AC10" s="25">
        <f t="shared" si="4"/>
        <v>550.90880000000004</v>
      </c>
      <c r="AD10" s="39">
        <f t="shared" si="5"/>
        <v>8773.0912000000008</v>
      </c>
      <c r="AE10" s="218">
        <v>0.26</v>
      </c>
      <c r="AF10" s="9">
        <f>(P10*15.2)*AE10</f>
        <v>1101.8176000000001</v>
      </c>
      <c r="AG10" s="40">
        <f t="shared" si="6"/>
        <v>83.64</v>
      </c>
      <c r="AH10" s="9">
        <f t="shared" si="7"/>
        <v>279.71999999999997</v>
      </c>
      <c r="AI10" s="39">
        <f t="shared" si="13"/>
        <v>1465.1776000000002</v>
      </c>
      <c r="AJ10" s="26">
        <f t="shared" si="8"/>
        <v>10789.177600000001</v>
      </c>
    </row>
    <row r="11" spans="1:36" s="1" customFormat="1" ht="41.25" customHeight="1" x14ac:dyDescent="0.25">
      <c r="A11" s="141">
        <v>169</v>
      </c>
      <c r="B11" s="142" t="s">
        <v>246</v>
      </c>
      <c r="C11" s="111" t="s">
        <v>193</v>
      </c>
      <c r="D11" s="22">
        <v>17</v>
      </c>
      <c r="E11" s="140" t="s">
        <v>15</v>
      </c>
      <c r="F11" s="149" t="s">
        <v>117</v>
      </c>
      <c r="G11" s="124" t="s">
        <v>165</v>
      </c>
      <c r="H11" s="126" t="s">
        <v>166</v>
      </c>
      <c r="I11" s="125" t="s">
        <v>31</v>
      </c>
      <c r="J11" s="184" t="s">
        <v>30</v>
      </c>
      <c r="K11" s="155" t="s">
        <v>68</v>
      </c>
      <c r="L11" s="121">
        <v>44044</v>
      </c>
      <c r="M11" s="122" t="s">
        <v>7</v>
      </c>
      <c r="N11" s="136" t="s">
        <v>7</v>
      </c>
      <c r="O11" s="18">
        <f t="shared" ca="1" si="2"/>
        <v>45</v>
      </c>
      <c r="P11" s="214">
        <f t="shared" si="9"/>
        <v>280.76</v>
      </c>
      <c r="Q11" s="8">
        <f t="shared" si="10"/>
        <v>4211.3999999999996</v>
      </c>
      <c r="R11" s="14">
        <v>8422.7999999999993</v>
      </c>
      <c r="S11" s="8">
        <f t="shared" si="11"/>
        <v>142</v>
      </c>
      <c r="T11" s="14">
        <v>284</v>
      </c>
      <c r="U11" s="48">
        <f t="shared" si="12"/>
        <v>9000</v>
      </c>
      <c r="V11" s="14">
        <v>18000</v>
      </c>
      <c r="W11" s="8"/>
      <c r="X11" s="8"/>
      <c r="Y11" s="50">
        <f t="shared" si="3"/>
        <v>13353.4</v>
      </c>
      <c r="Z11" s="217">
        <f>ENE!V11/2</f>
        <v>0</v>
      </c>
      <c r="AA11" s="8">
        <v>550.91</v>
      </c>
      <c r="AB11" s="8"/>
      <c r="AC11" s="25">
        <f t="shared" si="4"/>
        <v>550.91</v>
      </c>
      <c r="AD11" s="39">
        <f t="shared" si="5"/>
        <v>12802.49</v>
      </c>
      <c r="AE11" s="218">
        <v>0.26</v>
      </c>
      <c r="AF11" s="9">
        <v>1101.82</v>
      </c>
      <c r="AG11" s="40">
        <f t="shared" si="6"/>
        <v>84.227999999999994</v>
      </c>
      <c r="AH11" s="9">
        <f t="shared" si="7"/>
        <v>400.60199999999998</v>
      </c>
      <c r="AI11" s="39">
        <f t="shared" si="13"/>
        <v>1586.65</v>
      </c>
      <c r="AJ11" s="26">
        <f t="shared" si="8"/>
        <v>14940.05</v>
      </c>
    </row>
    <row r="12" spans="1:36" s="1" customFormat="1" ht="30" customHeight="1" x14ac:dyDescent="0.25">
      <c r="A12" s="137" t="s">
        <v>233</v>
      </c>
      <c r="B12" s="138" t="s">
        <v>161</v>
      </c>
      <c r="C12" s="138" t="s">
        <v>108</v>
      </c>
      <c r="D12" s="22">
        <v>28</v>
      </c>
      <c r="E12" s="140" t="s">
        <v>107</v>
      </c>
      <c r="F12" s="91" t="s">
        <v>124</v>
      </c>
      <c r="G12" s="124" t="s">
        <v>197</v>
      </c>
      <c r="H12" s="60" t="s">
        <v>196</v>
      </c>
      <c r="I12" s="125" t="s">
        <v>99</v>
      </c>
      <c r="J12" s="184" t="s">
        <v>100</v>
      </c>
      <c r="K12" s="155" t="s">
        <v>68</v>
      </c>
      <c r="L12" s="47">
        <v>44835</v>
      </c>
      <c r="M12" s="6" t="s">
        <v>8</v>
      </c>
      <c r="N12" s="134" t="s">
        <v>7</v>
      </c>
      <c r="O12" s="18">
        <f t="shared" ca="1" si="2"/>
        <v>28</v>
      </c>
      <c r="P12" s="24"/>
      <c r="Q12" s="8"/>
      <c r="R12" s="14"/>
      <c r="S12" s="8"/>
      <c r="T12" s="8"/>
      <c r="U12" s="48"/>
      <c r="V12" s="8"/>
      <c r="W12" s="8"/>
      <c r="X12" s="8"/>
      <c r="Y12" s="50"/>
      <c r="Z12" s="217"/>
      <c r="AA12" s="8"/>
      <c r="AB12" s="94"/>
      <c r="AC12" s="25"/>
      <c r="AD12" s="39"/>
      <c r="AE12" s="218"/>
      <c r="AF12" s="9"/>
      <c r="AG12" s="40"/>
      <c r="AH12" s="9"/>
      <c r="AI12" s="39"/>
      <c r="AJ12" s="26"/>
    </row>
    <row r="13" spans="1:36" s="1" customFormat="1" ht="30" customHeight="1" x14ac:dyDescent="0.25">
      <c r="A13" s="137">
        <v>171</v>
      </c>
      <c r="B13" s="111" t="s">
        <v>190</v>
      </c>
      <c r="C13" s="111" t="s">
        <v>167</v>
      </c>
      <c r="D13" s="22">
        <v>19</v>
      </c>
      <c r="E13" s="139" t="s">
        <v>15</v>
      </c>
      <c r="F13" s="38" t="s">
        <v>119</v>
      </c>
      <c r="G13" s="181">
        <v>92700203</v>
      </c>
      <c r="H13" s="20" t="s">
        <v>179</v>
      </c>
      <c r="I13" s="182" t="s">
        <v>206</v>
      </c>
      <c r="J13" s="183" t="s">
        <v>207</v>
      </c>
      <c r="K13" s="155" t="s">
        <v>68</v>
      </c>
      <c r="L13" s="47">
        <v>45658</v>
      </c>
      <c r="M13" s="235" t="s">
        <v>8</v>
      </c>
      <c r="N13" s="136" t="s">
        <v>7</v>
      </c>
      <c r="O13" s="18">
        <f t="shared" ca="1" si="2"/>
        <v>46</v>
      </c>
      <c r="P13" s="214"/>
      <c r="Q13" s="8"/>
      <c r="R13" s="14"/>
      <c r="S13" s="8"/>
      <c r="T13" s="14"/>
      <c r="U13" s="48"/>
      <c r="V13" s="114"/>
      <c r="W13" s="94"/>
      <c r="X13" s="8"/>
      <c r="Y13" s="50"/>
      <c r="Z13" s="217"/>
      <c r="AA13" s="8"/>
      <c r="AB13" s="8"/>
      <c r="AC13" s="25"/>
      <c r="AD13" s="39"/>
      <c r="AE13" s="218"/>
      <c r="AF13" s="9"/>
      <c r="AG13" s="40"/>
      <c r="AH13" s="9"/>
      <c r="AI13" s="39"/>
      <c r="AJ13" s="26"/>
    </row>
    <row r="14" spans="1:36" s="1" customFormat="1" ht="29.25" customHeight="1" x14ac:dyDescent="0.25">
      <c r="A14" s="137">
        <v>173</v>
      </c>
      <c r="B14" s="138" t="s">
        <v>42</v>
      </c>
      <c r="C14" s="138" t="s">
        <v>29</v>
      </c>
      <c r="D14" s="22">
        <v>69</v>
      </c>
      <c r="E14" s="139" t="s">
        <v>11</v>
      </c>
      <c r="F14" s="38" t="s">
        <v>120</v>
      </c>
      <c r="G14" s="124">
        <v>92700236</v>
      </c>
      <c r="H14" s="17" t="s">
        <v>264</v>
      </c>
      <c r="I14" s="185" t="s">
        <v>265</v>
      </c>
      <c r="J14" s="186" t="s">
        <v>266</v>
      </c>
      <c r="K14" s="155" t="s">
        <v>68</v>
      </c>
      <c r="L14" s="150">
        <v>45717</v>
      </c>
      <c r="M14" s="6" t="s">
        <v>8</v>
      </c>
      <c r="N14" s="134" t="s">
        <v>7</v>
      </c>
      <c r="O14" s="18">
        <f t="shared" ca="1" si="2"/>
        <v>37</v>
      </c>
      <c r="P14" s="24"/>
      <c r="Q14" s="8"/>
      <c r="R14" s="14"/>
      <c r="S14" s="8"/>
      <c r="T14" s="8"/>
      <c r="U14" s="48"/>
      <c r="V14" s="94"/>
      <c r="W14" s="94"/>
      <c r="X14" s="8"/>
      <c r="Y14" s="50"/>
      <c r="Z14" s="217"/>
      <c r="AA14" s="8"/>
      <c r="AB14" s="8"/>
      <c r="AC14" s="25"/>
      <c r="AD14" s="39"/>
      <c r="AE14" s="218"/>
      <c r="AF14" s="9"/>
      <c r="AG14" s="40"/>
      <c r="AH14" s="9"/>
      <c r="AI14" s="39"/>
      <c r="AJ14" s="26"/>
    </row>
    <row r="15" spans="1:36" s="1" customFormat="1" ht="30" customHeight="1" x14ac:dyDescent="0.25">
      <c r="A15" s="137">
        <v>173</v>
      </c>
      <c r="B15" s="138" t="s">
        <v>42</v>
      </c>
      <c r="C15" s="138" t="s">
        <v>108</v>
      </c>
      <c r="D15" s="22">
        <v>21</v>
      </c>
      <c r="E15" s="139" t="s">
        <v>107</v>
      </c>
      <c r="F15" s="107" t="s">
        <v>121</v>
      </c>
      <c r="G15" s="118"/>
      <c r="H15" s="220" t="s">
        <v>252</v>
      </c>
      <c r="I15" s="119"/>
      <c r="J15" s="120"/>
      <c r="K15" s="41" t="s">
        <v>68</v>
      </c>
      <c r="L15" s="47"/>
      <c r="M15" s="6" t="s">
        <v>8</v>
      </c>
      <c r="N15" s="51" t="s">
        <v>7</v>
      </c>
      <c r="O15" s="18" t="e">
        <f t="shared" ca="1" si="2"/>
        <v>#VALUE!</v>
      </c>
      <c r="P15" s="24"/>
      <c r="Q15" s="8"/>
      <c r="R15" s="14"/>
      <c r="S15" s="8"/>
      <c r="T15" s="8"/>
      <c r="U15" s="48"/>
      <c r="V15" s="8"/>
      <c r="W15" s="94"/>
      <c r="X15" s="8"/>
      <c r="Y15" s="50"/>
      <c r="Z15" s="217"/>
      <c r="AA15" s="8"/>
      <c r="AB15" s="8"/>
      <c r="AC15" s="25"/>
      <c r="AD15" s="39"/>
      <c r="AE15" s="218"/>
      <c r="AF15" s="9"/>
      <c r="AG15" s="40"/>
      <c r="AH15" s="9"/>
      <c r="AI15" s="39"/>
      <c r="AJ15" s="26"/>
    </row>
    <row r="16" spans="1:36" s="1" customFormat="1" ht="30" customHeight="1" x14ac:dyDescent="0.25">
      <c r="A16" s="137">
        <v>174</v>
      </c>
      <c r="B16" s="138" t="s">
        <v>43</v>
      </c>
      <c r="C16" s="111" t="s">
        <v>34</v>
      </c>
      <c r="D16" s="22">
        <v>23</v>
      </c>
      <c r="E16" s="139" t="s">
        <v>10</v>
      </c>
      <c r="F16" s="38" t="s">
        <v>122</v>
      </c>
      <c r="G16" s="124">
        <v>92700202</v>
      </c>
      <c r="H16" s="17" t="s">
        <v>177</v>
      </c>
      <c r="I16" s="182" t="s">
        <v>208</v>
      </c>
      <c r="J16" s="183" t="s">
        <v>209</v>
      </c>
      <c r="K16" s="155" t="s">
        <v>68</v>
      </c>
      <c r="L16" s="47">
        <v>45658</v>
      </c>
      <c r="M16" s="6" t="s">
        <v>8</v>
      </c>
      <c r="N16" s="134" t="s">
        <v>32</v>
      </c>
      <c r="O16" s="18">
        <f t="shared" ca="1" si="2"/>
        <v>46</v>
      </c>
      <c r="P16" s="24"/>
      <c r="Q16" s="8"/>
      <c r="R16" s="14"/>
      <c r="S16" s="8"/>
      <c r="T16" s="8"/>
      <c r="U16" s="48"/>
      <c r="V16" s="8"/>
      <c r="W16" s="8"/>
      <c r="X16" s="8"/>
      <c r="Y16" s="50"/>
      <c r="Z16" s="217"/>
      <c r="AA16" s="8"/>
      <c r="AB16" s="8"/>
      <c r="AC16" s="25"/>
      <c r="AD16" s="39"/>
      <c r="AE16" s="218"/>
      <c r="AF16" s="9"/>
      <c r="AG16" s="40"/>
      <c r="AH16" s="9"/>
      <c r="AI16" s="39"/>
      <c r="AJ16" s="26"/>
    </row>
    <row r="17" spans="1:36" s="1" customFormat="1" ht="30" customHeight="1" x14ac:dyDescent="0.25">
      <c r="A17" s="137">
        <v>175</v>
      </c>
      <c r="B17" s="138" t="s">
        <v>44</v>
      </c>
      <c r="C17" s="138" t="s">
        <v>18</v>
      </c>
      <c r="D17" s="22">
        <v>25</v>
      </c>
      <c r="E17" s="139" t="s">
        <v>11</v>
      </c>
      <c r="F17" s="36" t="s">
        <v>123</v>
      </c>
      <c r="G17" s="124" t="s">
        <v>198</v>
      </c>
      <c r="H17" s="17" t="s">
        <v>168</v>
      </c>
      <c r="I17" s="187" t="s">
        <v>94</v>
      </c>
      <c r="J17" s="188" t="s">
        <v>98</v>
      </c>
      <c r="K17" s="155" t="s">
        <v>68</v>
      </c>
      <c r="L17" s="47">
        <v>44682</v>
      </c>
      <c r="M17" s="6" t="s">
        <v>8</v>
      </c>
      <c r="N17" s="134" t="s">
        <v>7</v>
      </c>
      <c r="O17" s="18">
        <f t="shared" ca="1" si="2"/>
        <v>27</v>
      </c>
      <c r="P17" s="24"/>
      <c r="Q17" s="8"/>
      <c r="R17" s="14"/>
      <c r="S17" s="8"/>
      <c r="T17" s="8"/>
      <c r="U17" s="48"/>
      <c r="V17" s="94"/>
      <c r="W17" s="8"/>
      <c r="X17" s="8"/>
      <c r="Y17" s="50"/>
      <c r="Z17" s="217"/>
      <c r="AA17" s="8"/>
      <c r="AB17" s="8"/>
      <c r="AC17" s="25"/>
      <c r="AD17" s="39"/>
      <c r="AE17" s="218"/>
      <c r="AF17" s="9"/>
      <c r="AG17" s="40"/>
      <c r="AH17" s="9"/>
      <c r="AI17" s="39"/>
      <c r="AJ17" s="26"/>
    </row>
    <row r="18" spans="1:36" s="1" customFormat="1" ht="30" customHeight="1" x14ac:dyDescent="0.25">
      <c r="A18" s="137">
        <v>175</v>
      </c>
      <c r="B18" s="138" t="s">
        <v>44</v>
      </c>
      <c r="C18" s="138" t="s">
        <v>108</v>
      </c>
      <c r="D18" s="22">
        <v>45</v>
      </c>
      <c r="E18" s="139" t="s">
        <v>107</v>
      </c>
      <c r="F18" s="106" t="s">
        <v>118</v>
      </c>
      <c r="G18" s="124"/>
      <c r="H18" s="236" t="s">
        <v>252</v>
      </c>
      <c r="I18" s="205"/>
      <c r="J18" s="205"/>
      <c r="K18" s="155"/>
      <c r="L18" s="47"/>
      <c r="M18" s="6" t="s">
        <v>8</v>
      </c>
      <c r="N18" s="117"/>
      <c r="O18" s="18" t="e">
        <f t="shared" ca="1" si="2"/>
        <v>#VALUE!</v>
      </c>
      <c r="P18" s="24"/>
      <c r="Q18" s="8"/>
      <c r="R18" s="14"/>
      <c r="S18" s="8"/>
      <c r="T18" s="8"/>
      <c r="U18" s="48"/>
      <c r="V18" s="8"/>
      <c r="W18" s="8"/>
      <c r="X18" s="8"/>
      <c r="Y18" s="50"/>
      <c r="Z18" s="217"/>
      <c r="AA18" s="8"/>
      <c r="AB18" s="8"/>
      <c r="AC18" s="25"/>
      <c r="AD18" s="39"/>
      <c r="AE18" s="218"/>
      <c r="AF18" s="9"/>
      <c r="AG18" s="40"/>
      <c r="AH18" s="9"/>
      <c r="AI18" s="39"/>
      <c r="AJ18" s="26"/>
    </row>
    <row r="19" spans="1:36" s="65" customFormat="1" ht="30" customHeight="1" x14ac:dyDescent="0.25">
      <c r="A19" s="141">
        <v>177</v>
      </c>
      <c r="B19" s="143" t="s">
        <v>86</v>
      </c>
      <c r="C19" s="143" t="s">
        <v>87</v>
      </c>
      <c r="D19" s="57">
        <v>27</v>
      </c>
      <c r="E19" s="140" t="s">
        <v>11</v>
      </c>
      <c r="F19" s="58" t="s">
        <v>88</v>
      </c>
      <c r="G19" s="124" t="s">
        <v>199</v>
      </c>
      <c r="H19" s="17" t="s">
        <v>316</v>
      </c>
      <c r="I19" s="61" t="s">
        <v>210</v>
      </c>
      <c r="J19" s="59" t="s">
        <v>211</v>
      </c>
      <c r="K19" s="155" t="s">
        <v>68</v>
      </c>
      <c r="L19" s="47">
        <v>45658</v>
      </c>
      <c r="M19" s="62" t="s">
        <v>32</v>
      </c>
      <c r="N19" s="135" t="s">
        <v>7</v>
      </c>
      <c r="O19" s="63">
        <f t="shared" ca="1" si="2"/>
        <v>31</v>
      </c>
      <c r="P19" s="24"/>
      <c r="Q19" s="8"/>
      <c r="R19" s="14"/>
      <c r="S19" s="8"/>
      <c r="T19" s="45"/>
      <c r="U19" s="48"/>
      <c r="V19" s="94"/>
      <c r="W19" s="8"/>
      <c r="X19" s="8"/>
      <c r="Y19" s="50"/>
      <c r="Z19" s="217"/>
      <c r="AA19" s="8"/>
      <c r="AB19" s="8"/>
      <c r="AC19" s="25"/>
      <c r="AD19" s="39"/>
      <c r="AE19" s="219"/>
      <c r="AF19" s="9"/>
      <c r="AG19" s="40"/>
      <c r="AH19" s="9"/>
      <c r="AI19" s="39"/>
      <c r="AJ19" s="26"/>
    </row>
    <row r="20" spans="1:36" s="1" customFormat="1" ht="30" customHeight="1" x14ac:dyDescent="0.25">
      <c r="A20" s="137" t="s">
        <v>89</v>
      </c>
      <c r="B20" s="143" t="s">
        <v>86</v>
      </c>
      <c r="C20" s="138" t="s">
        <v>108</v>
      </c>
      <c r="D20" s="22">
        <v>6</v>
      </c>
      <c r="E20" s="140" t="s">
        <v>107</v>
      </c>
      <c r="F20" s="91" t="s">
        <v>160</v>
      </c>
      <c r="G20" s="124">
        <v>92700234</v>
      </c>
      <c r="H20" s="17" t="s">
        <v>275</v>
      </c>
      <c r="I20" s="180" t="s">
        <v>278</v>
      </c>
      <c r="J20" s="180" t="s">
        <v>279</v>
      </c>
      <c r="K20" s="155" t="s">
        <v>68</v>
      </c>
      <c r="L20" s="90">
        <v>45704</v>
      </c>
      <c r="M20" s="6" t="s">
        <v>8</v>
      </c>
      <c r="N20" s="232" t="s">
        <v>7</v>
      </c>
      <c r="O20" s="18">
        <f t="shared" ca="1" si="2"/>
        <v>35</v>
      </c>
      <c r="P20" s="24"/>
      <c r="Q20" s="8"/>
      <c r="R20" s="14"/>
      <c r="S20" s="8"/>
      <c r="T20" s="8"/>
      <c r="U20" s="48"/>
      <c r="V20" s="8"/>
      <c r="W20" s="8"/>
      <c r="X20" s="8"/>
      <c r="Y20" s="50"/>
      <c r="Z20" s="217"/>
      <c r="AA20" s="8"/>
      <c r="AB20" s="8"/>
      <c r="AC20" s="25"/>
      <c r="AD20" s="39"/>
      <c r="AE20" s="218"/>
      <c r="AF20" s="9"/>
      <c r="AG20" s="40"/>
      <c r="AH20" s="9"/>
      <c r="AI20" s="39"/>
      <c r="AJ20" s="26"/>
    </row>
    <row r="21" spans="1:36" s="1" customFormat="1" ht="30" customHeight="1" x14ac:dyDescent="0.25">
      <c r="A21" s="137">
        <v>178</v>
      </c>
      <c r="B21" s="138" t="s">
        <v>46</v>
      </c>
      <c r="C21" s="111" t="s">
        <v>172</v>
      </c>
      <c r="D21" s="22">
        <v>32</v>
      </c>
      <c r="E21" s="139" t="s">
        <v>10</v>
      </c>
      <c r="F21" s="36" t="s">
        <v>125</v>
      </c>
      <c r="G21" s="124"/>
      <c r="H21" s="220" t="s">
        <v>252</v>
      </c>
      <c r="I21" s="182"/>
      <c r="J21" s="183"/>
      <c r="K21" s="258" t="s">
        <v>334</v>
      </c>
      <c r="L21" s="47"/>
      <c r="M21" s="6" t="s">
        <v>8</v>
      </c>
      <c r="N21" s="134" t="s">
        <v>7</v>
      </c>
      <c r="O21" s="18" t="e">
        <f t="shared" ca="1" si="2"/>
        <v>#VALUE!</v>
      </c>
      <c r="P21" s="24"/>
      <c r="Q21" s="8"/>
      <c r="R21" s="14"/>
      <c r="S21" s="8"/>
      <c r="T21" s="8"/>
      <c r="U21" s="48"/>
      <c r="V21" s="8"/>
      <c r="W21" s="8"/>
      <c r="X21" s="8"/>
      <c r="Y21" s="50"/>
      <c r="Z21" s="217"/>
      <c r="AA21" s="8"/>
      <c r="AB21" s="8"/>
      <c r="AC21" s="25"/>
      <c r="AD21" s="39"/>
      <c r="AE21" s="218"/>
      <c r="AF21" s="9"/>
      <c r="AG21" s="40"/>
      <c r="AH21" s="9"/>
      <c r="AI21" s="39"/>
      <c r="AJ21" s="26"/>
    </row>
    <row r="22" spans="1:36" s="1" customFormat="1" ht="30" customHeight="1" x14ac:dyDescent="0.25">
      <c r="A22" s="137">
        <v>179</v>
      </c>
      <c r="B22" s="138" t="s">
        <v>48</v>
      </c>
      <c r="C22" s="138" t="s">
        <v>19</v>
      </c>
      <c r="D22" s="22">
        <v>34</v>
      </c>
      <c r="E22" s="139" t="s">
        <v>11</v>
      </c>
      <c r="F22" s="36" t="s">
        <v>126</v>
      </c>
      <c r="G22" s="124" t="s">
        <v>200</v>
      </c>
      <c r="H22" s="17" t="s">
        <v>181</v>
      </c>
      <c r="I22" s="191" t="s">
        <v>227</v>
      </c>
      <c r="J22" s="183" t="s">
        <v>228</v>
      </c>
      <c r="K22" s="155" t="s">
        <v>68</v>
      </c>
      <c r="L22" s="47">
        <v>45658</v>
      </c>
      <c r="M22" s="6" t="s">
        <v>8</v>
      </c>
      <c r="N22" s="134" t="s">
        <v>7</v>
      </c>
      <c r="O22" s="18">
        <f t="shared" ca="1" si="2"/>
        <v>35</v>
      </c>
      <c r="P22" s="24"/>
      <c r="Q22" s="8"/>
      <c r="R22" s="14"/>
      <c r="S22" s="8"/>
      <c r="T22" s="8"/>
      <c r="U22" s="48"/>
      <c r="V22" s="94"/>
      <c r="W22" s="8"/>
      <c r="X22" s="8"/>
      <c r="Y22" s="50"/>
      <c r="Z22" s="217"/>
      <c r="AA22" s="8"/>
      <c r="AB22" s="8"/>
      <c r="AC22" s="25"/>
      <c r="AD22" s="39"/>
      <c r="AE22" s="218"/>
      <c r="AF22" s="9"/>
      <c r="AG22" s="40"/>
      <c r="AH22" s="9"/>
      <c r="AI22" s="39"/>
      <c r="AJ22" s="26"/>
    </row>
    <row r="23" spans="1:36" s="1" customFormat="1" ht="30" customHeight="1" x14ac:dyDescent="0.25">
      <c r="A23" s="137">
        <v>180</v>
      </c>
      <c r="B23" s="138" t="s">
        <v>47</v>
      </c>
      <c r="C23" s="138" t="s">
        <v>20</v>
      </c>
      <c r="D23" s="22">
        <v>35</v>
      </c>
      <c r="E23" s="139" t="s">
        <v>11</v>
      </c>
      <c r="F23" s="36" t="s">
        <v>127</v>
      </c>
      <c r="G23" s="118">
        <v>92700218</v>
      </c>
      <c r="H23" s="255" t="s">
        <v>346</v>
      </c>
      <c r="I23" s="211" t="s">
        <v>297</v>
      </c>
      <c r="J23" s="211" t="s">
        <v>298</v>
      </c>
      <c r="K23" s="41" t="s">
        <v>68</v>
      </c>
      <c r="L23" s="123">
        <v>45793</v>
      </c>
      <c r="M23" s="6" t="s">
        <v>8</v>
      </c>
      <c r="N23" s="232" t="s">
        <v>7</v>
      </c>
      <c r="O23" s="18">
        <f t="shared" ca="1" si="2"/>
        <v>44</v>
      </c>
      <c r="P23" s="24"/>
      <c r="Q23" s="8"/>
      <c r="R23" s="14"/>
      <c r="S23" s="8"/>
      <c r="T23" s="8"/>
      <c r="U23" s="48"/>
      <c r="V23" s="94"/>
      <c r="W23" s="8"/>
      <c r="X23" s="8"/>
      <c r="Y23" s="50"/>
      <c r="Z23" s="217"/>
      <c r="AA23" s="8"/>
      <c r="AB23" s="8"/>
      <c r="AC23" s="25"/>
      <c r="AD23" s="39"/>
      <c r="AE23" s="218"/>
      <c r="AF23" s="9"/>
      <c r="AG23" s="40"/>
      <c r="AH23" s="9"/>
      <c r="AI23" s="39"/>
      <c r="AJ23" s="26"/>
    </row>
    <row r="24" spans="1:36" s="1" customFormat="1" ht="30" customHeight="1" x14ac:dyDescent="0.25">
      <c r="A24" s="137" t="s">
        <v>90</v>
      </c>
      <c r="B24" s="138" t="s">
        <v>47</v>
      </c>
      <c r="C24" s="138" t="s">
        <v>108</v>
      </c>
      <c r="D24" s="22">
        <v>44</v>
      </c>
      <c r="E24" s="158" t="s">
        <v>107</v>
      </c>
      <c r="F24" s="109" t="s">
        <v>128</v>
      </c>
      <c r="G24" s="124">
        <v>92700249</v>
      </c>
      <c r="H24" s="21" t="s">
        <v>308</v>
      </c>
      <c r="I24" s="199" t="s">
        <v>310</v>
      </c>
      <c r="J24" s="200" t="s">
        <v>309</v>
      </c>
      <c r="K24" s="225" t="s">
        <v>68</v>
      </c>
      <c r="L24" s="47">
        <v>45809</v>
      </c>
      <c r="M24" s="156" t="s">
        <v>8</v>
      </c>
      <c r="N24" s="234" t="s">
        <v>32</v>
      </c>
      <c r="O24" s="18">
        <f t="shared" ca="1" si="2"/>
        <v>28</v>
      </c>
      <c r="P24" s="24"/>
      <c r="Q24" s="8"/>
      <c r="R24" s="14"/>
      <c r="S24" s="8"/>
      <c r="T24" s="8"/>
      <c r="U24" s="48"/>
      <c r="V24" s="8"/>
      <c r="W24" s="8"/>
      <c r="X24" s="8"/>
      <c r="Y24" s="50"/>
      <c r="Z24" s="217"/>
      <c r="AA24" s="8"/>
      <c r="AB24" s="268"/>
      <c r="AC24" s="25"/>
      <c r="AD24" s="39"/>
      <c r="AE24" s="218"/>
      <c r="AF24" s="9"/>
      <c r="AG24" s="40"/>
      <c r="AH24" s="9"/>
      <c r="AI24" s="39"/>
      <c r="AJ24" s="26"/>
    </row>
    <row r="25" spans="1:36" s="1" customFormat="1" ht="30" customHeight="1" x14ac:dyDescent="0.25">
      <c r="A25" s="137">
        <v>182</v>
      </c>
      <c r="B25" s="138" t="s">
        <v>49</v>
      </c>
      <c r="C25" s="111" t="s">
        <v>156</v>
      </c>
      <c r="D25" s="22">
        <v>41</v>
      </c>
      <c r="E25" s="139" t="s">
        <v>157</v>
      </c>
      <c r="F25" s="36" t="s">
        <v>62</v>
      </c>
      <c r="G25" s="124" t="s">
        <v>339</v>
      </c>
      <c r="H25" s="220" t="s">
        <v>338</v>
      </c>
      <c r="I25" s="226" t="s">
        <v>340</v>
      </c>
      <c r="J25" s="226" t="s">
        <v>341</v>
      </c>
      <c r="K25" s="225" t="s">
        <v>313</v>
      </c>
      <c r="L25" s="90">
        <v>45962</v>
      </c>
      <c r="M25" s="6" t="s">
        <v>8</v>
      </c>
      <c r="N25" s="265" t="s">
        <v>32</v>
      </c>
      <c r="O25" s="18">
        <f t="shared" ca="1" si="2"/>
        <v>53</v>
      </c>
      <c r="P25" s="24"/>
      <c r="Q25" s="8"/>
      <c r="R25" s="14"/>
      <c r="S25" s="8"/>
      <c r="T25" s="8"/>
      <c r="U25" s="48"/>
      <c r="V25" s="8"/>
      <c r="W25" s="8"/>
      <c r="X25" s="8"/>
      <c r="Y25" s="50"/>
      <c r="Z25" s="217"/>
      <c r="AA25" s="8"/>
      <c r="AB25" s="8"/>
      <c r="AC25" s="25"/>
      <c r="AD25" s="39"/>
      <c r="AE25" s="218"/>
      <c r="AF25" s="9"/>
      <c r="AG25" s="40"/>
      <c r="AH25" s="9"/>
      <c r="AI25" s="39"/>
      <c r="AJ25" s="26"/>
    </row>
    <row r="26" spans="1:36" s="1" customFormat="1" ht="30" customHeight="1" x14ac:dyDescent="0.25">
      <c r="A26" s="137">
        <v>184</v>
      </c>
      <c r="B26" s="138" t="s">
        <v>50</v>
      </c>
      <c r="C26" s="138" t="s">
        <v>22</v>
      </c>
      <c r="D26" s="22">
        <v>43</v>
      </c>
      <c r="E26" s="139" t="s">
        <v>11</v>
      </c>
      <c r="F26" s="36" t="s">
        <v>62</v>
      </c>
      <c r="G26" s="124">
        <v>92700194</v>
      </c>
      <c r="H26" s="17" t="s">
        <v>169</v>
      </c>
      <c r="I26" s="182" t="s">
        <v>158</v>
      </c>
      <c r="J26" s="183" t="s">
        <v>159</v>
      </c>
      <c r="K26" s="155" t="s">
        <v>68</v>
      </c>
      <c r="L26" s="47">
        <v>45352</v>
      </c>
      <c r="M26" s="11" t="s">
        <v>8</v>
      </c>
      <c r="N26" s="134" t="s">
        <v>32</v>
      </c>
      <c r="O26" s="18">
        <f t="shared" ca="1" si="2"/>
        <v>27</v>
      </c>
      <c r="P26" s="24"/>
      <c r="Q26" s="8"/>
      <c r="R26" s="14"/>
      <c r="S26" s="8"/>
      <c r="T26" s="14"/>
      <c r="U26" s="48"/>
      <c r="V26" s="94"/>
      <c r="W26" s="8"/>
      <c r="X26" s="8"/>
      <c r="Y26" s="50"/>
      <c r="Z26" s="217"/>
      <c r="AA26" s="8"/>
      <c r="AB26" s="8"/>
      <c r="AC26" s="25"/>
      <c r="AD26" s="39"/>
      <c r="AE26" s="218"/>
      <c r="AF26" s="9"/>
      <c r="AG26" s="40"/>
      <c r="AH26" s="9"/>
      <c r="AI26" s="39"/>
      <c r="AJ26" s="26"/>
    </row>
    <row r="27" spans="1:36" s="1" customFormat="1" ht="30" customHeight="1" x14ac:dyDescent="0.25">
      <c r="A27" s="137">
        <v>184</v>
      </c>
      <c r="B27" s="138" t="s">
        <v>50</v>
      </c>
      <c r="C27" s="138" t="s">
        <v>108</v>
      </c>
      <c r="D27" s="22">
        <v>76</v>
      </c>
      <c r="E27" s="139" t="s">
        <v>107</v>
      </c>
      <c r="F27" s="92" t="s">
        <v>129</v>
      </c>
      <c r="G27" s="124" t="s">
        <v>201</v>
      </c>
      <c r="H27" s="17" t="s">
        <v>191</v>
      </c>
      <c r="I27" s="194" t="s">
        <v>202</v>
      </c>
      <c r="J27" s="195" t="s">
        <v>203</v>
      </c>
      <c r="K27" s="155" t="s">
        <v>68</v>
      </c>
      <c r="L27" s="90">
        <v>45658</v>
      </c>
      <c r="M27" s="6" t="s">
        <v>8</v>
      </c>
      <c r="N27" s="51" t="s">
        <v>7</v>
      </c>
      <c r="O27" s="18">
        <f t="shared" ca="1" si="2"/>
        <v>45</v>
      </c>
      <c r="P27" s="24"/>
      <c r="Q27" s="8"/>
      <c r="R27" s="14"/>
      <c r="S27" s="8"/>
      <c r="T27" s="8"/>
      <c r="U27" s="48"/>
      <c r="V27" s="8"/>
      <c r="W27" s="8"/>
      <c r="X27" s="8"/>
      <c r="Y27" s="50"/>
      <c r="Z27" s="217"/>
      <c r="AA27" s="8"/>
      <c r="AB27" s="8"/>
      <c r="AC27" s="25"/>
      <c r="AD27" s="39"/>
      <c r="AE27" s="218"/>
      <c r="AF27" s="9"/>
      <c r="AG27" s="40"/>
      <c r="AH27" s="9"/>
      <c r="AI27" s="39"/>
      <c r="AJ27" s="26"/>
    </row>
    <row r="28" spans="1:36" s="1" customFormat="1" ht="30" customHeight="1" x14ac:dyDescent="0.25">
      <c r="A28" s="137">
        <v>185</v>
      </c>
      <c r="B28" s="138" t="s">
        <v>155</v>
      </c>
      <c r="C28" s="138" t="s">
        <v>21</v>
      </c>
      <c r="D28" s="22">
        <v>4</v>
      </c>
      <c r="E28" s="139" t="s">
        <v>11</v>
      </c>
      <c r="F28" s="36" t="s">
        <v>63</v>
      </c>
      <c r="G28" s="124">
        <v>92700255</v>
      </c>
      <c r="H28" s="17" t="s">
        <v>322</v>
      </c>
      <c r="I28" s="194" t="s">
        <v>324</v>
      </c>
      <c r="J28" s="245" t="s">
        <v>323</v>
      </c>
      <c r="K28" s="243" t="s">
        <v>68</v>
      </c>
      <c r="L28" s="90">
        <v>45901</v>
      </c>
      <c r="M28" s="98" t="s">
        <v>8</v>
      </c>
      <c r="N28" s="244" t="s">
        <v>32</v>
      </c>
      <c r="O28" s="18">
        <f t="shared" ca="1" si="2"/>
        <v>35</v>
      </c>
      <c r="P28" s="24"/>
      <c r="Q28" s="8"/>
      <c r="R28" s="14"/>
      <c r="S28" s="8"/>
      <c r="T28" s="8"/>
      <c r="U28" s="48"/>
      <c r="V28" s="94"/>
      <c r="W28" s="8"/>
      <c r="X28" s="8"/>
      <c r="Y28" s="50"/>
      <c r="Z28" s="217"/>
      <c r="AA28" s="8"/>
      <c r="AB28" s="8"/>
      <c r="AC28" s="25"/>
      <c r="AD28" s="39"/>
      <c r="AE28" s="218"/>
      <c r="AF28" s="9"/>
      <c r="AG28" s="40"/>
      <c r="AH28" s="9"/>
      <c r="AI28" s="39"/>
      <c r="AJ28" s="26"/>
    </row>
    <row r="29" spans="1:36" s="1" customFormat="1" ht="30" customHeight="1" x14ac:dyDescent="0.25">
      <c r="A29" s="137">
        <v>185</v>
      </c>
      <c r="B29" s="138" t="s">
        <v>155</v>
      </c>
      <c r="C29" s="138" t="s">
        <v>108</v>
      </c>
      <c r="D29" s="22">
        <v>74</v>
      </c>
      <c r="E29" s="140" t="s">
        <v>107</v>
      </c>
      <c r="F29" s="93" t="s">
        <v>130</v>
      </c>
      <c r="G29" s="124">
        <v>92700210</v>
      </c>
      <c r="H29" s="17" t="s">
        <v>182</v>
      </c>
      <c r="I29" s="189" t="s">
        <v>212</v>
      </c>
      <c r="J29" s="190" t="s">
        <v>213</v>
      </c>
      <c r="K29" s="155" t="s">
        <v>68</v>
      </c>
      <c r="L29" s="47">
        <v>45658</v>
      </c>
      <c r="M29" s="6" t="s">
        <v>8</v>
      </c>
      <c r="N29" s="134" t="s">
        <v>32</v>
      </c>
      <c r="O29" s="18">
        <f t="shared" ca="1" si="2"/>
        <v>30</v>
      </c>
      <c r="P29" s="24"/>
      <c r="Q29" s="8"/>
      <c r="R29" s="14"/>
      <c r="S29" s="8"/>
      <c r="T29" s="8"/>
      <c r="U29" s="48"/>
      <c r="V29" s="8"/>
      <c r="W29" s="8"/>
      <c r="X29" s="8"/>
      <c r="Y29" s="50"/>
      <c r="Z29" s="217"/>
      <c r="AA29" s="8"/>
      <c r="AB29" s="8"/>
      <c r="AC29" s="25"/>
      <c r="AD29" s="39"/>
      <c r="AE29" s="218"/>
      <c r="AF29" s="9"/>
      <c r="AG29" s="40"/>
      <c r="AH29" s="9"/>
      <c r="AI29" s="39"/>
      <c r="AJ29" s="26"/>
    </row>
    <row r="30" spans="1:36" s="1" customFormat="1" ht="30" customHeight="1" x14ac:dyDescent="0.25">
      <c r="A30" s="137">
        <v>185</v>
      </c>
      <c r="B30" s="138" t="s">
        <v>155</v>
      </c>
      <c r="C30" s="138" t="s">
        <v>108</v>
      </c>
      <c r="D30" s="22">
        <v>55</v>
      </c>
      <c r="E30" s="140" t="s">
        <v>107</v>
      </c>
      <c r="F30" s="93" t="s">
        <v>131</v>
      </c>
      <c r="G30" s="124">
        <v>92700244</v>
      </c>
      <c r="H30" s="21" t="s">
        <v>291</v>
      </c>
      <c r="I30" s="270" t="s">
        <v>292</v>
      </c>
      <c r="J30" s="271" t="s">
        <v>347</v>
      </c>
      <c r="K30" s="164" t="s">
        <v>68</v>
      </c>
      <c r="L30" s="171">
        <v>45778</v>
      </c>
      <c r="M30" s="6" t="s">
        <v>8</v>
      </c>
      <c r="N30" s="110" t="s">
        <v>32</v>
      </c>
      <c r="O30" s="18">
        <f t="shared" ca="1" si="2"/>
        <v>35</v>
      </c>
      <c r="P30" s="24"/>
      <c r="Q30" s="8"/>
      <c r="R30" s="14"/>
      <c r="S30" s="8"/>
      <c r="T30" s="8"/>
      <c r="U30" s="48"/>
      <c r="V30" s="8"/>
      <c r="W30" s="8"/>
      <c r="X30" s="8"/>
      <c r="Y30" s="50"/>
      <c r="Z30" s="217"/>
      <c r="AA30" s="8"/>
      <c r="AB30" s="8"/>
      <c r="AC30" s="25"/>
      <c r="AD30" s="39"/>
      <c r="AE30" s="218"/>
      <c r="AF30" s="9"/>
      <c r="AG30" s="40"/>
      <c r="AH30" s="9"/>
      <c r="AI30" s="39"/>
      <c r="AJ30" s="26"/>
    </row>
    <row r="31" spans="1:36" s="1" customFormat="1" ht="30" customHeight="1" x14ac:dyDescent="0.25">
      <c r="A31" s="137">
        <v>186</v>
      </c>
      <c r="B31" s="138" t="s">
        <v>51</v>
      </c>
      <c r="C31" s="111" t="s">
        <v>36</v>
      </c>
      <c r="D31" s="22">
        <v>47</v>
      </c>
      <c r="E31" s="139" t="s">
        <v>10</v>
      </c>
      <c r="F31" s="36" t="s">
        <v>64</v>
      </c>
      <c r="G31" s="124" t="s">
        <v>173</v>
      </c>
      <c r="H31" s="17" t="s">
        <v>174</v>
      </c>
      <c r="I31" s="196" t="s">
        <v>251</v>
      </c>
      <c r="J31" s="197" t="s">
        <v>175</v>
      </c>
      <c r="K31" s="155" t="s">
        <v>68</v>
      </c>
      <c r="L31" s="47">
        <v>45640</v>
      </c>
      <c r="M31" s="6" t="s">
        <v>8</v>
      </c>
      <c r="N31" s="146" t="s">
        <v>32</v>
      </c>
      <c r="O31" s="18">
        <f t="shared" ca="1" si="2"/>
        <v>25</v>
      </c>
      <c r="P31" s="24"/>
      <c r="Q31" s="8"/>
      <c r="R31" s="14"/>
      <c r="S31" s="8"/>
      <c r="T31" s="8"/>
      <c r="U31" s="48"/>
      <c r="V31" s="8"/>
      <c r="W31" s="8"/>
      <c r="X31" s="8"/>
      <c r="Y31" s="50"/>
      <c r="Z31" s="217"/>
      <c r="AA31" s="8"/>
      <c r="AB31" s="8"/>
      <c r="AC31" s="25"/>
      <c r="AD31" s="39"/>
      <c r="AE31" s="218"/>
      <c r="AF31" s="9"/>
      <c r="AG31" s="40"/>
      <c r="AH31" s="9"/>
      <c r="AI31" s="39"/>
      <c r="AJ31" s="26"/>
    </row>
    <row r="32" spans="1:36" s="1" customFormat="1" ht="30" customHeight="1" x14ac:dyDescent="0.25">
      <c r="A32" s="137">
        <v>188</v>
      </c>
      <c r="B32" s="138" t="s">
        <v>52</v>
      </c>
      <c r="C32" s="138" t="s">
        <v>27</v>
      </c>
      <c r="D32" s="22">
        <v>48</v>
      </c>
      <c r="E32" s="140" t="s">
        <v>11</v>
      </c>
      <c r="F32" s="37" t="s">
        <v>65</v>
      </c>
      <c r="G32" s="124" t="s">
        <v>229</v>
      </c>
      <c r="H32" s="17" t="s">
        <v>273</v>
      </c>
      <c r="I32" s="119" t="s">
        <v>244</v>
      </c>
      <c r="J32" s="120" t="s">
        <v>245</v>
      </c>
      <c r="K32" s="41" t="s">
        <v>68</v>
      </c>
      <c r="L32" s="47">
        <v>45658</v>
      </c>
      <c r="M32" s="6" t="s">
        <v>8</v>
      </c>
      <c r="N32" s="134" t="s">
        <v>7</v>
      </c>
      <c r="O32" s="18">
        <f t="shared" ca="1" si="2"/>
        <v>61</v>
      </c>
      <c r="P32" s="24"/>
      <c r="Q32" s="8"/>
      <c r="R32" s="14"/>
      <c r="S32" s="8"/>
      <c r="T32" s="14"/>
      <c r="U32" s="48"/>
      <c r="V32" s="94"/>
      <c r="W32" s="8"/>
      <c r="X32" s="8"/>
      <c r="Y32" s="50"/>
      <c r="Z32" s="217"/>
      <c r="AA32" s="8"/>
      <c r="AB32" s="8"/>
      <c r="AC32" s="25"/>
      <c r="AD32" s="39"/>
      <c r="AE32" s="218"/>
      <c r="AF32" s="9"/>
      <c r="AG32" s="40"/>
      <c r="AH32" s="9"/>
      <c r="AI32" s="39"/>
      <c r="AJ32" s="26"/>
    </row>
    <row r="33" spans="1:36" s="1" customFormat="1" ht="45" x14ac:dyDescent="0.25">
      <c r="A33" s="137" t="s">
        <v>69</v>
      </c>
      <c r="B33" s="138" t="s">
        <v>52</v>
      </c>
      <c r="C33" s="138" t="s">
        <v>108</v>
      </c>
      <c r="D33" s="22">
        <v>59</v>
      </c>
      <c r="E33" s="140" t="s">
        <v>107</v>
      </c>
      <c r="F33" s="93" t="s">
        <v>132</v>
      </c>
      <c r="G33" s="202">
        <v>92700232</v>
      </c>
      <c r="H33" s="17" t="s">
        <v>250</v>
      </c>
      <c r="I33" s="164" t="s">
        <v>253</v>
      </c>
      <c r="J33" s="165" t="s">
        <v>262</v>
      </c>
      <c r="K33" s="164" t="s">
        <v>68</v>
      </c>
      <c r="L33" s="171">
        <v>45323</v>
      </c>
      <c r="M33" s="6" t="s">
        <v>8</v>
      </c>
      <c r="N33" s="134" t="s">
        <v>7</v>
      </c>
      <c r="O33" s="18">
        <f t="shared" ca="1" si="2"/>
        <v>28</v>
      </c>
      <c r="P33" s="24"/>
      <c r="Q33" s="8"/>
      <c r="R33" s="14"/>
      <c r="S33" s="8"/>
      <c r="T33" s="8"/>
      <c r="U33" s="48"/>
      <c r="V33" s="8"/>
      <c r="W33" s="8"/>
      <c r="X33" s="8"/>
      <c r="Y33" s="50"/>
      <c r="Z33" s="217"/>
      <c r="AA33" s="8"/>
      <c r="AB33" s="8"/>
      <c r="AC33" s="25"/>
      <c r="AD33" s="39"/>
      <c r="AE33" s="218"/>
      <c r="AF33" s="9"/>
      <c r="AG33" s="40"/>
      <c r="AH33" s="9"/>
      <c r="AI33" s="39"/>
      <c r="AJ33" s="26"/>
    </row>
    <row r="34" spans="1:36" s="1" customFormat="1" ht="30" customHeight="1" x14ac:dyDescent="0.25">
      <c r="A34" s="137">
        <v>189</v>
      </c>
      <c r="B34" s="138" t="s">
        <v>53</v>
      </c>
      <c r="C34" s="138" t="s">
        <v>28</v>
      </c>
      <c r="D34" s="22">
        <v>49</v>
      </c>
      <c r="E34" s="140" t="s">
        <v>11</v>
      </c>
      <c r="F34" s="37" t="s">
        <v>66</v>
      </c>
      <c r="G34" s="118" t="s">
        <v>226</v>
      </c>
      <c r="H34" s="17" t="s">
        <v>317</v>
      </c>
      <c r="I34" s="66" t="s">
        <v>38</v>
      </c>
      <c r="J34" s="133" t="s">
        <v>37</v>
      </c>
      <c r="K34" s="41" t="s">
        <v>68</v>
      </c>
      <c r="L34" s="90">
        <v>44044</v>
      </c>
      <c r="M34" s="6" t="s">
        <v>8</v>
      </c>
      <c r="N34" s="232" t="s">
        <v>32</v>
      </c>
      <c r="O34" s="18">
        <f t="shared" ca="1" si="2"/>
        <v>30</v>
      </c>
      <c r="P34" s="24"/>
      <c r="Q34" s="8"/>
      <c r="R34" s="14"/>
      <c r="S34" s="8"/>
      <c r="T34" s="14"/>
      <c r="U34" s="48"/>
      <c r="V34" s="94"/>
      <c r="W34" s="8"/>
      <c r="X34" s="8"/>
      <c r="Y34" s="50"/>
      <c r="Z34" s="217"/>
      <c r="AA34" s="8"/>
      <c r="AB34" s="8"/>
      <c r="AC34" s="25"/>
      <c r="AD34" s="39"/>
      <c r="AE34" s="218"/>
      <c r="AF34" s="9"/>
      <c r="AG34" s="40"/>
      <c r="AH34" s="9"/>
      <c r="AI34" s="39"/>
      <c r="AJ34" s="26"/>
    </row>
    <row r="35" spans="1:36" s="1" customFormat="1" ht="30" customHeight="1" x14ac:dyDescent="0.25">
      <c r="A35" s="137">
        <v>189</v>
      </c>
      <c r="B35" s="138" t="s">
        <v>53</v>
      </c>
      <c r="C35" s="138" t="s">
        <v>108</v>
      </c>
      <c r="D35" s="22">
        <v>50</v>
      </c>
      <c r="E35" s="140" t="s">
        <v>107</v>
      </c>
      <c r="F35" s="91" t="s">
        <v>133</v>
      </c>
      <c r="G35" s="118">
        <v>92700252</v>
      </c>
      <c r="H35" s="17" t="s">
        <v>312</v>
      </c>
      <c r="I35" s="229" t="s">
        <v>314</v>
      </c>
      <c r="J35" s="228" t="s">
        <v>315</v>
      </c>
      <c r="K35" s="227" t="s">
        <v>68</v>
      </c>
      <c r="L35" s="90">
        <v>45824</v>
      </c>
      <c r="M35" s="6" t="s">
        <v>8</v>
      </c>
      <c r="N35" s="232" t="s">
        <v>7</v>
      </c>
      <c r="O35" s="18">
        <f t="shared" ca="1" si="2"/>
        <v>50</v>
      </c>
      <c r="P35" s="24"/>
      <c r="Q35" s="8"/>
      <c r="R35" s="14"/>
      <c r="S35" s="8"/>
      <c r="T35" s="8"/>
      <c r="U35" s="48"/>
      <c r="V35" s="45"/>
      <c r="W35" s="8"/>
      <c r="X35" s="8"/>
      <c r="Y35" s="50"/>
      <c r="Z35" s="217"/>
      <c r="AA35" s="8"/>
      <c r="AB35" s="8"/>
      <c r="AC35" s="25"/>
      <c r="AD35" s="39"/>
      <c r="AE35" s="218"/>
      <c r="AF35" s="9"/>
      <c r="AG35" s="40"/>
      <c r="AH35" s="9"/>
      <c r="AI35" s="39"/>
      <c r="AJ35" s="26"/>
    </row>
    <row r="36" spans="1:36" s="1" customFormat="1" ht="42" customHeight="1" x14ac:dyDescent="0.25">
      <c r="A36" s="137">
        <v>189</v>
      </c>
      <c r="B36" s="259" t="s">
        <v>53</v>
      </c>
      <c r="C36" s="138" t="s">
        <v>108</v>
      </c>
      <c r="D36" s="22">
        <v>72</v>
      </c>
      <c r="E36" s="140" t="s">
        <v>107</v>
      </c>
      <c r="F36" s="91" t="s">
        <v>134</v>
      </c>
      <c r="G36" s="118">
        <v>92700259</v>
      </c>
      <c r="H36" s="17" t="s">
        <v>335</v>
      </c>
      <c r="I36" s="229" t="s">
        <v>336</v>
      </c>
      <c r="J36" s="260" t="s">
        <v>337</v>
      </c>
      <c r="K36" s="227" t="s">
        <v>68</v>
      </c>
      <c r="L36" s="90">
        <v>45946</v>
      </c>
      <c r="M36" s="6" t="s">
        <v>8</v>
      </c>
      <c r="N36" s="232" t="s">
        <v>7</v>
      </c>
      <c r="O36" s="18">
        <f t="shared" ca="1" si="2"/>
        <v>32</v>
      </c>
      <c r="P36" s="24"/>
      <c r="Q36" s="8"/>
      <c r="R36" s="14"/>
      <c r="S36" s="8"/>
      <c r="T36" s="8"/>
      <c r="U36" s="48"/>
      <c r="V36" s="8"/>
      <c r="W36" s="8"/>
      <c r="X36" s="8"/>
      <c r="Y36" s="50"/>
      <c r="Z36" s="217"/>
      <c r="AA36" s="8"/>
      <c r="AB36" s="8"/>
      <c r="AC36" s="25"/>
      <c r="AD36" s="39"/>
      <c r="AE36" s="218"/>
      <c r="AF36" s="9"/>
      <c r="AG36" s="40"/>
      <c r="AH36" s="9"/>
      <c r="AI36" s="39"/>
      <c r="AJ36" s="26"/>
    </row>
    <row r="37" spans="1:36" s="1" customFormat="1" ht="45" x14ac:dyDescent="0.25">
      <c r="A37" s="137">
        <v>191</v>
      </c>
      <c r="B37" s="138" t="s">
        <v>54</v>
      </c>
      <c r="C37" s="111" t="s">
        <v>35</v>
      </c>
      <c r="D37" s="22">
        <v>51</v>
      </c>
      <c r="E37" s="139" t="s">
        <v>10</v>
      </c>
      <c r="F37" s="36" t="s">
        <v>135</v>
      </c>
      <c r="G37" s="124">
        <v>92700239</v>
      </c>
      <c r="H37" s="17" t="s">
        <v>280</v>
      </c>
      <c r="I37" s="164" t="s">
        <v>283</v>
      </c>
      <c r="J37" s="165" t="s">
        <v>284</v>
      </c>
      <c r="K37" s="164" t="s">
        <v>68</v>
      </c>
      <c r="L37" s="166">
        <v>45732</v>
      </c>
      <c r="M37" s="6" t="s">
        <v>8</v>
      </c>
      <c r="N37" s="201" t="s">
        <v>32</v>
      </c>
      <c r="O37" s="18">
        <f t="shared" ca="1" si="2"/>
        <v>29</v>
      </c>
      <c r="P37" s="24"/>
      <c r="Q37" s="8"/>
      <c r="R37" s="14"/>
      <c r="S37" s="8"/>
      <c r="T37" s="8"/>
      <c r="U37" s="48"/>
      <c r="V37" s="8"/>
      <c r="W37" s="8"/>
      <c r="X37" s="8"/>
      <c r="Y37" s="50"/>
      <c r="Z37" s="217"/>
      <c r="AA37" s="8"/>
      <c r="AB37" s="8"/>
      <c r="AC37" s="25"/>
      <c r="AD37" s="39"/>
      <c r="AE37" s="218"/>
      <c r="AF37" s="9"/>
      <c r="AG37" s="40"/>
      <c r="AH37" s="9"/>
      <c r="AI37" s="39"/>
      <c r="AJ37" s="26"/>
    </row>
    <row r="38" spans="1:36" s="1" customFormat="1" ht="45" x14ac:dyDescent="0.25">
      <c r="A38" s="137">
        <v>191</v>
      </c>
      <c r="B38" s="138" t="s">
        <v>54</v>
      </c>
      <c r="C38" s="138" t="s">
        <v>13</v>
      </c>
      <c r="D38" s="22">
        <v>16</v>
      </c>
      <c r="E38" s="139" t="s">
        <v>9</v>
      </c>
      <c r="F38" s="91" t="s">
        <v>136</v>
      </c>
      <c r="G38" s="118">
        <v>92700205</v>
      </c>
      <c r="H38" s="17" t="s">
        <v>178</v>
      </c>
      <c r="I38" s="15" t="s">
        <v>217</v>
      </c>
      <c r="J38" s="112" t="s">
        <v>218</v>
      </c>
      <c r="K38" s="41" t="s">
        <v>68</v>
      </c>
      <c r="L38" s="47">
        <v>45658</v>
      </c>
      <c r="M38" s="6" t="s">
        <v>8</v>
      </c>
      <c r="N38" s="128" t="s">
        <v>7</v>
      </c>
      <c r="O38" s="18">
        <f t="shared" ca="1" si="2"/>
        <v>32</v>
      </c>
      <c r="P38" s="214"/>
      <c r="Q38" s="8"/>
      <c r="R38" s="14"/>
      <c r="S38" s="8"/>
      <c r="T38" s="8"/>
      <c r="U38" s="48"/>
      <c r="V38" s="8"/>
      <c r="W38" s="8"/>
      <c r="X38" s="8"/>
      <c r="Y38" s="50"/>
      <c r="Z38" s="217"/>
      <c r="AA38" s="8"/>
      <c r="AB38" s="8"/>
      <c r="AC38" s="25"/>
      <c r="AD38" s="39"/>
      <c r="AE38" s="218"/>
      <c r="AF38" s="9"/>
      <c r="AG38" s="40"/>
      <c r="AH38" s="9"/>
      <c r="AI38" s="39"/>
      <c r="AJ38" s="26"/>
    </row>
    <row r="39" spans="1:36" s="1" customFormat="1" ht="45" x14ac:dyDescent="0.25">
      <c r="A39" s="137">
        <v>192</v>
      </c>
      <c r="B39" s="138" t="s">
        <v>45</v>
      </c>
      <c r="C39" s="138" t="s">
        <v>25</v>
      </c>
      <c r="D39" s="22">
        <v>5</v>
      </c>
      <c r="E39" s="139" t="s">
        <v>11</v>
      </c>
      <c r="F39" s="36" t="s">
        <v>137</v>
      </c>
      <c r="G39" s="118">
        <v>92700246</v>
      </c>
      <c r="H39" s="17" t="s">
        <v>299</v>
      </c>
      <c r="I39" s="129" t="s">
        <v>300</v>
      </c>
      <c r="J39" s="130" t="s">
        <v>301</v>
      </c>
      <c r="K39" s="41" t="s">
        <v>68</v>
      </c>
      <c r="L39" s="90">
        <v>45793</v>
      </c>
      <c r="M39" s="23" t="s">
        <v>8</v>
      </c>
      <c r="N39" s="232" t="s">
        <v>7</v>
      </c>
      <c r="O39" s="18">
        <f t="shared" ca="1" si="2"/>
        <v>26</v>
      </c>
      <c r="P39" s="24"/>
      <c r="Q39" s="8"/>
      <c r="R39" s="14"/>
      <c r="S39" s="8"/>
      <c r="T39" s="8"/>
      <c r="U39" s="48"/>
      <c r="V39" s="94"/>
      <c r="W39" s="8"/>
      <c r="X39" s="8"/>
      <c r="Y39" s="50"/>
      <c r="Z39" s="217"/>
      <c r="AA39" s="8"/>
      <c r="AB39" s="8"/>
      <c r="AC39" s="25"/>
      <c r="AD39" s="39"/>
      <c r="AE39" s="218"/>
      <c r="AF39" s="9"/>
      <c r="AG39" s="40"/>
      <c r="AH39" s="9"/>
      <c r="AI39" s="39"/>
      <c r="AJ39" s="26"/>
    </row>
    <row r="40" spans="1:36" s="1" customFormat="1" ht="45" x14ac:dyDescent="0.25">
      <c r="A40" s="137">
        <v>192</v>
      </c>
      <c r="B40" s="138" t="s">
        <v>45</v>
      </c>
      <c r="C40" s="138" t="s">
        <v>108</v>
      </c>
      <c r="D40" s="22">
        <v>61</v>
      </c>
      <c r="E40" s="140" t="s">
        <v>107</v>
      </c>
      <c r="F40" s="91" t="s">
        <v>138</v>
      </c>
      <c r="G40" s="118" t="s">
        <v>221</v>
      </c>
      <c r="H40" s="216" t="s">
        <v>180</v>
      </c>
      <c r="I40" s="12" t="s">
        <v>219</v>
      </c>
      <c r="J40" s="7" t="s">
        <v>220</v>
      </c>
      <c r="K40" s="41" t="s">
        <v>68</v>
      </c>
      <c r="L40" s="47">
        <v>45658</v>
      </c>
      <c r="M40" s="6" t="s">
        <v>8</v>
      </c>
      <c r="N40" s="232" t="s">
        <v>32</v>
      </c>
      <c r="O40" s="18">
        <f ca="1">DATEDIF(DATE(IF(MID($J40,5,2)+2000&gt;YEAR(TODAY()),MID($J40,5,2)+1900,MID($J40,5,2)+2000),MID($J40,7,2),MID($J40,9,2)),TODAY(),"y")</f>
        <v>28</v>
      </c>
      <c r="P40" s="24"/>
      <c r="Q40" s="8"/>
      <c r="R40" s="14"/>
      <c r="S40" s="8"/>
      <c r="T40" s="8"/>
      <c r="U40" s="48"/>
      <c r="V40" s="8"/>
      <c r="W40" s="8"/>
      <c r="X40" s="8"/>
      <c r="Y40" s="50"/>
      <c r="Z40" s="217"/>
      <c r="AA40" s="8"/>
      <c r="AB40" s="8"/>
      <c r="AC40" s="25"/>
      <c r="AD40" s="39"/>
      <c r="AE40" s="218"/>
      <c r="AF40" s="9"/>
      <c r="AG40" s="40"/>
      <c r="AH40" s="9"/>
      <c r="AI40" s="39"/>
      <c r="AJ40" s="26"/>
    </row>
    <row r="41" spans="1:36" s="1" customFormat="1" ht="45" x14ac:dyDescent="0.25">
      <c r="A41" s="137">
        <v>192</v>
      </c>
      <c r="B41" s="138" t="s">
        <v>45</v>
      </c>
      <c r="C41" s="138" t="s">
        <v>108</v>
      </c>
      <c r="D41" s="22">
        <v>10</v>
      </c>
      <c r="E41" s="140" t="s">
        <v>107</v>
      </c>
      <c r="F41" s="91" t="s">
        <v>139</v>
      </c>
      <c r="G41" s="252">
        <v>92700258</v>
      </c>
      <c r="H41" s="255" t="s">
        <v>328</v>
      </c>
      <c r="I41" s="253" t="s">
        <v>329</v>
      </c>
      <c r="J41" s="261" t="s">
        <v>330</v>
      </c>
      <c r="K41" s="41" t="s">
        <v>68</v>
      </c>
      <c r="L41" s="254">
        <v>45946</v>
      </c>
      <c r="M41" s="23" t="s">
        <v>8</v>
      </c>
      <c r="N41" s="232" t="s">
        <v>7</v>
      </c>
      <c r="O41" s="18">
        <f ca="1">DATEDIF(DATE(IF(MID($J41,5,2)+2000&gt;YEAR(TODAY()),MID($J41,5,2)+1900,MID($J41,5,2)+2000),MID($J41,7,2),MID($J41,9,2)),TODAY(),"y")</f>
        <v>27</v>
      </c>
      <c r="P41" s="24"/>
      <c r="Q41" s="8"/>
      <c r="R41" s="14"/>
      <c r="S41" s="8"/>
      <c r="T41" s="8"/>
      <c r="U41" s="48"/>
      <c r="V41" s="8"/>
      <c r="W41" s="8"/>
      <c r="X41" s="8"/>
      <c r="Y41" s="50"/>
      <c r="Z41" s="217"/>
      <c r="AA41" s="8"/>
      <c r="AB41" s="8"/>
      <c r="AC41" s="25"/>
      <c r="AD41" s="39"/>
      <c r="AE41" s="218"/>
      <c r="AF41" s="9"/>
      <c r="AG41" s="40"/>
      <c r="AH41" s="9"/>
      <c r="AI41" s="39"/>
      <c r="AJ41" s="26"/>
    </row>
    <row r="42" spans="1:36" s="1" customFormat="1" ht="30" x14ac:dyDescent="0.25">
      <c r="A42" s="137">
        <v>193</v>
      </c>
      <c r="B42" s="138" t="s">
        <v>41</v>
      </c>
      <c r="C42" s="138" t="s">
        <v>23</v>
      </c>
      <c r="D42" s="22">
        <v>52</v>
      </c>
      <c r="E42" s="139" t="s">
        <v>11</v>
      </c>
      <c r="F42" s="36" t="s">
        <v>140</v>
      </c>
      <c r="G42" s="118">
        <v>92700230</v>
      </c>
      <c r="H42" s="17" t="s">
        <v>248</v>
      </c>
      <c r="I42" s="147" t="s">
        <v>254</v>
      </c>
      <c r="J42" s="147" t="s">
        <v>255</v>
      </c>
      <c r="K42" s="41" t="s">
        <v>68</v>
      </c>
      <c r="L42" s="123">
        <v>45689</v>
      </c>
      <c r="M42" s="6" t="s">
        <v>8</v>
      </c>
      <c r="N42" s="145" t="s">
        <v>7</v>
      </c>
      <c r="O42" s="18">
        <f t="shared" ca="1" si="2"/>
        <v>41</v>
      </c>
      <c r="P42" s="24"/>
      <c r="Q42" s="8"/>
      <c r="R42" s="14"/>
      <c r="S42" s="8"/>
      <c r="T42" s="8"/>
      <c r="U42" s="48"/>
      <c r="V42" s="94"/>
      <c r="W42" s="8"/>
      <c r="X42" s="8"/>
      <c r="Y42" s="50"/>
      <c r="Z42" s="217"/>
      <c r="AA42" s="8"/>
      <c r="AB42" s="8"/>
      <c r="AC42" s="25"/>
      <c r="AD42" s="39"/>
      <c r="AE42" s="218"/>
      <c r="AF42" s="9"/>
      <c r="AG42" s="40"/>
      <c r="AH42" s="9"/>
      <c r="AI42" s="39"/>
      <c r="AJ42" s="26"/>
    </row>
    <row r="43" spans="1:36" s="1" customFormat="1" ht="30" x14ac:dyDescent="0.25">
      <c r="A43" s="137">
        <v>193</v>
      </c>
      <c r="B43" s="138" t="s">
        <v>41</v>
      </c>
      <c r="C43" s="138" t="s">
        <v>108</v>
      </c>
      <c r="D43" s="22">
        <v>53</v>
      </c>
      <c r="E43" s="140" t="s">
        <v>107</v>
      </c>
      <c r="F43" s="91" t="s">
        <v>141</v>
      </c>
      <c r="G43" s="124">
        <v>92700229</v>
      </c>
      <c r="H43" s="21" t="s">
        <v>247</v>
      </c>
      <c r="I43" s="170" t="s">
        <v>256</v>
      </c>
      <c r="J43" s="175" t="s">
        <v>257</v>
      </c>
      <c r="K43" s="164" t="s">
        <v>68</v>
      </c>
      <c r="L43" s="171">
        <v>45689</v>
      </c>
      <c r="M43" s="23" t="s">
        <v>8</v>
      </c>
      <c r="N43" s="201" t="s">
        <v>7</v>
      </c>
      <c r="O43" s="18">
        <f t="shared" ca="1" si="2"/>
        <v>29</v>
      </c>
      <c r="P43" s="24"/>
      <c r="Q43" s="8"/>
      <c r="R43" s="14"/>
      <c r="S43" s="8"/>
      <c r="T43" s="8"/>
      <c r="U43" s="48"/>
      <c r="V43" s="8"/>
      <c r="W43" s="8"/>
      <c r="X43" s="8"/>
      <c r="Y43" s="50"/>
      <c r="Z43" s="217"/>
      <c r="AA43" s="8"/>
      <c r="AB43" s="8"/>
      <c r="AC43" s="25"/>
      <c r="AD43" s="39"/>
      <c r="AE43" s="218"/>
      <c r="AF43" s="9"/>
      <c r="AG43" s="40"/>
      <c r="AH43" s="9"/>
      <c r="AI43" s="39"/>
      <c r="AJ43" s="26"/>
    </row>
    <row r="44" spans="1:36" s="1" customFormat="1" ht="30" x14ac:dyDescent="0.25">
      <c r="A44" s="137">
        <v>193</v>
      </c>
      <c r="B44" s="138" t="s">
        <v>41</v>
      </c>
      <c r="C44" s="138" t="s">
        <v>108</v>
      </c>
      <c r="D44" s="22">
        <v>54</v>
      </c>
      <c r="E44" s="140" t="s">
        <v>107</v>
      </c>
      <c r="F44" s="91" t="s">
        <v>142</v>
      </c>
      <c r="G44" s="124">
        <v>92700256</v>
      </c>
      <c r="H44" s="17" t="s">
        <v>325</v>
      </c>
      <c r="I44" s="251" t="s">
        <v>327</v>
      </c>
      <c r="J44" s="251" t="s">
        <v>326</v>
      </c>
      <c r="K44" s="246" t="s">
        <v>68</v>
      </c>
      <c r="L44" s="123">
        <v>45916</v>
      </c>
      <c r="M44" s="11" t="s">
        <v>8</v>
      </c>
      <c r="N44" s="248" t="s">
        <v>7</v>
      </c>
      <c r="O44" s="18">
        <f ca="1">DATEDIF(DATE(IF(MID($J44,5,2)+2000&gt;YEAR(TODAY()),MID($J44,5,2)+1900,MID($J44,5,2)+2000),MID($J44,7,2),MID($J44,9,2)),TODAY(),"y")</f>
        <v>29</v>
      </c>
      <c r="P44" s="24"/>
      <c r="Q44" s="8"/>
      <c r="R44" s="14"/>
      <c r="S44" s="8"/>
      <c r="T44" s="8"/>
      <c r="U44" s="48"/>
      <c r="V44" s="8"/>
      <c r="W44" s="8"/>
      <c r="X44" s="8"/>
      <c r="Y44" s="50"/>
      <c r="Z44" s="217"/>
      <c r="AA44" s="8"/>
      <c r="AB44" s="8"/>
      <c r="AC44" s="25"/>
      <c r="AD44" s="39"/>
      <c r="AE44" s="218"/>
      <c r="AF44" s="9"/>
      <c r="AG44" s="40"/>
      <c r="AH44" s="9"/>
      <c r="AI44" s="39"/>
      <c r="AJ44" s="26"/>
    </row>
    <row r="45" spans="1:36" s="1" customFormat="1" ht="60" x14ac:dyDescent="0.25">
      <c r="A45" s="137">
        <v>194</v>
      </c>
      <c r="B45" s="138" t="s">
        <v>55</v>
      </c>
      <c r="C45" s="138" t="s">
        <v>24</v>
      </c>
      <c r="D45" s="22">
        <v>77</v>
      </c>
      <c r="E45" s="139" t="s">
        <v>11</v>
      </c>
      <c r="F45" s="36" t="s">
        <v>143</v>
      </c>
      <c r="G45" s="118" t="s">
        <v>170</v>
      </c>
      <c r="H45" s="17" t="s">
        <v>171</v>
      </c>
      <c r="I45" s="119" t="s">
        <v>95</v>
      </c>
      <c r="J45" s="120" t="s">
        <v>96</v>
      </c>
      <c r="K45" s="41" t="s">
        <v>68</v>
      </c>
      <c r="L45" s="123">
        <v>44682</v>
      </c>
      <c r="M45" s="6" t="s">
        <v>8</v>
      </c>
      <c r="N45" s="51" t="s">
        <v>7</v>
      </c>
      <c r="O45" s="18">
        <f t="shared" ca="1" si="2"/>
        <v>34</v>
      </c>
      <c r="P45" s="24"/>
      <c r="Q45" s="8"/>
      <c r="R45" s="14"/>
      <c r="S45" s="8"/>
      <c r="T45" s="8"/>
      <c r="U45" s="48"/>
      <c r="V45" s="94"/>
      <c r="W45" s="8"/>
      <c r="X45" s="8"/>
      <c r="Y45" s="50"/>
      <c r="Z45" s="217"/>
      <c r="AA45" s="8"/>
      <c r="AB45" s="8"/>
      <c r="AC45" s="25"/>
      <c r="AD45" s="39"/>
      <c r="AE45" s="218"/>
      <c r="AF45" s="9"/>
      <c r="AG45" s="40"/>
      <c r="AH45" s="9"/>
      <c r="AI45" s="39"/>
      <c r="AJ45" s="26"/>
    </row>
    <row r="46" spans="1:36" s="1" customFormat="1" ht="60" x14ac:dyDescent="0.25">
      <c r="A46" s="137">
        <v>194</v>
      </c>
      <c r="B46" s="138" t="s">
        <v>55</v>
      </c>
      <c r="C46" s="138" t="s">
        <v>108</v>
      </c>
      <c r="D46" s="22">
        <v>30</v>
      </c>
      <c r="E46" s="140" t="s">
        <v>107</v>
      </c>
      <c r="F46" s="91" t="s">
        <v>144</v>
      </c>
      <c r="G46" s="252">
        <v>92700257</v>
      </c>
      <c r="H46" s="255" t="s">
        <v>331</v>
      </c>
      <c r="I46" s="253" t="s">
        <v>332</v>
      </c>
      <c r="J46" s="253" t="s">
        <v>333</v>
      </c>
      <c r="K46" s="256" t="s">
        <v>68</v>
      </c>
      <c r="L46" s="254">
        <v>45946</v>
      </c>
      <c r="M46" s="23" t="s">
        <v>8</v>
      </c>
      <c r="N46" s="257" t="s">
        <v>32</v>
      </c>
      <c r="O46" s="18">
        <f t="shared" ca="1" si="2"/>
        <v>35</v>
      </c>
      <c r="P46" s="24"/>
      <c r="Q46" s="8"/>
      <c r="R46" s="14"/>
      <c r="S46" s="8"/>
      <c r="T46" s="8"/>
      <c r="U46" s="48"/>
      <c r="V46" s="8"/>
      <c r="W46" s="8"/>
      <c r="X46" s="8"/>
      <c r="Y46" s="50"/>
      <c r="Z46" s="217"/>
      <c r="AA46" s="8"/>
      <c r="AB46" s="8"/>
      <c r="AC46" s="25"/>
      <c r="AD46" s="39"/>
      <c r="AE46" s="218"/>
      <c r="AF46" s="9"/>
      <c r="AG46" s="40"/>
      <c r="AH46" s="9"/>
      <c r="AI46" s="39"/>
      <c r="AJ46" s="26"/>
    </row>
    <row r="47" spans="1:36" s="1" customFormat="1" ht="30" customHeight="1" x14ac:dyDescent="0.25">
      <c r="A47" s="137">
        <v>194</v>
      </c>
      <c r="B47" s="138" t="s">
        <v>55</v>
      </c>
      <c r="C47" s="138" t="s">
        <v>108</v>
      </c>
      <c r="D47" s="22">
        <v>56</v>
      </c>
      <c r="E47" s="140" t="s">
        <v>107</v>
      </c>
      <c r="F47" s="91" t="s">
        <v>145</v>
      </c>
      <c r="G47" s="118">
        <v>92700253</v>
      </c>
      <c r="H47" s="21" t="s">
        <v>319</v>
      </c>
      <c r="I47" s="147" t="s">
        <v>320</v>
      </c>
      <c r="J47" s="147" t="s">
        <v>321</v>
      </c>
      <c r="K47" s="41" t="s">
        <v>68</v>
      </c>
      <c r="L47" s="123">
        <v>45854</v>
      </c>
      <c r="M47" s="11" t="s">
        <v>8</v>
      </c>
      <c r="N47" s="232" t="s">
        <v>32</v>
      </c>
      <c r="O47" s="18">
        <f ca="1">DATEDIF(DATE(IF(MID($J47,5,2)+2000&gt;YEAR(TODAY()),MID($J47,5,2)+1900,MID($J47,5,2)+2000),MID($J47,7,2),MID($J47,9,2)),TODAY(),"y")</f>
        <v>53</v>
      </c>
      <c r="P47" s="24"/>
      <c r="Q47" s="8"/>
      <c r="R47" s="14"/>
      <c r="S47" s="8"/>
      <c r="T47" s="8"/>
      <c r="U47" s="48"/>
      <c r="V47" s="8"/>
      <c r="W47" s="8"/>
      <c r="X47" s="8"/>
      <c r="Y47" s="50"/>
      <c r="Z47" s="217"/>
      <c r="AA47" s="8"/>
      <c r="AB47" s="8"/>
      <c r="AC47" s="25"/>
      <c r="AD47" s="39"/>
      <c r="AE47" s="218"/>
      <c r="AF47" s="9"/>
      <c r="AG47" s="40"/>
      <c r="AH47" s="9"/>
      <c r="AI47" s="39"/>
      <c r="AJ47" s="26"/>
    </row>
    <row r="48" spans="1:36" s="1" customFormat="1" ht="30" customHeight="1" x14ac:dyDescent="0.25">
      <c r="A48" s="137">
        <v>190</v>
      </c>
      <c r="B48" s="138" t="s">
        <v>187</v>
      </c>
      <c r="C48" s="111" t="s">
        <v>188</v>
      </c>
      <c r="D48" s="22">
        <v>7</v>
      </c>
      <c r="E48" s="139" t="s">
        <v>10</v>
      </c>
      <c r="F48" s="113" t="s">
        <v>146</v>
      </c>
      <c r="G48" s="124" t="s">
        <v>223</v>
      </c>
      <c r="H48" s="17" t="s">
        <v>222</v>
      </c>
      <c r="I48" s="192" t="s">
        <v>224</v>
      </c>
      <c r="J48" s="193" t="s">
        <v>225</v>
      </c>
      <c r="K48" s="155" t="s">
        <v>68</v>
      </c>
      <c r="L48" s="90">
        <v>45658</v>
      </c>
      <c r="M48" s="6" t="s">
        <v>8</v>
      </c>
      <c r="N48" s="51" t="s">
        <v>7</v>
      </c>
      <c r="O48" s="18">
        <f t="shared" ca="1" si="2"/>
        <v>32</v>
      </c>
      <c r="P48" s="24"/>
      <c r="Q48" s="8"/>
      <c r="R48" s="14"/>
      <c r="S48" s="8"/>
      <c r="T48" s="8"/>
      <c r="U48" s="48"/>
      <c r="V48" s="8"/>
      <c r="W48" s="8"/>
      <c r="X48" s="8"/>
      <c r="Y48" s="50"/>
      <c r="Z48" s="217"/>
      <c r="AA48" s="8"/>
      <c r="AB48" s="8"/>
      <c r="AC48" s="25"/>
      <c r="AD48" s="39"/>
      <c r="AE48" s="218"/>
      <c r="AF48" s="9"/>
      <c r="AG48" s="40"/>
      <c r="AH48" s="9"/>
      <c r="AI48" s="39"/>
      <c r="AJ48" s="26"/>
    </row>
    <row r="49" spans="1:36" s="1" customFormat="1" ht="45" x14ac:dyDescent="0.25">
      <c r="A49" s="137" t="s">
        <v>236</v>
      </c>
      <c r="B49" s="138" t="s">
        <v>183</v>
      </c>
      <c r="C49" s="138" t="s">
        <v>108</v>
      </c>
      <c r="D49" s="22">
        <v>8</v>
      </c>
      <c r="E49" s="140" t="s">
        <v>107</v>
      </c>
      <c r="F49" s="93" t="s">
        <v>147</v>
      </c>
      <c r="G49" s="118">
        <v>92700248</v>
      </c>
      <c r="H49" s="21" t="s">
        <v>302</v>
      </c>
      <c r="I49" s="222" t="s">
        <v>303</v>
      </c>
      <c r="J49" s="224" t="s">
        <v>307</v>
      </c>
      <c r="K49" s="41" t="s">
        <v>68</v>
      </c>
      <c r="L49" s="90">
        <v>45793</v>
      </c>
      <c r="M49" s="6" t="s">
        <v>8</v>
      </c>
      <c r="N49" s="232" t="s">
        <v>7</v>
      </c>
      <c r="O49" s="18">
        <f t="shared" ca="1" si="2"/>
        <v>37</v>
      </c>
      <c r="P49" s="24"/>
      <c r="Q49" s="8"/>
      <c r="R49" s="14"/>
      <c r="S49" s="8"/>
      <c r="T49" s="8"/>
      <c r="U49" s="48"/>
      <c r="V49" s="8"/>
      <c r="W49" s="8"/>
      <c r="X49" s="8"/>
      <c r="Y49" s="50"/>
      <c r="Z49" s="217"/>
      <c r="AA49" s="8"/>
      <c r="AB49" s="8"/>
      <c r="AC49" s="25"/>
      <c r="AD49" s="39"/>
      <c r="AE49" s="218"/>
      <c r="AF49" s="9"/>
      <c r="AG49" s="40"/>
      <c r="AH49" s="9"/>
      <c r="AI49" s="39"/>
      <c r="AJ49" s="26"/>
    </row>
    <row r="50" spans="1:36" s="1" customFormat="1" ht="45" x14ac:dyDescent="0.25">
      <c r="A50" s="137" t="s">
        <v>237</v>
      </c>
      <c r="B50" s="138" t="s">
        <v>184</v>
      </c>
      <c r="C50" s="138" t="s">
        <v>108</v>
      </c>
      <c r="D50" s="144">
        <v>60</v>
      </c>
      <c r="E50" s="140" t="s">
        <v>107</v>
      </c>
      <c r="F50" s="93" t="s">
        <v>148</v>
      </c>
      <c r="G50" s="118">
        <v>92700233</v>
      </c>
      <c r="H50" s="21" t="s">
        <v>249</v>
      </c>
      <c r="I50" s="116" t="s">
        <v>258</v>
      </c>
      <c r="J50" s="132" t="s">
        <v>259</v>
      </c>
      <c r="K50" s="41" t="s">
        <v>68</v>
      </c>
      <c r="L50" s="90">
        <v>45689</v>
      </c>
      <c r="M50" s="11" t="s">
        <v>8</v>
      </c>
      <c r="N50" s="232" t="s">
        <v>32</v>
      </c>
      <c r="O50" s="18">
        <f t="shared" ca="1" si="2"/>
        <v>29</v>
      </c>
      <c r="P50" s="24"/>
      <c r="Q50" s="8"/>
      <c r="R50" s="14"/>
      <c r="S50" s="8"/>
      <c r="T50" s="8"/>
      <c r="U50" s="48"/>
      <c r="V50" s="8"/>
      <c r="W50" s="8"/>
      <c r="X50" s="8"/>
      <c r="Y50" s="50"/>
      <c r="Z50" s="217"/>
      <c r="AA50" s="8"/>
      <c r="AB50" s="8"/>
      <c r="AC50" s="25"/>
      <c r="AD50" s="39"/>
      <c r="AE50" s="218"/>
      <c r="AF50" s="9"/>
      <c r="AG50" s="40"/>
      <c r="AH50" s="9"/>
      <c r="AI50" s="39"/>
      <c r="AJ50" s="26"/>
    </row>
    <row r="51" spans="1:36" s="1" customFormat="1" ht="45" x14ac:dyDescent="0.25">
      <c r="A51" s="137" t="s">
        <v>238</v>
      </c>
      <c r="B51" s="138" t="s">
        <v>234</v>
      </c>
      <c r="C51" s="138" t="s">
        <v>108</v>
      </c>
      <c r="D51" s="144">
        <v>79</v>
      </c>
      <c r="E51" s="140" t="s">
        <v>107</v>
      </c>
      <c r="F51" s="95" t="s">
        <v>149</v>
      </c>
      <c r="G51" s="210">
        <v>92700242</v>
      </c>
      <c r="H51" s="17" t="s">
        <v>288</v>
      </c>
      <c r="I51" s="66" t="s">
        <v>289</v>
      </c>
      <c r="J51" s="209" t="s">
        <v>290</v>
      </c>
      <c r="K51" s="41" t="s">
        <v>68</v>
      </c>
      <c r="L51" s="90">
        <v>45763</v>
      </c>
      <c r="M51" s="11" t="s">
        <v>8</v>
      </c>
      <c r="N51" s="232" t="s">
        <v>32</v>
      </c>
      <c r="O51" s="18">
        <f t="shared" ca="1" si="2"/>
        <v>41</v>
      </c>
      <c r="P51" s="24"/>
      <c r="Q51" s="8"/>
      <c r="R51" s="14"/>
      <c r="S51" s="8"/>
      <c r="T51" s="8"/>
      <c r="U51" s="48"/>
      <c r="V51" s="8"/>
      <c r="W51" s="8"/>
      <c r="X51" s="8"/>
      <c r="Y51" s="50"/>
      <c r="Z51" s="217"/>
      <c r="AA51" s="8"/>
      <c r="AB51" s="8"/>
      <c r="AC51" s="25"/>
      <c r="AD51" s="39"/>
      <c r="AE51" s="218"/>
      <c r="AF51" s="9"/>
      <c r="AG51" s="40"/>
      <c r="AH51" s="9"/>
      <c r="AI51" s="39"/>
      <c r="AJ51" s="26"/>
    </row>
    <row r="52" spans="1:36" s="1" customFormat="1" ht="30" customHeight="1" x14ac:dyDescent="0.25">
      <c r="A52" s="137" t="s">
        <v>239</v>
      </c>
      <c r="B52" s="138" t="s">
        <v>235</v>
      </c>
      <c r="C52" s="138" t="s">
        <v>108</v>
      </c>
      <c r="D52" s="22">
        <v>38</v>
      </c>
      <c r="E52" s="140" t="s">
        <v>107</v>
      </c>
      <c r="F52" s="93" t="s">
        <v>153</v>
      </c>
      <c r="G52" s="124">
        <v>92700260</v>
      </c>
      <c r="H52" s="220" t="s">
        <v>342</v>
      </c>
      <c r="I52" s="164" t="s">
        <v>343</v>
      </c>
      <c r="J52" s="269" t="s">
        <v>344</v>
      </c>
      <c r="K52" s="164" t="s">
        <v>68</v>
      </c>
      <c r="L52" s="171">
        <v>45962</v>
      </c>
      <c r="M52" s="262" t="s">
        <v>85</v>
      </c>
      <c r="N52" s="265" t="s">
        <v>32</v>
      </c>
      <c r="O52" s="18">
        <f ca="1">DATEDIF(DATE(IF(MID($J52,5,2)+2000&gt;YEAR(TODAY()),MID($J52,5,2)+1900,MID($J52,5,2)+2000),MID($J52,7,2),MID($J52,9,2)),TODAY(),"y")</f>
        <v>64</v>
      </c>
      <c r="P52" s="24"/>
      <c r="Q52" s="8"/>
      <c r="R52" s="14"/>
      <c r="S52" s="8"/>
      <c r="T52" s="13"/>
      <c r="U52" s="48"/>
      <c r="V52" s="13"/>
      <c r="W52" s="8"/>
      <c r="X52" s="8"/>
      <c r="Y52" s="50"/>
      <c r="Z52" s="217"/>
      <c r="AA52" s="8"/>
      <c r="AB52" s="8"/>
      <c r="AC52" s="25"/>
      <c r="AD52" s="39"/>
      <c r="AE52" s="218"/>
      <c r="AF52" s="9"/>
      <c r="AG52" s="40"/>
      <c r="AH52" s="9"/>
      <c r="AI52" s="39"/>
      <c r="AJ52" s="26"/>
    </row>
    <row r="53" spans="1:36" s="1" customFormat="1" ht="30" customHeight="1" x14ac:dyDescent="0.25">
      <c r="A53" s="137" t="s">
        <v>240</v>
      </c>
      <c r="B53" s="138" t="s">
        <v>189</v>
      </c>
      <c r="C53" s="138" t="s">
        <v>108</v>
      </c>
      <c r="D53" s="22">
        <v>1</v>
      </c>
      <c r="E53" s="140" t="s">
        <v>107</v>
      </c>
      <c r="F53" s="36" t="s">
        <v>113</v>
      </c>
      <c r="G53" s="118">
        <v>92700225</v>
      </c>
      <c r="H53" s="17" t="s">
        <v>192</v>
      </c>
      <c r="I53" s="12" t="s">
        <v>260</v>
      </c>
      <c r="J53" s="7" t="s">
        <v>261</v>
      </c>
      <c r="K53" s="41" t="s">
        <v>68</v>
      </c>
      <c r="L53" s="90">
        <v>45658</v>
      </c>
      <c r="M53" s="6" t="s">
        <v>8</v>
      </c>
      <c r="N53" s="128" t="s">
        <v>32</v>
      </c>
      <c r="O53" s="18">
        <f t="shared" ca="1" si="2"/>
        <v>42</v>
      </c>
      <c r="P53" s="24"/>
      <c r="Q53" s="8"/>
      <c r="R53" s="14"/>
      <c r="S53" s="8"/>
      <c r="T53" s="13"/>
      <c r="U53" s="48"/>
      <c r="V53" s="13"/>
      <c r="W53" s="8"/>
      <c r="X53" s="8"/>
      <c r="Y53" s="50"/>
      <c r="Z53" s="217"/>
      <c r="AA53" s="8"/>
      <c r="AB53" s="8"/>
      <c r="AC53" s="25"/>
      <c r="AD53" s="39"/>
      <c r="AE53" s="218"/>
      <c r="AF53" s="9"/>
      <c r="AG53" s="40"/>
      <c r="AH53" s="9"/>
      <c r="AI53" s="39"/>
      <c r="AJ53" s="26"/>
    </row>
    <row r="54" spans="1:36" s="1" customFormat="1" ht="45" x14ac:dyDescent="0.25">
      <c r="A54" s="137" t="s">
        <v>241</v>
      </c>
      <c r="B54" s="138" t="s">
        <v>185</v>
      </c>
      <c r="C54" s="138" t="s">
        <v>108</v>
      </c>
      <c r="D54" s="22">
        <v>9</v>
      </c>
      <c r="E54" s="140" t="s">
        <v>107</v>
      </c>
      <c r="F54" s="91" t="s">
        <v>152</v>
      </c>
      <c r="G54" s="118">
        <v>84662</v>
      </c>
      <c r="H54" s="17" t="s">
        <v>294</v>
      </c>
      <c r="I54" s="203" t="s">
        <v>295</v>
      </c>
      <c r="J54" s="204" t="s">
        <v>296</v>
      </c>
      <c r="K54" s="41" t="s">
        <v>68</v>
      </c>
      <c r="L54" s="90">
        <v>45778</v>
      </c>
      <c r="M54" s="6" t="s">
        <v>8</v>
      </c>
      <c r="N54" s="51" t="s">
        <v>7</v>
      </c>
      <c r="O54" s="53">
        <f t="shared" ca="1" si="2"/>
        <v>43</v>
      </c>
      <c r="P54" s="24"/>
      <c r="Q54" s="8"/>
      <c r="R54" s="14"/>
      <c r="S54" s="8"/>
      <c r="T54" s="13"/>
      <c r="U54" s="48"/>
      <c r="V54" s="13"/>
      <c r="W54" s="8"/>
      <c r="X54" s="8"/>
      <c r="Y54" s="50"/>
      <c r="Z54" s="217"/>
      <c r="AA54" s="8"/>
      <c r="AB54" s="8"/>
      <c r="AC54" s="25"/>
      <c r="AD54" s="39"/>
      <c r="AE54" s="218"/>
      <c r="AF54" s="9"/>
      <c r="AG54" s="40"/>
      <c r="AH54" s="9"/>
      <c r="AI54" s="39"/>
      <c r="AJ54" s="26"/>
    </row>
    <row r="55" spans="1:36" s="1" customFormat="1" ht="30" customHeight="1" x14ac:dyDescent="0.25">
      <c r="A55" s="137" t="s">
        <v>242</v>
      </c>
      <c r="B55" s="138" t="s">
        <v>186</v>
      </c>
      <c r="C55" s="138" t="s">
        <v>108</v>
      </c>
      <c r="D55" s="22">
        <v>62</v>
      </c>
      <c r="E55" s="140" t="s">
        <v>107</v>
      </c>
      <c r="F55" s="93" t="s">
        <v>151</v>
      </c>
      <c r="G55" s="118">
        <v>92700247</v>
      </c>
      <c r="H55" s="21" t="s">
        <v>304</v>
      </c>
      <c r="I55" s="147" t="s">
        <v>305</v>
      </c>
      <c r="J55" s="148" t="s">
        <v>306</v>
      </c>
      <c r="K55" s="41" t="s">
        <v>68</v>
      </c>
      <c r="L55" s="90">
        <v>45793</v>
      </c>
      <c r="M55" s="52" t="s">
        <v>85</v>
      </c>
      <c r="N55" s="232" t="s">
        <v>7</v>
      </c>
      <c r="O55" s="18">
        <f t="shared" ca="1" si="2"/>
        <v>26</v>
      </c>
      <c r="P55" s="24"/>
      <c r="Q55" s="8"/>
      <c r="R55" s="14"/>
      <c r="S55" s="8"/>
      <c r="T55" s="13"/>
      <c r="U55" s="48"/>
      <c r="V55" s="13"/>
      <c r="W55" s="8"/>
      <c r="X55" s="8"/>
      <c r="Y55" s="50"/>
      <c r="Z55" s="217"/>
      <c r="AA55" s="8"/>
      <c r="AB55" s="8"/>
      <c r="AC55" s="25"/>
      <c r="AD55" s="39"/>
      <c r="AE55" s="218"/>
      <c r="AF55" s="9"/>
      <c r="AG55" s="40"/>
      <c r="AH55" s="9"/>
      <c r="AI55" s="39"/>
      <c r="AJ55" s="26"/>
    </row>
    <row r="56" spans="1:36" ht="45" x14ac:dyDescent="0.25">
      <c r="A56" s="137" t="s">
        <v>243</v>
      </c>
      <c r="B56" s="138" t="s">
        <v>195</v>
      </c>
      <c r="C56" s="138" t="s">
        <v>108</v>
      </c>
      <c r="D56" s="22">
        <v>80</v>
      </c>
      <c r="E56" s="140" t="s">
        <v>107</v>
      </c>
      <c r="F56" s="93" t="s">
        <v>154</v>
      </c>
      <c r="G56" s="118"/>
      <c r="H56" s="236" t="s">
        <v>252</v>
      </c>
      <c r="I56" s="222"/>
      <c r="J56" s="224"/>
      <c r="K56" s="247" t="s">
        <v>318</v>
      </c>
      <c r="L56" s="90"/>
      <c r="M56" s="6" t="s">
        <v>8</v>
      </c>
      <c r="N56" s="232" t="s">
        <v>7</v>
      </c>
      <c r="O56" s="18" t="e">
        <f t="shared" ca="1" si="2"/>
        <v>#VALUE!</v>
      </c>
      <c r="P56" s="24"/>
      <c r="Q56" s="8"/>
      <c r="R56" s="14"/>
      <c r="S56" s="8"/>
      <c r="T56" s="13"/>
      <c r="U56" s="48"/>
      <c r="V56" s="13"/>
      <c r="W56" s="8"/>
      <c r="X56" s="8"/>
      <c r="Y56" s="50"/>
      <c r="Z56" s="217"/>
      <c r="AA56" s="8"/>
      <c r="AB56" s="8"/>
      <c r="AC56" s="25"/>
      <c r="AD56" s="39"/>
      <c r="AE56" s="218"/>
      <c r="AF56" s="9"/>
      <c r="AG56" s="40"/>
      <c r="AH56" s="9"/>
      <c r="AI56" s="39"/>
      <c r="AJ56" s="26"/>
    </row>
    <row r="57" spans="1:36" x14ac:dyDescent="0.25">
      <c r="V57" s="16"/>
      <c r="W57" s="16"/>
      <c r="AG57" s="40"/>
    </row>
  </sheetData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5">
    <pageSetUpPr fitToPage="1"/>
  </sheetPr>
  <dimension ref="A1:AJ57"/>
  <sheetViews>
    <sheetView showGridLines="0" zoomScaleNormal="100" workbookViewId="0">
      <pane xSplit="1" ySplit="4" topLeftCell="O5" activePane="bottomRight" state="frozen"/>
      <selection pane="topRight" activeCell="B1" sqref="B1"/>
      <selection pane="bottomLeft" activeCell="A5" sqref="A5"/>
      <selection pane="bottomRight" activeCell="AB6" sqref="AB6"/>
    </sheetView>
  </sheetViews>
  <sheetFormatPr baseColWidth="10" defaultColWidth="11.42578125" defaultRowHeight="15" x14ac:dyDescent="0.25"/>
  <cols>
    <col min="1" max="1" width="9.140625" style="44" customWidth="1"/>
    <col min="2" max="2" width="20.85546875" style="29" customWidth="1"/>
    <col min="3" max="3" width="21.425781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2.140625" style="34" customWidth="1"/>
    <col min="9" max="9" width="21.5703125" style="4" customWidth="1"/>
    <col min="10" max="10" width="16.42578125" style="4" customWidth="1"/>
    <col min="11" max="11" width="8.42578125" style="4" customWidth="1"/>
    <col min="12" max="12" width="10.42578125" style="2" customWidth="1"/>
    <col min="13" max="13" width="3.7109375" style="2" customWidth="1"/>
    <col min="14" max="14" width="5.28515625" style="2" customWidth="1"/>
    <col min="15" max="15" width="14.85546875" style="1" customWidth="1"/>
    <col min="16" max="16" width="8.7109375" style="102" customWidth="1"/>
    <col min="17" max="17" width="11.7109375" style="102" customWidth="1"/>
    <col min="18" max="20" width="10.7109375" style="2" customWidth="1"/>
    <col min="21" max="21" width="10.7109375" style="49" customWidth="1"/>
    <col min="22" max="24" width="10.7109375" style="2" customWidth="1"/>
    <col min="25" max="25" width="12.7109375" style="2" customWidth="1"/>
    <col min="26" max="26" width="10.7109375" style="2" customWidth="1"/>
    <col min="27" max="27" width="11.5703125" style="2" customWidth="1"/>
    <col min="28" max="28" width="10.7109375" style="2" customWidth="1"/>
    <col min="29" max="29" width="11.28515625" style="2" customWidth="1"/>
    <col min="30" max="30" width="13.5703125" style="2" customWidth="1"/>
    <col min="31" max="31" width="9.140625" style="2" customWidth="1"/>
    <col min="32" max="33" width="10.7109375" style="2" customWidth="1"/>
    <col min="34" max="34" width="10.85546875" style="5" customWidth="1"/>
    <col min="35" max="35" width="11.28515625" style="5" customWidth="1"/>
    <col min="36" max="36" width="12.7109375" style="2" customWidth="1"/>
    <col min="37" max="16384" width="11.42578125" style="2"/>
  </cols>
  <sheetData>
    <row r="1" spans="1:36" s="28" customFormat="1" ht="13.5" thickBot="1" x14ac:dyDescent="0.3">
      <c r="A1" s="42"/>
      <c r="B1" s="29"/>
      <c r="C1" s="29"/>
      <c r="F1" s="33"/>
      <c r="G1" s="55"/>
      <c r="H1" s="33"/>
      <c r="I1" s="27"/>
      <c r="J1" s="27"/>
      <c r="K1" s="27"/>
      <c r="O1" s="30"/>
      <c r="P1" s="99"/>
      <c r="Q1" s="99"/>
      <c r="AH1" s="31"/>
      <c r="AI1" s="31"/>
    </row>
    <row r="2" spans="1:36" s="28" customFormat="1" ht="13.5" thickBot="1" x14ac:dyDescent="0.3">
      <c r="A2" s="42"/>
      <c r="B2" s="29"/>
      <c r="C2" s="29"/>
      <c r="D2" s="30"/>
      <c r="F2" s="33"/>
      <c r="G2" s="55"/>
      <c r="H2" s="33"/>
      <c r="I2" s="27"/>
      <c r="J2" s="27"/>
      <c r="K2" s="27"/>
      <c r="L2" s="32"/>
      <c r="O2" s="30"/>
      <c r="P2" s="87" t="s">
        <v>78</v>
      </c>
      <c r="Q2" s="82">
        <f>SUBTOTAL(9,Q5:Q56)</f>
        <v>35198.550000000003</v>
      </c>
      <c r="R2" s="82">
        <f t="shared" ref="R2:W2" si="0">SUBTOTAL(9,R5:R56)</f>
        <v>70397.100000000006</v>
      </c>
      <c r="S2" s="82">
        <f t="shared" si="0"/>
        <v>845</v>
      </c>
      <c r="T2" s="82">
        <f t="shared" si="0"/>
        <v>1690</v>
      </c>
      <c r="U2" s="82">
        <f>SUBTOTAL(9,U5:U56)</f>
        <v>55298</v>
      </c>
      <c r="V2" s="82">
        <f t="shared" si="0"/>
        <v>110596</v>
      </c>
      <c r="W2" s="82">
        <f t="shared" si="0"/>
        <v>0</v>
      </c>
      <c r="X2" s="82">
        <f>SUBTOTAL(9,X5:X55)</f>
        <v>19641.740000000002</v>
      </c>
      <c r="Y2" s="82">
        <f>SUBTOTAL(9,Y5:Y56)</f>
        <v>91341.549999999988</v>
      </c>
      <c r="Z2" s="82">
        <f t="shared" ref="Z2:AF2" si="1">SUBTOTAL(9,Z5:Z56)</f>
        <v>15355.400803999999</v>
      </c>
      <c r="AA2" s="82">
        <f>SUBTOTAL(9,AA5:AA56)</f>
        <v>4597.1651000000002</v>
      </c>
      <c r="AB2" s="82">
        <f>SUBTOTAL(9,AB5:AB56)</f>
        <v>0</v>
      </c>
      <c r="AC2" s="82">
        <f t="shared" si="1"/>
        <v>19952.565904000003</v>
      </c>
      <c r="AD2" s="82">
        <f t="shared" si="1"/>
        <v>71388.984096</v>
      </c>
      <c r="AE2" s="82"/>
      <c r="AF2" s="82">
        <f t="shared" si="1"/>
        <v>9194.3302000000003</v>
      </c>
      <c r="AG2" s="82">
        <f>SUBTOTAL(9,AG5:AG56)</f>
        <v>703.971</v>
      </c>
      <c r="AH2" s="82">
        <f>SUBTOTAL(9,AH5:AH56)</f>
        <v>2740.2464999999997</v>
      </c>
      <c r="AI2" s="82">
        <f>SUBTOTAL(9,AI5:AI56)</f>
        <v>12638.547700000001</v>
      </c>
      <c r="AJ2" s="82">
        <f>SUBTOTAL(9,AJ5:AJ56)</f>
        <v>103980.0977</v>
      </c>
    </row>
    <row r="3" spans="1:36" ht="15.75" thickBot="1" x14ac:dyDescent="0.3">
      <c r="A3" s="43"/>
      <c r="D3" s="81"/>
      <c r="K3" s="89"/>
      <c r="L3" s="131">
        <v>2025</v>
      </c>
      <c r="M3" s="86"/>
      <c r="P3" s="100"/>
      <c r="Q3" s="152" t="s">
        <v>267</v>
      </c>
      <c r="R3" s="153"/>
      <c r="S3" s="153" t="s">
        <v>272</v>
      </c>
      <c r="T3" s="88"/>
      <c r="U3" s="153" t="s">
        <v>268</v>
      </c>
      <c r="V3" s="88"/>
      <c r="W3" s="88"/>
      <c r="X3" s="88"/>
      <c r="Y3" s="83"/>
      <c r="Z3" s="83"/>
      <c r="AA3" s="83"/>
      <c r="AB3" s="83"/>
      <c r="AC3" s="83"/>
      <c r="AD3" s="83"/>
      <c r="AE3" s="83"/>
      <c r="AF3" s="154" t="s">
        <v>269</v>
      </c>
      <c r="AG3" s="154" t="s">
        <v>270</v>
      </c>
      <c r="AH3" s="154" t="s">
        <v>271</v>
      </c>
      <c r="AI3" s="84"/>
      <c r="AJ3" s="85"/>
    </row>
    <row r="4" spans="1:36" s="19" customFormat="1" ht="37.15" customHeight="1" x14ac:dyDescent="0.25">
      <c r="A4" s="68" t="s">
        <v>79</v>
      </c>
      <c r="B4" s="69" t="s">
        <v>26</v>
      </c>
      <c r="C4" s="70" t="s">
        <v>17</v>
      </c>
      <c r="D4" s="71" t="s">
        <v>16</v>
      </c>
      <c r="E4" s="72" t="s">
        <v>0</v>
      </c>
      <c r="F4" s="73" t="s">
        <v>67</v>
      </c>
      <c r="G4" s="74" t="s">
        <v>1</v>
      </c>
      <c r="H4" s="75" t="s">
        <v>2</v>
      </c>
      <c r="I4" s="72" t="s">
        <v>4</v>
      </c>
      <c r="J4" s="72" t="s">
        <v>3</v>
      </c>
      <c r="K4" s="76" t="s">
        <v>56</v>
      </c>
      <c r="L4" s="76" t="s">
        <v>231</v>
      </c>
      <c r="M4" s="77" t="s">
        <v>5</v>
      </c>
      <c r="N4" s="72" t="s">
        <v>6</v>
      </c>
      <c r="O4" s="75" t="s">
        <v>39</v>
      </c>
      <c r="P4" s="115" t="s">
        <v>57</v>
      </c>
      <c r="Q4" s="101" t="s">
        <v>58</v>
      </c>
      <c r="R4" s="79" t="s">
        <v>70</v>
      </c>
      <c r="S4" s="78" t="s">
        <v>72</v>
      </c>
      <c r="T4" s="79" t="s">
        <v>71</v>
      </c>
      <c r="U4" s="78" t="s">
        <v>73</v>
      </c>
      <c r="V4" s="79" t="s">
        <v>74</v>
      </c>
      <c r="W4" s="78" t="s">
        <v>75</v>
      </c>
      <c r="X4" s="79" t="s">
        <v>76</v>
      </c>
      <c r="Y4" s="76" t="s">
        <v>110</v>
      </c>
      <c r="Z4" s="76" t="s">
        <v>103</v>
      </c>
      <c r="AA4" s="76" t="s">
        <v>102</v>
      </c>
      <c r="AB4" s="76" t="s">
        <v>106</v>
      </c>
      <c r="AC4" s="76" t="s">
        <v>81</v>
      </c>
      <c r="AD4" s="208" t="s">
        <v>77</v>
      </c>
      <c r="AE4" s="75" t="s">
        <v>91</v>
      </c>
      <c r="AF4" s="76" t="s">
        <v>101</v>
      </c>
      <c r="AG4" s="76" t="s">
        <v>104</v>
      </c>
      <c r="AH4" s="76" t="s">
        <v>80</v>
      </c>
      <c r="AI4" s="76" t="s">
        <v>105</v>
      </c>
      <c r="AJ4" s="76" t="s">
        <v>92</v>
      </c>
    </row>
    <row r="5" spans="1:36" s="1" customFormat="1" ht="30" customHeight="1" x14ac:dyDescent="0.25">
      <c r="A5" s="137" t="s">
        <v>93</v>
      </c>
      <c r="B5" s="138" t="s">
        <v>59</v>
      </c>
      <c r="C5" s="111" t="s">
        <v>12</v>
      </c>
      <c r="D5" s="22">
        <v>11</v>
      </c>
      <c r="E5" s="139" t="s">
        <v>14</v>
      </c>
      <c r="F5" s="35" t="s">
        <v>111</v>
      </c>
      <c r="G5" s="118">
        <v>92700199</v>
      </c>
      <c r="H5" s="60" t="s">
        <v>163</v>
      </c>
      <c r="I5" s="119" t="s">
        <v>164</v>
      </c>
      <c r="J5" s="97" t="s">
        <v>230</v>
      </c>
      <c r="K5" s="41" t="s">
        <v>68</v>
      </c>
      <c r="L5" s="47">
        <v>45640</v>
      </c>
      <c r="M5" s="6" t="s">
        <v>8</v>
      </c>
      <c r="N5" s="146" t="s">
        <v>32</v>
      </c>
      <c r="O5" s="18">
        <f t="shared" ref="O5:O56" ca="1" si="2">DATEDIF(DATE(IF(MID($J5,5,2)+2000&gt;YEAR(TODAY()),MID($J5,5,2)+1900,MID($J5,5,2)+2000),MID($J5,7,2),MID($J5,9,2)),TODAY(),"y")</f>
        <v>42</v>
      </c>
      <c r="P5" s="24">
        <f>R5/30</f>
        <v>734.99</v>
      </c>
      <c r="Q5" s="8">
        <f>R5/2</f>
        <v>11024.85</v>
      </c>
      <c r="R5" s="8">
        <v>22049.7</v>
      </c>
      <c r="S5" s="8">
        <f>T5/2</f>
        <v>135</v>
      </c>
      <c r="T5" s="8">
        <v>270</v>
      </c>
      <c r="U5" s="48">
        <f>V5/2</f>
        <v>19590</v>
      </c>
      <c r="V5" s="8">
        <v>39180</v>
      </c>
      <c r="W5" s="8"/>
      <c r="X5" s="8">
        <v>19641.740000000002</v>
      </c>
      <c r="Y5" s="50">
        <f t="shared" ref="Y5:Y11" si="3">Q5+S5+U5</f>
        <v>30749.85</v>
      </c>
      <c r="Z5" s="217">
        <v>6458.4484999999986</v>
      </c>
      <c r="AA5" s="8">
        <f>Q5*13%</f>
        <v>1433.2305000000001</v>
      </c>
      <c r="AB5" s="8"/>
      <c r="AC5" s="25">
        <f t="shared" ref="AC5:AC11" si="4">SUM(Z5:AB5)</f>
        <v>7891.6789999999983</v>
      </c>
      <c r="AD5" s="39">
        <f t="shared" ref="AD5:AD11" si="5">Y5-AC5</f>
        <v>22858.171000000002</v>
      </c>
      <c r="AE5" s="218">
        <v>0.26</v>
      </c>
      <c r="AF5" s="9">
        <f>Q5*AE5</f>
        <v>2866.4610000000002</v>
      </c>
      <c r="AG5" s="40">
        <f t="shared" ref="AG5:AG11" si="6">Q5*2%</f>
        <v>220.49700000000001</v>
      </c>
      <c r="AH5" s="9">
        <f t="shared" ref="AH5:AH11" si="7">Y5*3%</f>
        <v>922.49549999999988</v>
      </c>
      <c r="AI5" s="39">
        <f>SUM(AF5+AG5+AH5)</f>
        <v>4009.4535000000001</v>
      </c>
      <c r="AJ5" s="26">
        <f t="shared" ref="AJ5:AJ11" si="8">Y5+AI5</f>
        <v>34759.303500000002</v>
      </c>
    </row>
    <row r="6" spans="1:36" s="1" customFormat="1" ht="30" customHeight="1" x14ac:dyDescent="0.25">
      <c r="A6" s="137">
        <v>167</v>
      </c>
      <c r="B6" s="138" t="s">
        <v>162</v>
      </c>
      <c r="C6" s="138" t="s">
        <v>13</v>
      </c>
      <c r="D6" s="22">
        <v>13</v>
      </c>
      <c r="E6" s="140" t="s">
        <v>9</v>
      </c>
      <c r="F6" s="36" t="s">
        <v>112</v>
      </c>
      <c r="G6" s="124" t="s">
        <v>216</v>
      </c>
      <c r="H6" s="21" t="s">
        <v>194</v>
      </c>
      <c r="I6" s="198" t="s">
        <v>214</v>
      </c>
      <c r="J6" s="198" t="s">
        <v>215</v>
      </c>
      <c r="K6" s="155" t="s">
        <v>68</v>
      </c>
      <c r="L6" s="47">
        <v>45658</v>
      </c>
      <c r="M6" s="23" t="s">
        <v>8</v>
      </c>
      <c r="N6" s="134" t="s">
        <v>32</v>
      </c>
      <c r="O6" s="18">
        <f t="shared" ca="1" si="2"/>
        <v>28</v>
      </c>
      <c r="P6" s="214">
        <f t="shared" ref="P6:P11" si="9">R6/30</f>
        <v>280.76</v>
      </c>
      <c r="Q6" s="8">
        <f t="shared" ref="Q6:Q11" si="10">R6/2</f>
        <v>4211.3999999999996</v>
      </c>
      <c r="R6" s="14">
        <v>8422.7999999999993</v>
      </c>
      <c r="S6" s="8">
        <f t="shared" ref="S6:S11" si="11">T6/2</f>
        <v>142</v>
      </c>
      <c r="T6" s="14">
        <v>284</v>
      </c>
      <c r="U6" s="48">
        <f t="shared" ref="U6:U11" si="12">V6/2</f>
        <v>5500</v>
      </c>
      <c r="V6" s="14">
        <v>11000</v>
      </c>
      <c r="W6" s="8"/>
      <c r="X6" s="8"/>
      <c r="Y6" s="50">
        <f t="shared" si="3"/>
        <v>9853.4</v>
      </c>
      <c r="Z6" s="217">
        <v>1270.6877440000001</v>
      </c>
      <c r="AA6" s="8">
        <v>550.91</v>
      </c>
      <c r="AB6" s="8"/>
      <c r="AC6" s="25">
        <f t="shared" si="4"/>
        <v>1821.5977440000001</v>
      </c>
      <c r="AD6" s="39">
        <f t="shared" si="5"/>
        <v>8031.802255999999</v>
      </c>
      <c r="AE6" s="218">
        <v>0.26</v>
      </c>
      <c r="AF6" s="9">
        <v>1101.82</v>
      </c>
      <c r="AG6" s="40">
        <f t="shared" si="6"/>
        <v>84.227999999999994</v>
      </c>
      <c r="AH6" s="9">
        <f t="shared" si="7"/>
        <v>295.60199999999998</v>
      </c>
      <c r="AI6" s="39">
        <f t="shared" ref="AI6:AI11" si="13">SUM(AF6+AG6+AH6)</f>
        <v>1481.65</v>
      </c>
      <c r="AJ6" s="26">
        <f t="shared" si="8"/>
        <v>11335.05</v>
      </c>
    </row>
    <row r="7" spans="1:36" s="1" customFormat="1" ht="30" customHeight="1" x14ac:dyDescent="0.25">
      <c r="A7" s="137">
        <v>167</v>
      </c>
      <c r="B7" s="138" t="s">
        <v>162</v>
      </c>
      <c r="C7" s="151" t="s">
        <v>13</v>
      </c>
      <c r="D7" s="22">
        <v>73</v>
      </c>
      <c r="E7" s="140" t="s">
        <v>9</v>
      </c>
      <c r="F7" s="36" t="s">
        <v>150</v>
      </c>
      <c r="G7" s="124"/>
      <c r="H7" s="220" t="s">
        <v>252</v>
      </c>
      <c r="I7" s="185"/>
      <c r="J7" s="186"/>
      <c r="K7" s="155"/>
      <c r="L7" s="150"/>
      <c r="M7" s="6" t="s">
        <v>8</v>
      </c>
      <c r="N7" s="134"/>
      <c r="O7" s="18" t="e">
        <f t="shared" ca="1" si="2"/>
        <v>#VALUE!</v>
      </c>
      <c r="P7" s="214">
        <f t="shared" si="9"/>
        <v>0</v>
      </c>
      <c r="Q7" s="8">
        <f t="shared" si="10"/>
        <v>0</v>
      </c>
      <c r="R7" s="14"/>
      <c r="S7" s="8">
        <f t="shared" si="11"/>
        <v>0</v>
      </c>
      <c r="T7" s="14"/>
      <c r="U7" s="48">
        <f t="shared" si="12"/>
        <v>0</v>
      </c>
      <c r="V7" s="14"/>
      <c r="W7" s="8"/>
      <c r="X7" s="8"/>
      <c r="Y7" s="50">
        <f t="shared" si="3"/>
        <v>0</v>
      </c>
      <c r="Z7" s="217"/>
      <c r="AA7" s="8"/>
      <c r="AB7" s="8"/>
      <c r="AC7" s="25">
        <f t="shared" si="4"/>
        <v>0</v>
      </c>
      <c r="AD7" s="39">
        <f t="shared" si="5"/>
        <v>0</v>
      </c>
      <c r="AE7" s="218">
        <v>0.26</v>
      </c>
      <c r="AF7" s="9"/>
      <c r="AG7" s="40">
        <f t="shared" si="6"/>
        <v>0</v>
      </c>
      <c r="AH7" s="9">
        <f t="shared" si="7"/>
        <v>0</v>
      </c>
      <c r="AI7" s="39">
        <f t="shared" si="13"/>
        <v>0</v>
      </c>
      <c r="AJ7" s="26">
        <f t="shared" si="8"/>
        <v>0</v>
      </c>
    </row>
    <row r="8" spans="1:36" s="1" customFormat="1" ht="30" customHeight="1" x14ac:dyDescent="0.25">
      <c r="A8" s="137">
        <v>167</v>
      </c>
      <c r="B8" s="138" t="s">
        <v>162</v>
      </c>
      <c r="C8" s="138" t="s">
        <v>108</v>
      </c>
      <c r="D8" s="22">
        <v>14</v>
      </c>
      <c r="E8" s="140" t="s">
        <v>107</v>
      </c>
      <c r="F8" s="103" t="s">
        <v>114</v>
      </c>
      <c r="G8" s="124">
        <v>92700244</v>
      </c>
      <c r="H8" s="21" t="s">
        <v>291</v>
      </c>
      <c r="I8" s="270" t="s">
        <v>292</v>
      </c>
      <c r="J8" s="271" t="s">
        <v>347</v>
      </c>
      <c r="K8" s="164" t="s">
        <v>68</v>
      </c>
      <c r="L8" s="171">
        <v>45778</v>
      </c>
      <c r="M8" s="6" t="s">
        <v>8</v>
      </c>
      <c r="N8" s="110" t="s">
        <v>32</v>
      </c>
      <c r="O8" s="18">
        <f t="shared" ca="1" si="2"/>
        <v>35</v>
      </c>
      <c r="P8" s="24">
        <f t="shared" si="9"/>
        <v>278.8</v>
      </c>
      <c r="Q8" s="8">
        <f t="shared" si="10"/>
        <v>4182</v>
      </c>
      <c r="R8" s="14">
        <v>8364</v>
      </c>
      <c r="S8" s="8">
        <f t="shared" si="11"/>
        <v>142</v>
      </c>
      <c r="T8" s="8">
        <v>284</v>
      </c>
      <c r="U8" s="48">
        <f t="shared" si="12"/>
        <v>3008</v>
      </c>
      <c r="V8" s="8">
        <v>6016</v>
      </c>
      <c r="W8" s="8"/>
      <c r="X8" s="8"/>
      <c r="Y8" s="50">
        <f t="shared" si="3"/>
        <v>7332</v>
      </c>
      <c r="Z8" s="217">
        <v>746.28403200000002</v>
      </c>
      <c r="AA8" s="8">
        <f>(P8*15.2)*13%</f>
        <v>550.90880000000004</v>
      </c>
      <c r="AB8" s="8"/>
      <c r="AC8" s="25">
        <f t="shared" si="4"/>
        <v>1297.1928320000002</v>
      </c>
      <c r="AD8" s="39">
        <f t="shared" si="5"/>
        <v>6034.8071679999994</v>
      </c>
      <c r="AE8" s="218">
        <v>0.26</v>
      </c>
      <c r="AF8" s="9">
        <f>(P8*15.2)*AE8</f>
        <v>1101.8176000000001</v>
      </c>
      <c r="AG8" s="40">
        <f t="shared" si="6"/>
        <v>83.64</v>
      </c>
      <c r="AH8" s="9">
        <f t="shared" si="7"/>
        <v>219.95999999999998</v>
      </c>
      <c r="AI8" s="39">
        <f t="shared" si="13"/>
        <v>1405.4176000000002</v>
      </c>
      <c r="AJ8" s="26">
        <f t="shared" si="8"/>
        <v>8737.4176000000007</v>
      </c>
    </row>
    <row r="9" spans="1:36" s="1" customFormat="1" ht="30" customHeight="1" x14ac:dyDescent="0.25">
      <c r="A9" s="137">
        <v>168</v>
      </c>
      <c r="B9" s="138" t="s">
        <v>40</v>
      </c>
      <c r="C9" s="111" t="s">
        <v>33</v>
      </c>
      <c r="D9" s="22">
        <v>15</v>
      </c>
      <c r="E9" s="140" t="s">
        <v>10</v>
      </c>
      <c r="F9" s="104" t="s">
        <v>115</v>
      </c>
      <c r="G9" s="181">
        <v>92700204</v>
      </c>
      <c r="H9" s="60" t="s">
        <v>176</v>
      </c>
      <c r="I9" s="182" t="s">
        <v>204</v>
      </c>
      <c r="J9" s="183" t="s">
        <v>205</v>
      </c>
      <c r="K9" s="155" t="s">
        <v>68</v>
      </c>
      <c r="L9" s="47">
        <v>45658</v>
      </c>
      <c r="M9" s="11" t="s">
        <v>8</v>
      </c>
      <c r="N9" s="134" t="s">
        <v>7</v>
      </c>
      <c r="O9" s="18">
        <f t="shared" ca="1" si="2"/>
        <v>46</v>
      </c>
      <c r="P9" s="24">
        <f t="shared" si="9"/>
        <v>492.46</v>
      </c>
      <c r="Q9" s="8">
        <f t="shared" si="10"/>
        <v>7386.9</v>
      </c>
      <c r="R9" s="14">
        <v>14773.8</v>
      </c>
      <c r="S9" s="8">
        <f t="shared" si="11"/>
        <v>142</v>
      </c>
      <c r="T9" s="14">
        <v>284</v>
      </c>
      <c r="U9" s="48">
        <f t="shared" si="12"/>
        <v>13200</v>
      </c>
      <c r="V9" s="14">
        <v>26400</v>
      </c>
      <c r="W9" s="8"/>
      <c r="X9" s="8"/>
      <c r="Y9" s="50">
        <f t="shared" si="3"/>
        <v>20728.900000000001</v>
      </c>
      <c r="Z9" s="217">
        <v>3704.0848800000003</v>
      </c>
      <c r="AA9" s="8">
        <f>Q9*13%</f>
        <v>960.29700000000003</v>
      </c>
      <c r="AB9" s="8"/>
      <c r="AC9" s="25">
        <f t="shared" si="4"/>
        <v>4664.3818800000008</v>
      </c>
      <c r="AD9" s="39">
        <f t="shared" si="5"/>
        <v>16064.518120000001</v>
      </c>
      <c r="AE9" s="218">
        <v>0.26</v>
      </c>
      <c r="AF9" s="9">
        <f>Q9*AE9</f>
        <v>1920.5940000000001</v>
      </c>
      <c r="AG9" s="40">
        <f t="shared" si="6"/>
        <v>147.738</v>
      </c>
      <c r="AH9" s="9">
        <f t="shared" si="7"/>
        <v>621.86700000000008</v>
      </c>
      <c r="AI9" s="39">
        <f t="shared" si="13"/>
        <v>2690.1990000000001</v>
      </c>
      <c r="AJ9" s="26">
        <f t="shared" si="8"/>
        <v>23419.099000000002</v>
      </c>
    </row>
    <row r="10" spans="1:36" s="1" customFormat="1" ht="30" customHeight="1" x14ac:dyDescent="0.25">
      <c r="A10" s="137" t="s">
        <v>97</v>
      </c>
      <c r="B10" s="138" t="s">
        <v>40</v>
      </c>
      <c r="C10" s="138" t="s">
        <v>108</v>
      </c>
      <c r="D10" s="22">
        <v>12</v>
      </c>
      <c r="E10" s="139" t="s">
        <v>107</v>
      </c>
      <c r="F10" s="105" t="s">
        <v>116</v>
      </c>
      <c r="G10" s="118" t="s">
        <v>285</v>
      </c>
      <c r="H10" s="216" t="s">
        <v>281</v>
      </c>
      <c r="I10" s="12" t="s">
        <v>286</v>
      </c>
      <c r="J10" s="7" t="s">
        <v>287</v>
      </c>
      <c r="K10" s="41" t="s">
        <v>68</v>
      </c>
      <c r="L10" s="47">
        <v>45748</v>
      </c>
      <c r="M10" s="108" t="s">
        <v>8</v>
      </c>
      <c r="N10" s="212" t="s">
        <v>32</v>
      </c>
      <c r="O10" s="18">
        <f ca="1">DATEDIF(DATE(IF(MID($J10,5,2)+2000&gt;YEAR(TODAY()),MID($J10,5,2)+1900,MID($J10,5,2)+2000),MID($J10,7,2),MID($J10,9,2)),TODAY(),"y")</f>
        <v>32</v>
      </c>
      <c r="P10" s="24">
        <v>278.8</v>
      </c>
      <c r="Q10" s="8">
        <f t="shared" si="10"/>
        <v>4182</v>
      </c>
      <c r="R10" s="14">
        <v>8364</v>
      </c>
      <c r="S10" s="8">
        <f t="shared" si="11"/>
        <v>142</v>
      </c>
      <c r="T10" s="14">
        <v>284</v>
      </c>
      <c r="U10" s="48">
        <f t="shared" si="12"/>
        <v>5000</v>
      </c>
      <c r="V10" s="8">
        <v>10000</v>
      </c>
      <c r="W10" s="8"/>
      <c r="X10" s="8"/>
      <c r="Y10" s="50">
        <f t="shared" si="3"/>
        <v>9324</v>
      </c>
      <c r="Z10" s="217">
        <v>1157.607904</v>
      </c>
      <c r="AA10" s="8">
        <f>(P10*15.2)*13%</f>
        <v>550.90880000000004</v>
      </c>
      <c r="AB10" s="8"/>
      <c r="AC10" s="25">
        <f t="shared" si="4"/>
        <v>1708.5167040000001</v>
      </c>
      <c r="AD10" s="39">
        <f t="shared" si="5"/>
        <v>7615.4832960000003</v>
      </c>
      <c r="AE10" s="218">
        <v>0.26</v>
      </c>
      <c r="AF10" s="9">
        <f>(P10*15.2)*AE10</f>
        <v>1101.8176000000001</v>
      </c>
      <c r="AG10" s="40">
        <f t="shared" si="6"/>
        <v>83.64</v>
      </c>
      <c r="AH10" s="9">
        <f t="shared" si="7"/>
        <v>279.71999999999997</v>
      </c>
      <c r="AI10" s="39">
        <f t="shared" si="13"/>
        <v>1465.1776000000002</v>
      </c>
      <c r="AJ10" s="26">
        <f t="shared" si="8"/>
        <v>10789.177600000001</v>
      </c>
    </row>
    <row r="11" spans="1:36" s="1" customFormat="1" ht="41.25" customHeight="1" x14ac:dyDescent="0.25">
      <c r="A11" s="141">
        <v>169</v>
      </c>
      <c r="B11" s="142" t="s">
        <v>246</v>
      </c>
      <c r="C11" s="111" t="s">
        <v>193</v>
      </c>
      <c r="D11" s="22">
        <v>17</v>
      </c>
      <c r="E11" s="140" t="s">
        <v>15</v>
      </c>
      <c r="F11" s="149" t="s">
        <v>117</v>
      </c>
      <c r="G11" s="124" t="s">
        <v>165</v>
      </c>
      <c r="H11" s="126" t="s">
        <v>166</v>
      </c>
      <c r="I11" s="125" t="s">
        <v>31</v>
      </c>
      <c r="J11" s="184" t="s">
        <v>30</v>
      </c>
      <c r="K11" s="155" t="s">
        <v>68</v>
      </c>
      <c r="L11" s="121">
        <v>44044</v>
      </c>
      <c r="M11" s="122" t="s">
        <v>7</v>
      </c>
      <c r="N11" s="136" t="s">
        <v>7</v>
      </c>
      <c r="O11" s="18">
        <f t="shared" ca="1" si="2"/>
        <v>45</v>
      </c>
      <c r="P11" s="214">
        <f t="shared" si="9"/>
        <v>280.76</v>
      </c>
      <c r="Q11" s="8">
        <f t="shared" si="10"/>
        <v>4211.3999999999996</v>
      </c>
      <c r="R11" s="14">
        <v>8422.7999999999993</v>
      </c>
      <c r="S11" s="8">
        <f t="shared" si="11"/>
        <v>142</v>
      </c>
      <c r="T11" s="14">
        <v>284</v>
      </c>
      <c r="U11" s="48">
        <f t="shared" si="12"/>
        <v>9000</v>
      </c>
      <c r="V11" s="14">
        <v>18000</v>
      </c>
      <c r="W11" s="8"/>
      <c r="X11" s="8"/>
      <c r="Y11" s="50">
        <f t="shared" si="3"/>
        <v>13353.4</v>
      </c>
      <c r="Z11" s="217">
        <v>2018.2877439999997</v>
      </c>
      <c r="AA11" s="8">
        <v>550.91</v>
      </c>
      <c r="AB11" s="8"/>
      <c r="AC11" s="25">
        <f t="shared" si="4"/>
        <v>2569.1977439999996</v>
      </c>
      <c r="AD11" s="39">
        <f t="shared" si="5"/>
        <v>10784.202256</v>
      </c>
      <c r="AE11" s="218">
        <v>0.26</v>
      </c>
      <c r="AF11" s="9">
        <v>1101.82</v>
      </c>
      <c r="AG11" s="40">
        <f t="shared" si="6"/>
        <v>84.227999999999994</v>
      </c>
      <c r="AH11" s="9">
        <f t="shared" si="7"/>
        <v>400.60199999999998</v>
      </c>
      <c r="AI11" s="39">
        <f t="shared" si="13"/>
        <v>1586.65</v>
      </c>
      <c r="AJ11" s="26">
        <f t="shared" si="8"/>
        <v>14940.05</v>
      </c>
    </row>
    <row r="12" spans="1:36" s="1" customFormat="1" ht="30" customHeight="1" x14ac:dyDescent="0.25">
      <c r="A12" s="137" t="s">
        <v>233</v>
      </c>
      <c r="B12" s="138" t="s">
        <v>161</v>
      </c>
      <c r="C12" s="138" t="s">
        <v>108</v>
      </c>
      <c r="D12" s="22">
        <v>28</v>
      </c>
      <c r="E12" s="140" t="s">
        <v>107</v>
      </c>
      <c r="F12" s="91" t="s">
        <v>124</v>
      </c>
      <c r="G12" s="124" t="s">
        <v>197</v>
      </c>
      <c r="H12" s="60" t="s">
        <v>196</v>
      </c>
      <c r="I12" s="125" t="s">
        <v>99</v>
      </c>
      <c r="J12" s="184" t="s">
        <v>100</v>
      </c>
      <c r="K12" s="155" t="s">
        <v>68</v>
      </c>
      <c r="L12" s="47">
        <v>44835</v>
      </c>
      <c r="M12" s="6" t="s">
        <v>8</v>
      </c>
      <c r="N12" s="134" t="s">
        <v>7</v>
      </c>
      <c r="O12" s="18">
        <f t="shared" ca="1" si="2"/>
        <v>28</v>
      </c>
      <c r="P12" s="24"/>
      <c r="Q12" s="8"/>
      <c r="R12" s="14"/>
      <c r="S12" s="8"/>
      <c r="T12" s="8"/>
      <c r="U12" s="48"/>
      <c r="V12" s="8"/>
      <c r="W12" s="8"/>
      <c r="X12" s="8"/>
      <c r="Y12" s="50"/>
      <c r="Z12" s="217"/>
      <c r="AA12" s="8"/>
      <c r="AB12" s="94"/>
      <c r="AC12" s="25"/>
      <c r="AD12" s="39"/>
      <c r="AE12" s="218"/>
      <c r="AF12" s="9"/>
      <c r="AG12" s="40"/>
      <c r="AH12" s="9"/>
      <c r="AI12" s="39"/>
      <c r="AJ12" s="26"/>
    </row>
    <row r="13" spans="1:36" s="1" customFormat="1" ht="30" customHeight="1" x14ac:dyDescent="0.25">
      <c r="A13" s="137">
        <v>171</v>
      </c>
      <c r="B13" s="111" t="s">
        <v>190</v>
      </c>
      <c r="C13" s="111" t="s">
        <v>167</v>
      </c>
      <c r="D13" s="22">
        <v>19</v>
      </c>
      <c r="E13" s="139" t="s">
        <v>15</v>
      </c>
      <c r="F13" s="38" t="s">
        <v>119</v>
      </c>
      <c r="G13" s="181">
        <v>92700203</v>
      </c>
      <c r="H13" s="20" t="s">
        <v>179</v>
      </c>
      <c r="I13" s="182" t="s">
        <v>206</v>
      </c>
      <c r="J13" s="183" t="s">
        <v>207</v>
      </c>
      <c r="K13" s="155" t="s">
        <v>68</v>
      </c>
      <c r="L13" s="47">
        <v>45658</v>
      </c>
      <c r="M13" s="235" t="s">
        <v>8</v>
      </c>
      <c r="N13" s="136" t="s">
        <v>7</v>
      </c>
      <c r="O13" s="18">
        <f t="shared" ca="1" si="2"/>
        <v>46</v>
      </c>
      <c r="P13" s="214"/>
      <c r="Q13" s="8"/>
      <c r="R13" s="14"/>
      <c r="S13" s="8"/>
      <c r="T13" s="14"/>
      <c r="U13" s="48"/>
      <c r="V13" s="114"/>
      <c r="W13" s="94"/>
      <c r="X13" s="8"/>
      <c r="Y13" s="50"/>
      <c r="Z13" s="217"/>
      <c r="AA13" s="8"/>
      <c r="AB13" s="8"/>
      <c r="AC13" s="25"/>
      <c r="AD13" s="39"/>
      <c r="AE13" s="218"/>
      <c r="AF13" s="9"/>
      <c r="AG13" s="40"/>
      <c r="AH13" s="9"/>
      <c r="AI13" s="39"/>
      <c r="AJ13" s="26"/>
    </row>
    <row r="14" spans="1:36" s="1" customFormat="1" ht="29.25" customHeight="1" x14ac:dyDescent="0.25">
      <c r="A14" s="137">
        <v>173</v>
      </c>
      <c r="B14" s="138" t="s">
        <v>42</v>
      </c>
      <c r="C14" s="138" t="s">
        <v>29</v>
      </c>
      <c r="D14" s="22">
        <v>69</v>
      </c>
      <c r="E14" s="139" t="s">
        <v>11</v>
      </c>
      <c r="F14" s="38" t="s">
        <v>120</v>
      </c>
      <c r="G14" s="124">
        <v>92700236</v>
      </c>
      <c r="H14" s="17" t="s">
        <v>264</v>
      </c>
      <c r="I14" s="185" t="s">
        <v>265</v>
      </c>
      <c r="J14" s="186" t="s">
        <v>266</v>
      </c>
      <c r="K14" s="155" t="s">
        <v>68</v>
      </c>
      <c r="L14" s="150">
        <v>45717</v>
      </c>
      <c r="M14" s="6" t="s">
        <v>8</v>
      </c>
      <c r="N14" s="134" t="s">
        <v>7</v>
      </c>
      <c r="O14" s="18">
        <f t="shared" ca="1" si="2"/>
        <v>37</v>
      </c>
      <c r="P14" s="24"/>
      <c r="Q14" s="8"/>
      <c r="R14" s="14"/>
      <c r="S14" s="8"/>
      <c r="T14" s="8"/>
      <c r="U14" s="48"/>
      <c r="V14" s="94"/>
      <c r="W14" s="94"/>
      <c r="X14" s="8"/>
      <c r="Y14" s="50"/>
      <c r="Z14" s="217"/>
      <c r="AA14" s="8"/>
      <c r="AB14" s="8"/>
      <c r="AC14" s="25"/>
      <c r="AD14" s="39"/>
      <c r="AE14" s="218"/>
      <c r="AF14" s="9"/>
      <c r="AG14" s="40"/>
      <c r="AH14" s="9"/>
      <c r="AI14" s="39"/>
      <c r="AJ14" s="26"/>
    </row>
    <row r="15" spans="1:36" s="1" customFormat="1" ht="30" customHeight="1" x14ac:dyDescent="0.25">
      <c r="A15" s="137">
        <v>173</v>
      </c>
      <c r="B15" s="138" t="s">
        <v>42</v>
      </c>
      <c r="C15" s="138" t="s">
        <v>108</v>
      </c>
      <c r="D15" s="22">
        <v>21</v>
      </c>
      <c r="E15" s="139" t="s">
        <v>107</v>
      </c>
      <c r="F15" s="107" t="s">
        <v>121</v>
      </c>
      <c r="G15" s="118"/>
      <c r="H15" s="220" t="s">
        <v>252</v>
      </c>
      <c r="I15" s="119"/>
      <c r="J15" s="120"/>
      <c r="K15" s="41" t="s">
        <v>68</v>
      </c>
      <c r="L15" s="47"/>
      <c r="M15" s="6" t="s">
        <v>8</v>
      </c>
      <c r="N15" s="51" t="s">
        <v>7</v>
      </c>
      <c r="O15" s="18" t="e">
        <f t="shared" ca="1" si="2"/>
        <v>#VALUE!</v>
      </c>
      <c r="P15" s="24"/>
      <c r="Q15" s="8"/>
      <c r="R15" s="14"/>
      <c r="S15" s="8"/>
      <c r="T15" s="8"/>
      <c r="U15" s="48"/>
      <c r="V15" s="8"/>
      <c r="W15" s="94"/>
      <c r="X15" s="8"/>
      <c r="Y15" s="50"/>
      <c r="Z15" s="217"/>
      <c r="AA15" s="8"/>
      <c r="AB15" s="8"/>
      <c r="AC15" s="25"/>
      <c r="AD15" s="39"/>
      <c r="AE15" s="218"/>
      <c r="AF15" s="9"/>
      <c r="AG15" s="40"/>
      <c r="AH15" s="9"/>
      <c r="AI15" s="39"/>
      <c r="AJ15" s="26"/>
    </row>
    <row r="16" spans="1:36" s="1" customFormat="1" ht="30" customHeight="1" x14ac:dyDescent="0.25">
      <c r="A16" s="137">
        <v>174</v>
      </c>
      <c r="B16" s="138" t="s">
        <v>43</v>
      </c>
      <c r="C16" s="111" t="s">
        <v>34</v>
      </c>
      <c r="D16" s="22">
        <v>23</v>
      </c>
      <c r="E16" s="139" t="s">
        <v>10</v>
      </c>
      <c r="F16" s="38" t="s">
        <v>122</v>
      </c>
      <c r="G16" s="124">
        <v>92700202</v>
      </c>
      <c r="H16" s="17" t="s">
        <v>177</v>
      </c>
      <c r="I16" s="182" t="s">
        <v>208</v>
      </c>
      <c r="J16" s="183" t="s">
        <v>209</v>
      </c>
      <c r="K16" s="155" t="s">
        <v>68</v>
      </c>
      <c r="L16" s="47">
        <v>45658</v>
      </c>
      <c r="M16" s="6" t="s">
        <v>8</v>
      </c>
      <c r="N16" s="134" t="s">
        <v>32</v>
      </c>
      <c r="O16" s="18">
        <f t="shared" ca="1" si="2"/>
        <v>46</v>
      </c>
      <c r="P16" s="24"/>
      <c r="Q16" s="8"/>
      <c r="R16" s="14"/>
      <c r="S16" s="8"/>
      <c r="T16" s="8"/>
      <c r="U16" s="48"/>
      <c r="V16" s="8"/>
      <c r="W16" s="8"/>
      <c r="X16" s="8"/>
      <c r="Y16" s="50"/>
      <c r="Z16" s="217"/>
      <c r="AA16" s="8"/>
      <c r="AB16" s="8"/>
      <c r="AC16" s="25"/>
      <c r="AD16" s="39"/>
      <c r="AE16" s="218"/>
      <c r="AF16" s="9"/>
      <c r="AG16" s="40"/>
      <c r="AH16" s="9"/>
      <c r="AI16" s="39"/>
      <c r="AJ16" s="26"/>
    </row>
    <row r="17" spans="1:36" s="1" customFormat="1" ht="30" customHeight="1" x14ac:dyDescent="0.25">
      <c r="A17" s="137">
        <v>175</v>
      </c>
      <c r="B17" s="138" t="s">
        <v>44</v>
      </c>
      <c r="C17" s="138" t="s">
        <v>18</v>
      </c>
      <c r="D17" s="22">
        <v>25</v>
      </c>
      <c r="E17" s="139" t="s">
        <v>11</v>
      </c>
      <c r="F17" s="36" t="s">
        <v>123</v>
      </c>
      <c r="G17" s="124" t="s">
        <v>198</v>
      </c>
      <c r="H17" s="17" t="s">
        <v>168</v>
      </c>
      <c r="I17" s="187" t="s">
        <v>94</v>
      </c>
      <c r="J17" s="188" t="s">
        <v>98</v>
      </c>
      <c r="K17" s="155" t="s">
        <v>68</v>
      </c>
      <c r="L17" s="47">
        <v>44682</v>
      </c>
      <c r="M17" s="6" t="s">
        <v>8</v>
      </c>
      <c r="N17" s="134" t="s">
        <v>7</v>
      </c>
      <c r="O17" s="18">
        <f t="shared" ca="1" si="2"/>
        <v>27</v>
      </c>
      <c r="P17" s="24"/>
      <c r="Q17" s="8"/>
      <c r="R17" s="14"/>
      <c r="S17" s="8"/>
      <c r="T17" s="8"/>
      <c r="U17" s="48"/>
      <c r="V17" s="94"/>
      <c r="W17" s="8"/>
      <c r="X17" s="8"/>
      <c r="Y17" s="50"/>
      <c r="Z17" s="217"/>
      <c r="AA17" s="8"/>
      <c r="AB17" s="8"/>
      <c r="AC17" s="25"/>
      <c r="AD17" s="39"/>
      <c r="AE17" s="218"/>
      <c r="AF17" s="9"/>
      <c r="AG17" s="40"/>
      <c r="AH17" s="9"/>
      <c r="AI17" s="39"/>
      <c r="AJ17" s="26"/>
    </row>
    <row r="18" spans="1:36" s="1" customFormat="1" ht="30" customHeight="1" x14ac:dyDescent="0.25">
      <c r="A18" s="137">
        <v>175</v>
      </c>
      <c r="B18" s="138" t="s">
        <v>44</v>
      </c>
      <c r="C18" s="138" t="s">
        <v>108</v>
      </c>
      <c r="D18" s="22">
        <v>45</v>
      </c>
      <c r="E18" s="139" t="s">
        <v>107</v>
      </c>
      <c r="F18" s="106" t="s">
        <v>118</v>
      </c>
      <c r="G18" s="124"/>
      <c r="H18" s="236" t="s">
        <v>252</v>
      </c>
      <c r="I18" s="205"/>
      <c r="J18" s="205"/>
      <c r="K18" s="155"/>
      <c r="L18" s="47"/>
      <c r="M18" s="6" t="s">
        <v>8</v>
      </c>
      <c r="N18" s="117"/>
      <c r="O18" s="18" t="e">
        <f t="shared" ca="1" si="2"/>
        <v>#VALUE!</v>
      </c>
      <c r="P18" s="24"/>
      <c r="Q18" s="8"/>
      <c r="R18" s="14"/>
      <c r="S18" s="8"/>
      <c r="T18" s="8"/>
      <c r="U18" s="48"/>
      <c r="V18" s="8"/>
      <c r="W18" s="8"/>
      <c r="X18" s="8"/>
      <c r="Y18" s="50"/>
      <c r="Z18" s="217"/>
      <c r="AA18" s="8"/>
      <c r="AB18" s="8"/>
      <c r="AC18" s="25"/>
      <c r="AD18" s="39"/>
      <c r="AE18" s="218"/>
      <c r="AF18" s="9"/>
      <c r="AG18" s="40"/>
      <c r="AH18" s="9"/>
      <c r="AI18" s="39"/>
      <c r="AJ18" s="26"/>
    </row>
    <row r="19" spans="1:36" s="65" customFormat="1" ht="30" customHeight="1" x14ac:dyDescent="0.25">
      <c r="A19" s="141">
        <v>177</v>
      </c>
      <c r="B19" s="143" t="s">
        <v>86</v>
      </c>
      <c r="C19" s="143" t="s">
        <v>87</v>
      </c>
      <c r="D19" s="57">
        <v>27</v>
      </c>
      <c r="E19" s="140" t="s">
        <v>11</v>
      </c>
      <c r="F19" s="58" t="s">
        <v>88</v>
      </c>
      <c r="G19" s="124" t="s">
        <v>199</v>
      </c>
      <c r="H19" s="17" t="s">
        <v>316</v>
      </c>
      <c r="I19" s="61" t="s">
        <v>210</v>
      </c>
      <c r="J19" s="59" t="s">
        <v>211</v>
      </c>
      <c r="K19" s="155" t="s">
        <v>68</v>
      </c>
      <c r="L19" s="47">
        <v>45658</v>
      </c>
      <c r="M19" s="62" t="s">
        <v>32</v>
      </c>
      <c r="N19" s="135" t="s">
        <v>7</v>
      </c>
      <c r="O19" s="63">
        <f t="shared" ca="1" si="2"/>
        <v>31</v>
      </c>
      <c r="P19" s="24"/>
      <c r="Q19" s="8"/>
      <c r="R19" s="14"/>
      <c r="S19" s="8"/>
      <c r="T19" s="45"/>
      <c r="U19" s="48"/>
      <c r="V19" s="94"/>
      <c r="W19" s="8"/>
      <c r="X19" s="8"/>
      <c r="Y19" s="50"/>
      <c r="Z19" s="217"/>
      <c r="AA19" s="8"/>
      <c r="AB19" s="8"/>
      <c r="AC19" s="25"/>
      <c r="AD19" s="39"/>
      <c r="AE19" s="219"/>
      <c r="AF19" s="9"/>
      <c r="AG19" s="40"/>
      <c r="AH19" s="9"/>
      <c r="AI19" s="39"/>
      <c r="AJ19" s="26"/>
    </row>
    <row r="20" spans="1:36" s="1" customFormat="1" ht="30" customHeight="1" x14ac:dyDescent="0.25">
      <c r="A20" s="137" t="s">
        <v>89</v>
      </c>
      <c r="B20" s="143" t="s">
        <v>86</v>
      </c>
      <c r="C20" s="138" t="s">
        <v>108</v>
      </c>
      <c r="D20" s="22">
        <v>6</v>
      </c>
      <c r="E20" s="140" t="s">
        <v>107</v>
      </c>
      <c r="F20" s="91" t="s">
        <v>160</v>
      </c>
      <c r="G20" s="124">
        <v>92700234</v>
      </c>
      <c r="H20" s="17" t="s">
        <v>275</v>
      </c>
      <c r="I20" s="180" t="s">
        <v>278</v>
      </c>
      <c r="J20" s="180" t="s">
        <v>279</v>
      </c>
      <c r="K20" s="155" t="s">
        <v>68</v>
      </c>
      <c r="L20" s="90">
        <v>45704</v>
      </c>
      <c r="M20" s="6" t="s">
        <v>8</v>
      </c>
      <c r="N20" s="232" t="s">
        <v>7</v>
      </c>
      <c r="O20" s="18">
        <f t="shared" ca="1" si="2"/>
        <v>35</v>
      </c>
      <c r="P20" s="24"/>
      <c r="Q20" s="8"/>
      <c r="R20" s="14"/>
      <c r="S20" s="8"/>
      <c r="T20" s="8"/>
      <c r="U20" s="48"/>
      <c r="V20" s="8"/>
      <c r="W20" s="8"/>
      <c r="X20" s="8"/>
      <c r="Y20" s="50"/>
      <c r="Z20" s="217"/>
      <c r="AA20" s="8"/>
      <c r="AB20" s="8"/>
      <c r="AC20" s="25"/>
      <c r="AD20" s="39"/>
      <c r="AE20" s="218"/>
      <c r="AF20" s="9"/>
      <c r="AG20" s="40"/>
      <c r="AH20" s="9"/>
      <c r="AI20" s="39"/>
      <c r="AJ20" s="26"/>
    </row>
    <row r="21" spans="1:36" s="1" customFormat="1" ht="30" customHeight="1" x14ac:dyDescent="0.25">
      <c r="A21" s="137">
        <v>178</v>
      </c>
      <c r="B21" s="138" t="s">
        <v>46</v>
      </c>
      <c r="C21" s="111" t="s">
        <v>172</v>
      </c>
      <c r="D21" s="22">
        <v>32</v>
      </c>
      <c r="E21" s="139" t="s">
        <v>10</v>
      </c>
      <c r="F21" s="36" t="s">
        <v>125</v>
      </c>
      <c r="G21" s="124"/>
      <c r="H21" s="220" t="s">
        <v>252</v>
      </c>
      <c r="I21" s="182"/>
      <c r="J21" s="183"/>
      <c r="K21" s="258" t="s">
        <v>334</v>
      </c>
      <c r="L21" s="47"/>
      <c r="M21" s="6" t="s">
        <v>8</v>
      </c>
      <c r="N21" s="134" t="s">
        <v>7</v>
      </c>
      <c r="O21" s="18" t="e">
        <f t="shared" ca="1" si="2"/>
        <v>#VALUE!</v>
      </c>
      <c r="P21" s="24"/>
      <c r="Q21" s="8"/>
      <c r="R21" s="14"/>
      <c r="S21" s="8"/>
      <c r="T21" s="8"/>
      <c r="U21" s="48"/>
      <c r="V21" s="8"/>
      <c r="W21" s="8"/>
      <c r="X21" s="8"/>
      <c r="Y21" s="50"/>
      <c r="Z21" s="217"/>
      <c r="AA21" s="8"/>
      <c r="AB21" s="8"/>
      <c r="AC21" s="25"/>
      <c r="AD21" s="39"/>
      <c r="AE21" s="218"/>
      <c r="AF21" s="9"/>
      <c r="AG21" s="40"/>
      <c r="AH21" s="9"/>
      <c r="AI21" s="39"/>
      <c r="AJ21" s="26"/>
    </row>
    <row r="22" spans="1:36" s="1" customFormat="1" ht="30" customHeight="1" x14ac:dyDescent="0.25">
      <c r="A22" s="137">
        <v>179</v>
      </c>
      <c r="B22" s="138" t="s">
        <v>48</v>
      </c>
      <c r="C22" s="138" t="s">
        <v>19</v>
      </c>
      <c r="D22" s="22">
        <v>34</v>
      </c>
      <c r="E22" s="139" t="s">
        <v>11</v>
      </c>
      <c r="F22" s="36" t="s">
        <v>126</v>
      </c>
      <c r="G22" s="124" t="s">
        <v>200</v>
      </c>
      <c r="H22" s="17" t="s">
        <v>181</v>
      </c>
      <c r="I22" s="191" t="s">
        <v>227</v>
      </c>
      <c r="J22" s="183" t="s">
        <v>228</v>
      </c>
      <c r="K22" s="155" t="s">
        <v>68</v>
      </c>
      <c r="L22" s="47">
        <v>45658</v>
      </c>
      <c r="M22" s="6" t="s">
        <v>8</v>
      </c>
      <c r="N22" s="134" t="s">
        <v>7</v>
      </c>
      <c r="O22" s="18">
        <f t="shared" ca="1" si="2"/>
        <v>35</v>
      </c>
      <c r="P22" s="24"/>
      <c r="Q22" s="8"/>
      <c r="R22" s="14"/>
      <c r="S22" s="8"/>
      <c r="T22" s="8"/>
      <c r="U22" s="48"/>
      <c r="V22" s="94"/>
      <c r="W22" s="8"/>
      <c r="X22" s="8"/>
      <c r="Y22" s="50"/>
      <c r="Z22" s="217"/>
      <c r="AA22" s="8"/>
      <c r="AB22" s="8"/>
      <c r="AC22" s="25"/>
      <c r="AD22" s="39"/>
      <c r="AE22" s="218"/>
      <c r="AF22" s="9"/>
      <c r="AG22" s="40"/>
      <c r="AH22" s="9"/>
      <c r="AI22" s="39"/>
      <c r="AJ22" s="26"/>
    </row>
    <row r="23" spans="1:36" s="1" customFormat="1" ht="30" customHeight="1" x14ac:dyDescent="0.25">
      <c r="A23" s="137">
        <v>180</v>
      </c>
      <c r="B23" s="138" t="s">
        <v>47</v>
      </c>
      <c r="C23" s="138" t="s">
        <v>20</v>
      </c>
      <c r="D23" s="22">
        <v>35</v>
      </c>
      <c r="E23" s="139" t="s">
        <v>11</v>
      </c>
      <c r="F23" s="36" t="s">
        <v>127</v>
      </c>
      <c r="G23" s="118">
        <v>92700262</v>
      </c>
      <c r="H23" s="255" t="s">
        <v>348</v>
      </c>
      <c r="I23" s="211" t="s">
        <v>349</v>
      </c>
      <c r="J23" s="211" t="s">
        <v>350</v>
      </c>
      <c r="K23" s="263" t="s">
        <v>318</v>
      </c>
      <c r="L23" s="123">
        <v>45962</v>
      </c>
      <c r="M23" s="6" t="s">
        <v>8</v>
      </c>
      <c r="N23" s="232"/>
      <c r="O23" s="18">
        <f t="shared" ca="1" si="2"/>
        <v>28</v>
      </c>
      <c r="P23" s="24"/>
      <c r="Q23" s="8"/>
      <c r="R23" s="14"/>
      <c r="S23" s="8"/>
      <c r="T23" s="8"/>
      <c r="U23" s="48"/>
      <c r="V23" s="94"/>
      <c r="W23" s="8"/>
      <c r="X23" s="8"/>
      <c r="Y23" s="50"/>
      <c r="Z23" s="217"/>
      <c r="AA23" s="8"/>
      <c r="AB23" s="8"/>
      <c r="AC23" s="25"/>
      <c r="AD23" s="39"/>
      <c r="AE23" s="218"/>
      <c r="AF23" s="9"/>
      <c r="AG23" s="40"/>
      <c r="AH23" s="9"/>
      <c r="AI23" s="39"/>
      <c r="AJ23" s="26"/>
    </row>
    <row r="24" spans="1:36" s="1" customFormat="1" ht="30" customHeight="1" x14ac:dyDescent="0.25">
      <c r="A24" s="137" t="s">
        <v>90</v>
      </c>
      <c r="B24" s="138" t="s">
        <v>47</v>
      </c>
      <c r="C24" s="138" t="s">
        <v>108</v>
      </c>
      <c r="D24" s="22">
        <v>44</v>
      </c>
      <c r="E24" s="158" t="s">
        <v>107</v>
      </c>
      <c r="F24" s="109" t="s">
        <v>128</v>
      </c>
      <c r="G24" s="124">
        <v>92700249</v>
      </c>
      <c r="H24" s="21" t="s">
        <v>308</v>
      </c>
      <c r="I24" s="199" t="s">
        <v>310</v>
      </c>
      <c r="J24" s="200" t="s">
        <v>309</v>
      </c>
      <c r="K24" s="225" t="s">
        <v>68</v>
      </c>
      <c r="L24" s="47">
        <v>45809</v>
      </c>
      <c r="M24" s="156" t="s">
        <v>8</v>
      </c>
      <c r="N24" s="234" t="s">
        <v>32</v>
      </c>
      <c r="O24" s="18">
        <f t="shared" ca="1" si="2"/>
        <v>28</v>
      </c>
      <c r="P24" s="24"/>
      <c r="Q24" s="8"/>
      <c r="R24" s="14"/>
      <c r="S24" s="8"/>
      <c r="T24" s="8"/>
      <c r="U24" s="48"/>
      <c r="V24" s="8"/>
      <c r="W24" s="8"/>
      <c r="X24" s="8"/>
      <c r="Y24" s="50"/>
      <c r="Z24" s="217"/>
      <c r="AA24" s="8"/>
      <c r="AB24" s="8"/>
      <c r="AC24" s="25"/>
      <c r="AD24" s="39"/>
      <c r="AE24" s="218"/>
      <c r="AF24" s="9"/>
      <c r="AG24" s="40"/>
      <c r="AH24" s="9"/>
      <c r="AI24" s="39"/>
      <c r="AJ24" s="26"/>
    </row>
    <row r="25" spans="1:36" s="1" customFormat="1" ht="30" customHeight="1" x14ac:dyDescent="0.25">
      <c r="A25" s="137">
        <v>182</v>
      </c>
      <c r="B25" s="138" t="s">
        <v>49</v>
      </c>
      <c r="C25" s="111" t="s">
        <v>156</v>
      </c>
      <c r="D25" s="22">
        <v>41</v>
      </c>
      <c r="E25" s="139" t="s">
        <v>157</v>
      </c>
      <c r="F25" s="36" t="s">
        <v>62</v>
      </c>
      <c r="G25" s="124" t="s">
        <v>339</v>
      </c>
      <c r="H25" s="220" t="s">
        <v>338</v>
      </c>
      <c r="I25" s="226" t="s">
        <v>340</v>
      </c>
      <c r="J25" s="272" t="s">
        <v>344</v>
      </c>
      <c r="K25" s="225" t="s">
        <v>313</v>
      </c>
      <c r="L25" s="90">
        <v>45962</v>
      </c>
      <c r="M25" s="6" t="s">
        <v>8</v>
      </c>
      <c r="N25" s="265" t="s">
        <v>32</v>
      </c>
      <c r="O25" s="18">
        <f t="shared" ca="1" si="2"/>
        <v>64</v>
      </c>
      <c r="P25" s="24"/>
      <c r="Q25" s="8"/>
      <c r="R25" s="14"/>
      <c r="S25" s="8"/>
      <c r="T25" s="8"/>
      <c r="U25" s="48"/>
      <c r="V25" s="8"/>
      <c r="W25" s="8"/>
      <c r="X25" s="8"/>
      <c r="Y25" s="50"/>
      <c r="Z25" s="217"/>
      <c r="AA25" s="8"/>
      <c r="AB25" s="8"/>
      <c r="AC25" s="25"/>
      <c r="AD25" s="39"/>
      <c r="AE25" s="218"/>
      <c r="AF25" s="9"/>
      <c r="AG25" s="40"/>
      <c r="AH25" s="9"/>
      <c r="AI25" s="39"/>
      <c r="AJ25" s="26"/>
    </row>
    <row r="26" spans="1:36" s="1" customFormat="1" ht="30" customHeight="1" x14ac:dyDescent="0.25">
      <c r="A26" s="137">
        <v>184</v>
      </c>
      <c r="B26" s="138" t="s">
        <v>50</v>
      </c>
      <c r="C26" s="138" t="s">
        <v>22</v>
      </c>
      <c r="D26" s="22">
        <v>43</v>
      </c>
      <c r="E26" s="139" t="s">
        <v>11</v>
      </c>
      <c r="F26" s="36" t="s">
        <v>62</v>
      </c>
      <c r="G26" s="124">
        <v>92700194</v>
      </c>
      <c r="H26" s="17" t="s">
        <v>169</v>
      </c>
      <c r="I26" s="182" t="s">
        <v>158</v>
      </c>
      <c r="J26" s="183" t="s">
        <v>159</v>
      </c>
      <c r="K26" s="155" t="s">
        <v>68</v>
      </c>
      <c r="L26" s="47">
        <v>45352</v>
      </c>
      <c r="M26" s="11" t="s">
        <v>8</v>
      </c>
      <c r="N26" s="134" t="s">
        <v>32</v>
      </c>
      <c r="O26" s="18">
        <f t="shared" ca="1" si="2"/>
        <v>27</v>
      </c>
      <c r="P26" s="24"/>
      <c r="Q26" s="8"/>
      <c r="R26" s="14"/>
      <c r="S26" s="8"/>
      <c r="T26" s="14"/>
      <c r="U26" s="48"/>
      <c r="V26" s="94"/>
      <c r="W26" s="8"/>
      <c r="X26" s="8"/>
      <c r="Y26" s="50"/>
      <c r="Z26" s="217"/>
      <c r="AA26" s="8"/>
      <c r="AB26" s="8"/>
      <c r="AC26" s="25"/>
      <c r="AD26" s="39"/>
      <c r="AE26" s="218"/>
      <c r="AF26" s="9"/>
      <c r="AG26" s="40"/>
      <c r="AH26" s="9"/>
      <c r="AI26" s="39"/>
      <c r="AJ26" s="26"/>
    </row>
    <row r="27" spans="1:36" s="1" customFormat="1" ht="30" customHeight="1" x14ac:dyDescent="0.25">
      <c r="A27" s="137">
        <v>184</v>
      </c>
      <c r="B27" s="138" t="s">
        <v>50</v>
      </c>
      <c r="C27" s="138" t="s">
        <v>108</v>
      </c>
      <c r="D27" s="22">
        <v>76</v>
      </c>
      <c r="E27" s="139" t="s">
        <v>107</v>
      </c>
      <c r="F27" s="92" t="s">
        <v>129</v>
      </c>
      <c r="G27" s="124" t="s">
        <v>201</v>
      </c>
      <c r="H27" s="17" t="s">
        <v>191</v>
      </c>
      <c r="I27" s="194" t="s">
        <v>202</v>
      </c>
      <c r="J27" s="195" t="s">
        <v>203</v>
      </c>
      <c r="K27" s="155" t="s">
        <v>68</v>
      </c>
      <c r="L27" s="90">
        <v>45658</v>
      </c>
      <c r="M27" s="6" t="s">
        <v>8</v>
      </c>
      <c r="N27" s="51" t="s">
        <v>7</v>
      </c>
      <c r="O27" s="18">
        <f t="shared" ca="1" si="2"/>
        <v>45</v>
      </c>
      <c r="P27" s="24"/>
      <c r="Q27" s="8"/>
      <c r="R27" s="14"/>
      <c r="S27" s="8"/>
      <c r="T27" s="8"/>
      <c r="U27" s="48"/>
      <c r="V27" s="8"/>
      <c r="W27" s="8"/>
      <c r="X27" s="8"/>
      <c r="Y27" s="50"/>
      <c r="Z27" s="217"/>
      <c r="AA27" s="8"/>
      <c r="AB27" s="8"/>
      <c r="AC27" s="25"/>
      <c r="AD27" s="39"/>
      <c r="AE27" s="218"/>
      <c r="AF27" s="9"/>
      <c r="AG27" s="40"/>
      <c r="AH27" s="9"/>
      <c r="AI27" s="39"/>
      <c r="AJ27" s="26"/>
    </row>
    <row r="28" spans="1:36" s="1" customFormat="1" ht="30" customHeight="1" x14ac:dyDescent="0.25">
      <c r="A28" s="137">
        <v>185</v>
      </c>
      <c r="B28" s="138" t="s">
        <v>155</v>
      </c>
      <c r="C28" s="138" t="s">
        <v>21</v>
      </c>
      <c r="D28" s="22">
        <v>4</v>
      </c>
      <c r="E28" s="139" t="s">
        <v>11</v>
      </c>
      <c r="F28" s="36" t="s">
        <v>63</v>
      </c>
      <c r="G28" s="124">
        <v>92700255</v>
      </c>
      <c r="H28" s="17" t="s">
        <v>322</v>
      </c>
      <c r="I28" s="194" t="s">
        <v>324</v>
      </c>
      <c r="J28" s="245" t="s">
        <v>323</v>
      </c>
      <c r="K28" s="243" t="s">
        <v>68</v>
      </c>
      <c r="L28" s="90">
        <v>45901</v>
      </c>
      <c r="M28" s="98" t="s">
        <v>8</v>
      </c>
      <c r="N28" s="244" t="s">
        <v>32</v>
      </c>
      <c r="O28" s="18">
        <f t="shared" ca="1" si="2"/>
        <v>35</v>
      </c>
      <c r="P28" s="24"/>
      <c r="Q28" s="8"/>
      <c r="R28" s="14"/>
      <c r="S28" s="8"/>
      <c r="T28" s="8"/>
      <c r="U28" s="48"/>
      <c r="V28" s="94"/>
      <c r="W28" s="8"/>
      <c r="X28" s="8"/>
      <c r="Y28" s="50"/>
      <c r="Z28" s="217"/>
      <c r="AA28" s="8"/>
      <c r="AB28" s="8"/>
      <c r="AC28" s="25"/>
      <c r="AD28" s="39"/>
      <c r="AE28" s="218"/>
      <c r="AF28" s="9"/>
      <c r="AG28" s="40"/>
      <c r="AH28" s="9"/>
      <c r="AI28" s="39"/>
      <c r="AJ28" s="26"/>
    </row>
    <row r="29" spans="1:36" s="1" customFormat="1" ht="30" customHeight="1" x14ac:dyDescent="0.25">
      <c r="A29" s="137">
        <v>185</v>
      </c>
      <c r="B29" s="138" t="s">
        <v>155</v>
      </c>
      <c r="C29" s="138" t="s">
        <v>108</v>
      </c>
      <c r="D29" s="22">
        <v>74</v>
      </c>
      <c r="E29" s="140" t="s">
        <v>107</v>
      </c>
      <c r="F29" s="93" t="s">
        <v>130</v>
      </c>
      <c r="G29" s="124">
        <v>92700210</v>
      </c>
      <c r="H29" s="17" t="s">
        <v>182</v>
      </c>
      <c r="I29" s="189" t="s">
        <v>212</v>
      </c>
      <c r="J29" s="190" t="s">
        <v>213</v>
      </c>
      <c r="K29" s="155" t="s">
        <v>68</v>
      </c>
      <c r="L29" s="47">
        <v>45658</v>
      </c>
      <c r="M29" s="6" t="s">
        <v>8</v>
      </c>
      <c r="N29" s="134" t="s">
        <v>32</v>
      </c>
      <c r="O29" s="18">
        <f t="shared" ca="1" si="2"/>
        <v>30</v>
      </c>
      <c r="P29" s="24"/>
      <c r="Q29" s="8"/>
      <c r="R29" s="14"/>
      <c r="S29" s="8"/>
      <c r="T29" s="8"/>
      <c r="U29" s="48"/>
      <c r="V29" s="8"/>
      <c r="W29" s="8"/>
      <c r="X29" s="8"/>
      <c r="Y29" s="50"/>
      <c r="Z29" s="217"/>
      <c r="AA29" s="8"/>
      <c r="AB29" s="8"/>
      <c r="AC29" s="25"/>
      <c r="AD29" s="39"/>
      <c r="AE29" s="218"/>
      <c r="AF29" s="9"/>
      <c r="AG29" s="40"/>
      <c r="AH29" s="9"/>
      <c r="AI29" s="39"/>
      <c r="AJ29" s="26"/>
    </row>
    <row r="30" spans="1:36" s="1" customFormat="1" ht="30" customHeight="1" x14ac:dyDescent="0.25">
      <c r="A30" s="137">
        <v>185</v>
      </c>
      <c r="B30" s="138" t="s">
        <v>155</v>
      </c>
      <c r="C30" s="138" t="s">
        <v>108</v>
      </c>
      <c r="D30" s="22">
        <v>55</v>
      </c>
      <c r="E30" s="140" t="s">
        <v>107</v>
      </c>
      <c r="F30" s="93" t="s">
        <v>131</v>
      </c>
      <c r="G30" s="124">
        <v>92700237</v>
      </c>
      <c r="H30" s="159" t="s">
        <v>274</v>
      </c>
      <c r="I30" s="180" t="s">
        <v>276</v>
      </c>
      <c r="J30" s="180" t="s">
        <v>277</v>
      </c>
      <c r="K30" s="155" t="s">
        <v>68</v>
      </c>
      <c r="L30" s="90">
        <v>45717</v>
      </c>
      <c r="M30" s="6" t="s">
        <v>8</v>
      </c>
      <c r="N30" s="110" t="s">
        <v>32</v>
      </c>
      <c r="O30" s="18">
        <f t="shared" ca="1" si="2"/>
        <v>30</v>
      </c>
      <c r="P30" s="24"/>
      <c r="Q30" s="8"/>
      <c r="R30" s="14"/>
      <c r="S30" s="8"/>
      <c r="T30" s="8"/>
      <c r="U30" s="48"/>
      <c r="V30" s="8"/>
      <c r="W30" s="8"/>
      <c r="X30" s="8"/>
      <c r="Y30" s="50"/>
      <c r="Z30" s="217"/>
      <c r="AA30" s="8"/>
      <c r="AB30" s="8"/>
      <c r="AC30" s="25"/>
      <c r="AD30" s="39"/>
      <c r="AE30" s="218"/>
      <c r="AF30" s="9"/>
      <c r="AG30" s="40"/>
      <c r="AH30" s="9"/>
      <c r="AI30" s="39"/>
      <c r="AJ30" s="26"/>
    </row>
    <row r="31" spans="1:36" s="1" customFormat="1" ht="30" customHeight="1" x14ac:dyDescent="0.25">
      <c r="A31" s="137">
        <v>186</v>
      </c>
      <c r="B31" s="138" t="s">
        <v>51</v>
      </c>
      <c r="C31" s="111" t="s">
        <v>36</v>
      </c>
      <c r="D31" s="22">
        <v>47</v>
      </c>
      <c r="E31" s="139" t="s">
        <v>10</v>
      </c>
      <c r="F31" s="36" t="s">
        <v>64</v>
      </c>
      <c r="G31" s="124" t="s">
        <v>173</v>
      </c>
      <c r="H31" s="17" t="s">
        <v>174</v>
      </c>
      <c r="I31" s="196" t="s">
        <v>251</v>
      </c>
      <c r="J31" s="197" t="s">
        <v>175</v>
      </c>
      <c r="K31" s="155" t="s">
        <v>68</v>
      </c>
      <c r="L31" s="47">
        <v>45640</v>
      </c>
      <c r="M31" s="6" t="s">
        <v>8</v>
      </c>
      <c r="N31" s="146" t="s">
        <v>32</v>
      </c>
      <c r="O31" s="18">
        <f t="shared" ca="1" si="2"/>
        <v>25</v>
      </c>
      <c r="P31" s="24"/>
      <c r="Q31" s="8"/>
      <c r="R31" s="14"/>
      <c r="S31" s="8"/>
      <c r="T31" s="8"/>
      <c r="U31" s="48"/>
      <c r="V31" s="8"/>
      <c r="W31" s="8"/>
      <c r="X31" s="8"/>
      <c r="Y31" s="50"/>
      <c r="Z31" s="217"/>
      <c r="AA31" s="8"/>
      <c r="AB31" s="8"/>
      <c r="AC31" s="25"/>
      <c r="AD31" s="39"/>
      <c r="AE31" s="218"/>
      <c r="AF31" s="9"/>
      <c r="AG31" s="40"/>
      <c r="AH31" s="9"/>
      <c r="AI31" s="39"/>
      <c r="AJ31" s="26"/>
    </row>
    <row r="32" spans="1:36" s="1" customFormat="1" ht="30" customHeight="1" x14ac:dyDescent="0.25">
      <c r="A32" s="137">
        <v>188</v>
      </c>
      <c r="B32" s="138" t="s">
        <v>52</v>
      </c>
      <c r="C32" s="138" t="s">
        <v>27</v>
      </c>
      <c r="D32" s="22">
        <v>48</v>
      </c>
      <c r="E32" s="140" t="s">
        <v>11</v>
      </c>
      <c r="F32" s="37" t="s">
        <v>65</v>
      </c>
      <c r="G32" s="124" t="s">
        <v>229</v>
      </c>
      <c r="H32" s="17" t="s">
        <v>273</v>
      </c>
      <c r="I32" s="119" t="s">
        <v>244</v>
      </c>
      <c r="J32" s="120" t="s">
        <v>245</v>
      </c>
      <c r="K32" s="41" t="s">
        <v>68</v>
      </c>
      <c r="L32" s="47">
        <v>45658</v>
      </c>
      <c r="M32" s="6" t="s">
        <v>8</v>
      </c>
      <c r="N32" s="134" t="s">
        <v>7</v>
      </c>
      <c r="O32" s="18">
        <f t="shared" ca="1" si="2"/>
        <v>61</v>
      </c>
      <c r="P32" s="24"/>
      <c r="Q32" s="8"/>
      <c r="R32" s="14"/>
      <c r="S32" s="8"/>
      <c r="T32" s="14"/>
      <c r="U32" s="48"/>
      <c r="V32" s="94"/>
      <c r="W32" s="8"/>
      <c r="X32" s="8"/>
      <c r="Y32" s="50"/>
      <c r="Z32" s="217"/>
      <c r="AA32" s="8"/>
      <c r="AB32" s="8"/>
      <c r="AC32" s="25"/>
      <c r="AD32" s="39"/>
      <c r="AE32" s="218"/>
      <c r="AF32" s="9"/>
      <c r="AG32" s="40"/>
      <c r="AH32" s="9"/>
      <c r="AI32" s="39"/>
      <c r="AJ32" s="26"/>
    </row>
    <row r="33" spans="1:36" s="1" customFormat="1" ht="45" x14ac:dyDescent="0.25">
      <c r="A33" s="137" t="s">
        <v>69</v>
      </c>
      <c r="B33" s="138" t="s">
        <v>52</v>
      </c>
      <c r="C33" s="138" t="s">
        <v>108</v>
      </c>
      <c r="D33" s="22">
        <v>59</v>
      </c>
      <c r="E33" s="140" t="s">
        <v>107</v>
      </c>
      <c r="F33" s="93" t="s">
        <v>132</v>
      </c>
      <c r="G33" s="202">
        <v>92700232</v>
      </c>
      <c r="H33" s="17" t="s">
        <v>250</v>
      </c>
      <c r="I33" s="164" t="s">
        <v>253</v>
      </c>
      <c r="J33" s="165" t="s">
        <v>262</v>
      </c>
      <c r="K33" s="164" t="s">
        <v>68</v>
      </c>
      <c r="L33" s="171">
        <v>45323</v>
      </c>
      <c r="M33" s="6" t="s">
        <v>8</v>
      </c>
      <c r="N33" s="134" t="s">
        <v>7</v>
      </c>
      <c r="O33" s="18">
        <f t="shared" ca="1" si="2"/>
        <v>28</v>
      </c>
      <c r="P33" s="24"/>
      <c r="Q33" s="8"/>
      <c r="R33" s="14"/>
      <c r="S33" s="8"/>
      <c r="T33" s="8"/>
      <c r="U33" s="48"/>
      <c r="V33" s="8"/>
      <c r="W33" s="8"/>
      <c r="X33" s="8"/>
      <c r="Y33" s="50"/>
      <c r="Z33" s="217"/>
      <c r="AA33" s="8"/>
      <c r="AB33" s="8"/>
      <c r="AC33" s="25"/>
      <c r="AD33" s="39"/>
      <c r="AE33" s="218"/>
      <c r="AF33" s="9"/>
      <c r="AG33" s="40"/>
      <c r="AH33" s="9"/>
      <c r="AI33" s="39"/>
      <c r="AJ33" s="26"/>
    </row>
    <row r="34" spans="1:36" s="1" customFormat="1" ht="30" customHeight="1" x14ac:dyDescent="0.25">
      <c r="A34" s="137">
        <v>189</v>
      </c>
      <c r="B34" s="138" t="s">
        <v>53</v>
      </c>
      <c r="C34" s="138" t="s">
        <v>28</v>
      </c>
      <c r="D34" s="22">
        <v>49</v>
      </c>
      <c r="E34" s="140" t="s">
        <v>11</v>
      </c>
      <c r="F34" s="37" t="s">
        <v>66</v>
      </c>
      <c r="G34" s="118" t="s">
        <v>226</v>
      </c>
      <c r="H34" s="17" t="s">
        <v>317</v>
      </c>
      <c r="I34" s="66" t="s">
        <v>38</v>
      </c>
      <c r="J34" s="133" t="s">
        <v>37</v>
      </c>
      <c r="K34" s="41" t="s">
        <v>68</v>
      </c>
      <c r="L34" s="90">
        <v>44044</v>
      </c>
      <c r="M34" s="6" t="s">
        <v>8</v>
      </c>
      <c r="N34" s="232" t="s">
        <v>32</v>
      </c>
      <c r="O34" s="18">
        <f t="shared" ca="1" si="2"/>
        <v>30</v>
      </c>
      <c r="P34" s="24"/>
      <c r="Q34" s="8"/>
      <c r="R34" s="14"/>
      <c r="S34" s="8"/>
      <c r="T34" s="14"/>
      <c r="U34" s="48"/>
      <c r="V34" s="94"/>
      <c r="W34" s="8"/>
      <c r="X34" s="8"/>
      <c r="Y34" s="50"/>
      <c r="Z34" s="217"/>
      <c r="AA34" s="8"/>
      <c r="AB34" s="8"/>
      <c r="AC34" s="25"/>
      <c r="AD34" s="39"/>
      <c r="AE34" s="218"/>
      <c r="AF34" s="9"/>
      <c r="AG34" s="40"/>
      <c r="AH34" s="9"/>
      <c r="AI34" s="39"/>
      <c r="AJ34" s="26"/>
    </row>
    <row r="35" spans="1:36" s="1" customFormat="1" ht="30" customHeight="1" x14ac:dyDescent="0.25">
      <c r="A35" s="137">
        <v>189</v>
      </c>
      <c r="B35" s="138" t="s">
        <v>53</v>
      </c>
      <c r="C35" s="138" t="s">
        <v>108</v>
      </c>
      <c r="D35" s="22">
        <v>50</v>
      </c>
      <c r="E35" s="140" t="s">
        <v>107</v>
      </c>
      <c r="F35" s="91" t="s">
        <v>133</v>
      </c>
      <c r="G35" s="118">
        <v>92700252</v>
      </c>
      <c r="H35" s="17" t="s">
        <v>312</v>
      </c>
      <c r="I35" s="229" t="s">
        <v>314</v>
      </c>
      <c r="J35" s="228" t="s">
        <v>315</v>
      </c>
      <c r="K35" s="227" t="s">
        <v>68</v>
      </c>
      <c r="L35" s="90">
        <v>45824</v>
      </c>
      <c r="M35" s="6" t="s">
        <v>8</v>
      </c>
      <c r="N35" s="232" t="s">
        <v>7</v>
      </c>
      <c r="O35" s="18">
        <f t="shared" ca="1" si="2"/>
        <v>50</v>
      </c>
      <c r="P35" s="24"/>
      <c r="Q35" s="8"/>
      <c r="R35" s="14"/>
      <c r="S35" s="8"/>
      <c r="T35" s="8"/>
      <c r="U35" s="48"/>
      <c r="V35" s="45"/>
      <c r="W35" s="8"/>
      <c r="X35" s="8"/>
      <c r="Y35" s="50"/>
      <c r="Z35" s="217"/>
      <c r="AA35" s="8"/>
      <c r="AB35" s="8"/>
      <c r="AC35" s="25"/>
      <c r="AD35" s="39"/>
      <c r="AE35" s="218"/>
      <c r="AF35" s="9"/>
      <c r="AG35" s="40"/>
      <c r="AH35" s="9"/>
      <c r="AI35" s="39"/>
      <c r="AJ35" s="26"/>
    </row>
    <row r="36" spans="1:36" s="1" customFormat="1" ht="42" customHeight="1" x14ac:dyDescent="0.25">
      <c r="A36" s="137">
        <v>189</v>
      </c>
      <c r="B36" s="259" t="s">
        <v>53</v>
      </c>
      <c r="C36" s="138" t="s">
        <v>108</v>
      </c>
      <c r="D36" s="22">
        <v>72</v>
      </c>
      <c r="E36" s="140" t="s">
        <v>107</v>
      </c>
      <c r="F36" s="91" t="s">
        <v>134</v>
      </c>
      <c r="G36" s="118">
        <v>92700259</v>
      </c>
      <c r="H36" s="220" t="s">
        <v>335</v>
      </c>
      <c r="I36" s="229" t="s">
        <v>336</v>
      </c>
      <c r="J36" s="260" t="s">
        <v>337</v>
      </c>
      <c r="K36" s="227" t="s">
        <v>68</v>
      </c>
      <c r="L36" s="90">
        <v>45946</v>
      </c>
      <c r="M36" s="6" t="s">
        <v>8</v>
      </c>
      <c r="N36" s="232" t="s">
        <v>7</v>
      </c>
      <c r="O36" s="18">
        <f t="shared" ca="1" si="2"/>
        <v>32</v>
      </c>
      <c r="P36" s="24"/>
      <c r="Q36" s="8"/>
      <c r="R36" s="14"/>
      <c r="S36" s="8"/>
      <c r="T36" s="8"/>
      <c r="U36" s="48"/>
      <c r="V36" s="8"/>
      <c r="W36" s="8"/>
      <c r="X36" s="8"/>
      <c r="Y36" s="50"/>
      <c r="Z36" s="217"/>
      <c r="AA36" s="8"/>
      <c r="AB36" s="8"/>
      <c r="AC36" s="25"/>
      <c r="AD36" s="39"/>
      <c r="AE36" s="218"/>
      <c r="AF36" s="9"/>
      <c r="AG36" s="40"/>
      <c r="AH36" s="9"/>
      <c r="AI36" s="39"/>
      <c r="AJ36" s="26"/>
    </row>
    <row r="37" spans="1:36" s="1" customFormat="1" ht="45" x14ac:dyDescent="0.25">
      <c r="A37" s="137">
        <v>191</v>
      </c>
      <c r="B37" s="138" t="s">
        <v>54</v>
      </c>
      <c r="C37" s="111" t="s">
        <v>35</v>
      </c>
      <c r="D37" s="22">
        <v>51</v>
      </c>
      <c r="E37" s="139" t="s">
        <v>10</v>
      </c>
      <c r="F37" s="36" t="s">
        <v>135</v>
      </c>
      <c r="G37" s="124">
        <v>92700239</v>
      </c>
      <c r="H37" s="17" t="s">
        <v>280</v>
      </c>
      <c r="I37" s="164" t="s">
        <v>283</v>
      </c>
      <c r="J37" s="165" t="s">
        <v>284</v>
      </c>
      <c r="K37" s="164" t="s">
        <v>68</v>
      </c>
      <c r="L37" s="166">
        <v>45732</v>
      </c>
      <c r="M37" s="6" t="s">
        <v>8</v>
      </c>
      <c r="N37" s="201" t="s">
        <v>32</v>
      </c>
      <c r="O37" s="18">
        <f t="shared" ca="1" si="2"/>
        <v>29</v>
      </c>
      <c r="P37" s="24"/>
      <c r="Q37" s="8"/>
      <c r="R37" s="14"/>
      <c r="S37" s="8"/>
      <c r="T37" s="8"/>
      <c r="U37" s="48"/>
      <c r="V37" s="8"/>
      <c r="W37" s="8"/>
      <c r="X37" s="8"/>
      <c r="Y37" s="50"/>
      <c r="Z37" s="217"/>
      <c r="AA37" s="8"/>
      <c r="AB37" s="8"/>
      <c r="AC37" s="25"/>
      <c r="AD37" s="39"/>
      <c r="AE37" s="218"/>
      <c r="AF37" s="9"/>
      <c r="AG37" s="40"/>
      <c r="AH37" s="9"/>
      <c r="AI37" s="39"/>
      <c r="AJ37" s="26"/>
    </row>
    <row r="38" spans="1:36" s="1" customFormat="1" ht="45" x14ac:dyDescent="0.25">
      <c r="A38" s="137">
        <v>191</v>
      </c>
      <c r="B38" s="138" t="s">
        <v>54</v>
      </c>
      <c r="C38" s="138" t="s">
        <v>13</v>
      </c>
      <c r="D38" s="22">
        <v>16</v>
      </c>
      <c r="E38" s="139" t="s">
        <v>9</v>
      </c>
      <c r="F38" s="91" t="s">
        <v>136</v>
      </c>
      <c r="G38" s="118">
        <v>92700205</v>
      </c>
      <c r="H38" s="17" t="s">
        <v>178</v>
      </c>
      <c r="I38" s="15" t="s">
        <v>217</v>
      </c>
      <c r="J38" s="112" t="s">
        <v>218</v>
      </c>
      <c r="K38" s="41" t="s">
        <v>68</v>
      </c>
      <c r="L38" s="47">
        <v>45658</v>
      </c>
      <c r="M38" s="6" t="s">
        <v>8</v>
      </c>
      <c r="N38" s="128" t="s">
        <v>7</v>
      </c>
      <c r="O38" s="18">
        <f t="shared" ca="1" si="2"/>
        <v>32</v>
      </c>
      <c r="P38" s="214"/>
      <c r="Q38" s="8"/>
      <c r="R38" s="14"/>
      <c r="S38" s="8"/>
      <c r="T38" s="8"/>
      <c r="U38" s="48"/>
      <c r="V38" s="8"/>
      <c r="W38" s="8"/>
      <c r="X38" s="8"/>
      <c r="Y38" s="50"/>
      <c r="Z38" s="217"/>
      <c r="AA38" s="8"/>
      <c r="AB38" s="8"/>
      <c r="AC38" s="25"/>
      <c r="AD38" s="39"/>
      <c r="AE38" s="218"/>
      <c r="AF38" s="9"/>
      <c r="AG38" s="40"/>
      <c r="AH38" s="9"/>
      <c r="AI38" s="39"/>
      <c r="AJ38" s="26"/>
    </row>
    <row r="39" spans="1:36" s="1" customFormat="1" ht="45" x14ac:dyDescent="0.25">
      <c r="A39" s="137">
        <v>192</v>
      </c>
      <c r="B39" s="138" t="s">
        <v>45</v>
      </c>
      <c r="C39" s="138" t="s">
        <v>25</v>
      </c>
      <c r="D39" s="22">
        <v>5</v>
      </c>
      <c r="E39" s="139" t="s">
        <v>11</v>
      </c>
      <c r="F39" s="36" t="s">
        <v>137</v>
      </c>
      <c r="G39" s="118">
        <v>92700246</v>
      </c>
      <c r="H39" s="17" t="s">
        <v>299</v>
      </c>
      <c r="I39" s="129" t="s">
        <v>300</v>
      </c>
      <c r="J39" s="130" t="s">
        <v>301</v>
      </c>
      <c r="K39" s="41" t="s">
        <v>68</v>
      </c>
      <c r="L39" s="90">
        <v>45793</v>
      </c>
      <c r="M39" s="23" t="s">
        <v>8</v>
      </c>
      <c r="N39" s="232" t="s">
        <v>7</v>
      </c>
      <c r="O39" s="18">
        <f t="shared" ca="1" si="2"/>
        <v>26</v>
      </c>
      <c r="P39" s="24"/>
      <c r="Q39" s="8"/>
      <c r="R39" s="14"/>
      <c r="S39" s="8"/>
      <c r="T39" s="8"/>
      <c r="U39" s="48"/>
      <c r="V39" s="94"/>
      <c r="W39" s="8"/>
      <c r="X39" s="8"/>
      <c r="Y39" s="50"/>
      <c r="Z39" s="217"/>
      <c r="AA39" s="8"/>
      <c r="AB39" s="8"/>
      <c r="AC39" s="25"/>
      <c r="AD39" s="39"/>
      <c r="AE39" s="218"/>
      <c r="AF39" s="9"/>
      <c r="AG39" s="40"/>
      <c r="AH39" s="9"/>
      <c r="AI39" s="39"/>
      <c r="AJ39" s="26"/>
    </row>
    <row r="40" spans="1:36" s="1" customFormat="1" ht="45" x14ac:dyDescent="0.25">
      <c r="A40" s="137">
        <v>192</v>
      </c>
      <c r="B40" s="138" t="s">
        <v>45</v>
      </c>
      <c r="C40" s="138" t="s">
        <v>108</v>
      </c>
      <c r="D40" s="22">
        <v>61</v>
      </c>
      <c r="E40" s="140" t="s">
        <v>107</v>
      </c>
      <c r="F40" s="91" t="s">
        <v>138</v>
      </c>
      <c r="G40" s="118" t="s">
        <v>221</v>
      </c>
      <c r="H40" s="216" t="s">
        <v>180</v>
      </c>
      <c r="I40" s="12" t="s">
        <v>219</v>
      </c>
      <c r="J40" s="7" t="s">
        <v>220</v>
      </c>
      <c r="K40" s="41" t="s">
        <v>68</v>
      </c>
      <c r="L40" s="47">
        <v>45658</v>
      </c>
      <c r="M40" s="6" t="s">
        <v>8</v>
      </c>
      <c r="N40" s="232" t="s">
        <v>32</v>
      </c>
      <c r="O40" s="18">
        <f ca="1">DATEDIF(DATE(IF(MID($J40,5,2)+2000&gt;YEAR(TODAY()),MID($J40,5,2)+1900,MID($J40,5,2)+2000),MID($J40,7,2),MID($J40,9,2)),TODAY(),"y")</f>
        <v>28</v>
      </c>
      <c r="P40" s="24"/>
      <c r="Q40" s="8"/>
      <c r="R40" s="14"/>
      <c r="S40" s="8"/>
      <c r="T40" s="8"/>
      <c r="U40" s="48"/>
      <c r="V40" s="8"/>
      <c r="W40" s="8"/>
      <c r="X40" s="8"/>
      <c r="Y40" s="50"/>
      <c r="Z40" s="217"/>
      <c r="AA40" s="8"/>
      <c r="AB40" s="8"/>
      <c r="AC40" s="25"/>
      <c r="AD40" s="39"/>
      <c r="AE40" s="218"/>
      <c r="AF40" s="9"/>
      <c r="AG40" s="40"/>
      <c r="AH40" s="9"/>
      <c r="AI40" s="39"/>
      <c r="AJ40" s="26"/>
    </row>
    <row r="41" spans="1:36" s="1" customFormat="1" ht="45" x14ac:dyDescent="0.25">
      <c r="A41" s="137">
        <v>192</v>
      </c>
      <c r="B41" s="138" t="s">
        <v>45</v>
      </c>
      <c r="C41" s="138" t="s">
        <v>108</v>
      </c>
      <c r="D41" s="22">
        <v>10</v>
      </c>
      <c r="E41" s="140" t="s">
        <v>107</v>
      </c>
      <c r="F41" s="91" t="s">
        <v>139</v>
      </c>
      <c r="G41" s="252">
        <v>92700258</v>
      </c>
      <c r="H41" s="255" t="s">
        <v>328</v>
      </c>
      <c r="I41" s="253" t="s">
        <v>329</v>
      </c>
      <c r="J41" s="261" t="s">
        <v>330</v>
      </c>
      <c r="K41" s="41" t="s">
        <v>68</v>
      </c>
      <c r="L41" s="254">
        <v>45946</v>
      </c>
      <c r="M41" s="23" t="s">
        <v>8</v>
      </c>
      <c r="N41" s="232" t="s">
        <v>7</v>
      </c>
      <c r="O41" s="18">
        <f ca="1">DATEDIF(DATE(IF(MID($J41,5,2)+2000&gt;YEAR(TODAY()),MID($J41,5,2)+1900,MID($J41,5,2)+2000),MID($J41,7,2),MID($J41,9,2)),TODAY(),"y")</f>
        <v>27</v>
      </c>
      <c r="P41" s="24"/>
      <c r="Q41" s="8"/>
      <c r="R41" s="14"/>
      <c r="S41" s="8"/>
      <c r="T41" s="8"/>
      <c r="U41" s="48"/>
      <c r="V41" s="8"/>
      <c r="W41" s="8"/>
      <c r="X41" s="8"/>
      <c r="Y41" s="50"/>
      <c r="Z41" s="217"/>
      <c r="AA41" s="8"/>
      <c r="AB41" s="8"/>
      <c r="AC41" s="25"/>
      <c r="AD41" s="39"/>
      <c r="AE41" s="218"/>
      <c r="AF41" s="9"/>
      <c r="AG41" s="40"/>
      <c r="AH41" s="9"/>
      <c r="AI41" s="39"/>
      <c r="AJ41" s="26"/>
    </row>
    <row r="42" spans="1:36" s="1" customFormat="1" ht="30" x14ac:dyDescent="0.25">
      <c r="A42" s="137">
        <v>193</v>
      </c>
      <c r="B42" s="138" t="s">
        <v>41</v>
      </c>
      <c r="C42" s="138" t="s">
        <v>23</v>
      </c>
      <c r="D42" s="22">
        <v>52</v>
      </c>
      <c r="E42" s="139" t="s">
        <v>11</v>
      </c>
      <c r="F42" s="36" t="s">
        <v>140</v>
      </c>
      <c r="G42" s="118">
        <v>92700230</v>
      </c>
      <c r="H42" s="17" t="s">
        <v>248</v>
      </c>
      <c r="I42" s="147" t="s">
        <v>254</v>
      </c>
      <c r="J42" s="147" t="s">
        <v>255</v>
      </c>
      <c r="K42" s="41" t="s">
        <v>68</v>
      </c>
      <c r="L42" s="123">
        <v>45689</v>
      </c>
      <c r="M42" s="6" t="s">
        <v>8</v>
      </c>
      <c r="N42" s="145" t="s">
        <v>7</v>
      </c>
      <c r="O42" s="18">
        <f t="shared" ca="1" si="2"/>
        <v>41</v>
      </c>
      <c r="P42" s="24"/>
      <c r="Q42" s="8"/>
      <c r="R42" s="14"/>
      <c r="S42" s="8"/>
      <c r="T42" s="8"/>
      <c r="U42" s="48"/>
      <c r="V42" s="94"/>
      <c r="W42" s="8"/>
      <c r="X42" s="8"/>
      <c r="Y42" s="50"/>
      <c r="Z42" s="217"/>
      <c r="AA42" s="8"/>
      <c r="AB42" s="8"/>
      <c r="AC42" s="25"/>
      <c r="AD42" s="39"/>
      <c r="AE42" s="218"/>
      <c r="AF42" s="9"/>
      <c r="AG42" s="40"/>
      <c r="AH42" s="9"/>
      <c r="AI42" s="39"/>
      <c r="AJ42" s="26"/>
    </row>
    <row r="43" spans="1:36" s="1" customFormat="1" ht="30" x14ac:dyDescent="0.25">
      <c r="A43" s="137">
        <v>193</v>
      </c>
      <c r="B43" s="138" t="s">
        <v>41</v>
      </c>
      <c r="C43" s="138" t="s">
        <v>108</v>
      </c>
      <c r="D43" s="22">
        <v>53</v>
      </c>
      <c r="E43" s="140" t="s">
        <v>107</v>
      </c>
      <c r="F43" s="91" t="s">
        <v>141</v>
      </c>
      <c r="G43" s="124">
        <v>92700229</v>
      </c>
      <c r="H43" s="21" t="s">
        <v>247</v>
      </c>
      <c r="I43" s="170" t="s">
        <v>256</v>
      </c>
      <c r="J43" s="175" t="s">
        <v>257</v>
      </c>
      <c r="K43" s="164" t="s">
        <v>68</v>
      </c>
      <c r="L43" s="171">
        <v>45689</v>
      </c>
      <c r="M43" s="23" t="s">
        <v>8</v>
      </c>
      <c r="N43" s="201" t="s">
        <v>7</v>
      </c>
      <c r="O43" s="18">
        <f t="shared" ca="1" si="2"/>
        <v>29</v>
      </c>
      <c r="P43" s="24"/>
      <c r="Q43" s="8"/>
      <c r="R43" s="14"/>
      <c r="S43" s="8"/>
      <c r="T43" s="8"/>
      <c r="U43" s="48"/>
      <c r="V43" s="8"/>
      <c r="W43" s="8"/>
      <c r="X43" s="8"/>
      <c r="Y43" s="50"/>
      <c r="Z43" s="217"/>
      <c r="AA43" s="8"/>
      <c r="AB43" s="8"/>
      <c r="AC43" s="25"/>
      <c r="AD43" s="39"/>
      <c r="AE43" s="218"/>
      <c r="AF43" s="9"/>
      <c r="AG43" s="40"/>
      <c r="AH43" s="9"/>
      <c r="AI43" s="39"/>
      <c r="AJ43" s="26"/>
    </row>
    <row r="44" spans="1:36" s="1" customFormat="1" ht="30" x14ac:dyDescent="0.25">
      <c r="A44" s="137">
        <v>193</v>
      </c>
      <c r="B44" s="138" t="s">
        <v>41</v>
      </c>
      <c r="C44" s="138" t="s">
        <v>108</v>
      </c>
      <c r="D44" s="22">
        <v>54</v>
      </c>
      <c r="E44" s="140" t="s">
        <v>107</v>
      </c>
      <c r="F44" s="91" t="s">
        <v>142</v>
      </c>
      <c r="G44" s="124">
        <v>92700256</v>
      </c>
      <c r="H44" s="17" t="s">
        <v>325</v>
      </c>
      <c r="I44" s="251" t="s">
        <v>327</v>
      </c>
      <c r="J44" s="251" t="s">
        <v>326</v>
      </c>
      <c r="K44" s="246" t="s">
        <v>68</v>
      </c>
      <c r="L44" s="123">
        <v>45916</v>
      </c>
      <c r="M44" s="11" t="s">
        <v>8</v>
      </c>
      <c r="N44" s="248" t="s">
        <v>7</v>
      </c>
      <c r="O44" s="18">
        <f ca="1">DATEDIF(DATE(IF(MID($J44,5,2)+2000&gt;YEAR(TODAY()),MID($J44,5,2)+1900,MID($J44,5,2)+2000),MID($J44,7,2),MID($J44,9,2)),TODAY(),"y")</f>
        <v>29</v>
      </c>
      <c r="P44" s="24"/>
      <c r="Q44" s="8"/>
      <c r="R44" s="14"/>
      <c r="S44" s="8"/>
      <c r="T44" s="8"/>
      <c r="U44" s="48"/>
      <c r="V44" s="8"/>
      <c r="W44" s="8"/>
      <c r="X44" s="8"/>
      <c r="Y44" s="50"/>
      <c r="Z44" s="217"/>
      <c r="AA44" s="8"/>
      <c r="AB44" s="8"/>
      <c r="AC44" s="25"/>
      <c r="AD44" s="39"/>
      <c r="AE44" s="218"/>
      <c r="AF44" s="9"/>
      <c r="AG44" s="40"/>
      <c r="AH44" s="9"/>
      <c r="AI44" s="39"/>
      <c r="AJ44" s="26"/>
    </row>
    <row r="45" spans="1:36" s="1" customFormat="1" ht="60" x14ac:dyDescent="0.25">
      <c r="A45" s="137">
        <v>194</v>
      </c>
      <c r="B45" s="138" t="s">
        <v>55</v>
      </c>
      <c r="C45" s="138" t="s">
        <v>24</v>
      </c>
      <c r="D45" s="22">
        <v>77</v>
      </c>
      <c r="E45" s="139" t="s">
        <v>11</v>
      </c>
      <c r="F45" s="36" t="s">
        <v>143</v>
      </c>
      <c r="G45" s="118" t="s">
        <v>170</v>
      </c>
      <c r="H45" s="17" t="s">
        <v>171</v>
      </c>
      <c r="I45" s="119" t="s">
        <v>95</v>
      </c>
      <c r="J45" s="120" t="s">
        <v>96</v>
      </c>
      <c r="K45" s="41" t="s">
        <v>68</v>
      </c>
      <c r="L45" s="123">
        <v>44682</v>
      </c>
      <c r="M45" s="6" t="s">
        <v>8</v>
      </c>
      <c r="N45" s="51" t="s">
        <v>7</v>
      </c>
      <c r="O45" s="18">
        <f t="shared" ca="1" si="2"/>
        <v>34</v>
      </c>
      <c r="P45" s="24"/>
      <c r="Q45" s="8"/>
      <c r="R45" s="14"/>
      <c r="S45" s="8"/>
      <c r="T45" s="8"/>
      <c r="U45" s="48"/>
      <c r="V45" s="94"/>
      <c r="W45" s="8"/>
      <c r="X45" s="8"/>
      <c r="Y45" s="50"/>
      <c r="Z45" s="217"/>
      <c r="AA45" s="8"/>
      <c r="AB45" s="8"/>
      <c r="AC45" s="25"/>
      <c r="AD45" s="39"/>
      <c r="AE45" s="218"/>
      <c r="AF45" s="9"/>
      <c r="AG45" s="40"/>
      <c r="AH45" s="9"/>
      <c r="AI45" s="39"/>
      <c r="AJ45" s="26"/>
    </row>
    <row r="46" spans="1:36" s="1" customFormat="1" ht="60" x14ac:dyDescent="0.25">
      <c r="A46" s="137">
        <v>194</v>
      </c>
      <c r="B46" s="138" t="s">
        <v>55</v>
      </c>
      <c r="C46" s="138" t="s">
        <v>108</v>
      </c>
      <c r="D46" s="22">
        <v>30</v>
      </c>
      <c r="E46" s="140" t="s">
        <v>107</v>
      </c>
      <c r="F46" s="91" t="s">
        <v>144</v>
      </c>
      <c r="G46" s="252">
        <v>92700257</v>
      </c>
      <c r="H46" s="255" t="s">
        <v>331</v>
      </c>
      <c r="I46" s="253" t="s">
        <v>332</v>
      </c>
      <c r="J46" s="253" t="s">
        <v>333</v>
      </c>
      <c r="K46" s="256" t="s">
        <v>68</v>
      </c>
      <c r="L46" s="254">
        <v>45946</v>
      </c>
      <c r="M46" s="23" t="s">
        <v>8</v>
      </c>
      <c r="N46" s="257" t="s">
        <v>32</v>
      </c>
      <c r="O46" s="18">
        <f t="shared" ca="1" si="2"/>
        <v>35</v>
      </c>
      <c r="P46" s="24"/>
      <c r="Q46" s="8"/>
      <c r="R46" s="14"/>
      <c r="S46" s="8"/>
      <c r="T46" s="8"/>
      <c r="U46" s="48"/>
      <c r="V46" s="8"/>
      <c r="W46" s="8"/>
      <c r="X46" s="8"/>
      <c r="Y46" s="50"/>
      <c r="Z46" s="217"/>
      <c r="AA46" s="8"/>
      <c r="AB46" s="8"/>
      <c r="AC46" s="25"/>
      <c r="AD46" s="39"/>
      <c r="AE46" s="218"/>
      <c r="AF46" s="9"/>
      <c r="AG46" s="40"/>
      <c r="AH46" s="9"/>
      <c r="AI46" s="39"/>
      <c r="AJ46" s="26"/>
    </row>
    <row r="47" spans="1:36" s="1" customFormat="1" ht="30" customHeight="1" x14ac:dyDescent="0.25">
      <c r="A47" s="137">
        <v>194</v>
      </c>
      <c r="B47" s="138" t="s">
        <v>55</v>
      </c>
      <c r="C47" s="138" t="s">
        <v>108</v>
      </c>
      <c r="D47" s="22">
        <v>56</v>
      </c>
      <c r="E47" s="140" t="s">
        <v>107</v>
      </c>
      <c r="F47" s="91" t="s">
        <v>145</v>
      </c>
      <c r="G47" s="118">
        <v>92700253</v>
      </c>
      <c r="H47" s="21" t="s">
        <v>319</v>
      </c>
      <c r="I47" s="147" t="s">
        <v>320</v>
      </c>
      <c r="J47" s="147" t="s">
        <v>321</v>
      </c>
      <c r="K47" s="41" t="s">
        <v>68</v>
      </c>
      <c r="L47" s="123">
        <v>45854</v>
      </c>
      <c r="M47" s="11" t="s">
        <v>8</v>
      </c>
      <c r="N47" s="232" t="s">
        <v>32</v>
      </c>
      <c r="O47" s="18">
        <f ca="1">DATEDIF(DATE(IF(MID($J47,5,2)+2000&gt;YEAR(TODAY()),MID($J47,5,2)+1900,MID($J47,5,2)+2000),MID($J47,7,2),MID($J47,9,2)),TODAY(),"y")</f>
        <v>53</v>
      </c>
      <c r="P47" s="24"/>
      <c r="Q47" s="8"/>
      <c r="R47" s="14"/>
      <c r="S47" s="8"/>
      <c r="T47" s="8"/>
      <c r="U47" s="48"/>
      <c r="V47" s="8"/>
      <c r="W47" s="8"/>
      <c r="X47" s="8"/>
      <c r="Y47" s="50"/>
      <c r="Z47" s="217"/>
      <c r="AA47" s="8"/>
      <c r="AB47" s="8"/>
      <c r="AC47" s="25"/>
      <c r="AD47" s="39"/>
      <c r="AE47" s="218"/>
      <c r="AF47" s="9"/>
      <c r="AG47" s="40"/>
      <c r="AH47" s="9"/>
      <c r="AI47" s="39"/>
      <c r="AJ47" s="26"/>
    </row>
    <row r="48" spans="1:36" s="1" customFormat="1" ht="30" customHeight="1" x14ac:dyDescent="0.25">
      <c r="A48" s="137">
        <v>190</v>
      </c>
      <c r="B48" s="138" t="s">
        <v>187</v>
      </c>
      <c r="C48" s="111" t="s">
        <v>188</v>
      </c>
      <c r="D48" s="22">
        <v>7</v>
      </c>
      <c r="E48" s="139" t="s">
        <v>10</v>
      </c>
      <c r="F48" s="113" t="s">
        <v>146</v>
      </c>
      <c r="G48" s="124" t="s">
        <v>223</v>
      </c>
      <c r="H48" s="17" t="s">
        <v>222</v>
      </c>
      <c r="I48" s="192" t="s">
        <v>224</v>
      </c>
      <c r="J48" s="193" t="s">
        <v>225</v>
      </c>
      <c r="K48" s="155" t="s">
        <v>68</v>
      </c>
      <c r="L48" s="90">
        <v>45658</v>
      </c>
      <c r="M48" s="6" t="s">
        <v>8</v>
      </c>
      <c r="N48" s="51" t="s">
        <v>7</v>
      </c>
      <c r="O48" s="18">
        <f t="shared" ca="1" si="2"/>
        <v>32</v>
      </c>
      <c r="P48" s="24"/>
      <c r="Q48" s="8"/>
      <c r="R48" s="14"/>
      <c r="S48" s="8"/>
      <c r="T48" s="8"/>
      <c r="U48" s="48"/>
      <c r="V48" s="8"/>
      <c r="W48" s="8"/>
      <c r="X48" s="8"/>
      <c r="Y48" s="50"/>
      <c r="Z48" s="217"/>
      <c r="AA48" s="8"/>
      <c r="AB48" s="8"/>
      <c r="AC48" s="25"/>
      <c r="AD48" s="39"/>
      <c r="AE48" s="218"/>
      <c r="AF48" s="9"/>
      <c r="AG48" s="40"/>
      <c r="AH48" s="9"/>
      <c r="AI48" s="39"/>
      <c r="AJ48" s="26"/>
    </row>
    <row r="49" spans="1:36" s="1" customFormat="1" ht="45" x14ac:dyDescent="0.25">
      <c r="A49" s="137" t="s">
        <v>236</v>
      </c>
      <c r="B49" s="138" t="s">
        <v>183</v>
      </c>
      <c r="C49" s="138" t="s">
        <v>108</v>
      </c>
      <c r="D49" s="22">
        <v>8</v>
      </c>
      <c r="E49" s="140" t="s">
        <v>107</v>
      </c>
      <c r="F49" s="93" t="s">
        <v>147</v>
      </c>
      <c r="G49" s="118">
        <v>92700248</v>
      </c>
      <c r="H49" s="21" t="s">
        <v>302</v>
      </c>
      <c r="I49" s="222" t="s">
        <v>303</v>
      </c>
      <c r="J49" s="224" t="s">
        <v>307</v>
      </c>
      <c r="K49" s="41" t="s">
        <v>68</v>
      </c>
      <c r="L49" s="90">
        <v>45793</v>
      </c>
      <c r="M49" s="6" t="s">
        <v>8</v>
      </c>
      <c r="N49" s="232" t="s">
        <v>7</v>
      </c>
      <c r="O49" s="18">
        <f t="shared" ca="1" si="2"/>
        <v>37</v>
      </c>
      <c r="P49" s="24"/>
      <c r="Q49" s="8"/>
      <c r="R49" s="14"/>
      <c r="S49" s="8"/>
      <c r="T49" s="8"/>
      <c r="U49" s="48"/>
      <c r="V49" s="8"/>
      <c r="W49" s="8"/>
      <c r="X49" s="8"/>
      <c r="Y49" s="50"/>
      <c r="Z49" s="217"/>
      <c r="AA49" s="8"/>
      <c r="AB49" s="8"/>
      <c r="AC49" s="25"/>
      <c r="AD49" s="39"/>
      <c r="AE49" s="218"/>
      <c r="AF49" s="9"/>
      <c r="AG49" s="40"/>
      <c r="AH49" s="9"/>
      <c r="AI49" s="39"/>
      <c r="AJ49" s="26"/>
    </row>
    <row r="50" spans="1:36" s="1" customFormat="1" ht="45" x14ac:dyDescent="0.25">
      <c r="A50" s="137" t="s">
        <v>237</v>
      </c>
      <c r="B50" s="138" t="s">
        <v>184</v>
      </c>
      <c r="C50" s="138" t="s">
        <v>108</v>
      </c>
      <c r="D50" s="144">
        <v>60</v>
      </c>
      <c r="E50" s="140" t="s">
        <v>107</v>
      </c>
      <c r="F50" s="93" t="s">
        <v>148</v>
      </c>
      <c r="G50" s="118">
        <v>92700233</v>
      </c>
      <c r="H50" s="21" t="s">
        <v>249</v>
      </c>
      <c r="I50" s="116" t="s">
        <v>258</v>
      </c>
      <c r="J50" s="132" t="s">
        <v>259</v>
      </c>
      <c r="K50" s="41" t="s">
        <v>68</v>
      </c>
      <c r="L50" s="90">
        <v>45689</v>
      </c>
      <c r="M50" s="11" t="s">
        <v>8</v>
      </c>
      <c r="N50" s="232" t="s">
        <v>32</v>
      </c>
      <c r="O50" s="18">
        <f t="shared" ca="1" si="2"/>
        <v>29</v>
      </c>
      <c r="P50" s="24"/>
      <c r="Q50" s="8"/>
      <c r="R50" s="14"/>
      <c r="S50" s="8"/>
      <c r="T50" s="8"/>
      <c r="U50" s="48"/>
      <c r="V50" s="8"/>
      <c r="W50" s="8"/>
      <c r="X50" s="8"/>
      <c r="Y50" s="50"/>
      <c r="Z50" s="217"/>
      <c r="AA50" s="8"/>
      <c r="AB50" s="8"/>
      <c r="AC50" s="25"/>
      <c r="AD50" s="39"/>
      <c r="AE50" s="218"/>
      <c r="AF50" s="9"/>
      <c r="AG50" s="40"/>
      <c r="AH50" s="9"/>
      <c r="AI50" s="39"/>
      <c r="AJ50" s="26"/>
    </row>
    <row r="51" spans="1:36" s="1" customFormat="1" ht="45" x14ac:dyDescent="0.25">
      <c r="A51" s="137" t="s">
        <v>238</v>
      </c>
      <c r="B51" s="138" t="s">
        <v>234</v>
      </c>
      <c r="C51" s="138" t="s">
        <v>108</v>
      </c>
      <c r="D51" s="144">
        <v>79</v>
      </c>
      <c r="E51" s="140" t="s">
        <v>107</v>
      </c>
      <c r="F51" s="95" t="s">
        <v>149</v>
      </c>
      <c r="G51" s="210">
        <v>92700242</v>
      </c>
      <c r="H51" s="17" t="s">
        <v>288</v>
      </c>
      <c r="I51" s="66" t="s">
        <v>289</v>
      </c>
      <c r="J51" s="209" t="s">
        <v>290</v>
      </c>
      <c r="K51" s="41" t="s">
        <v>68</v>
      </c>
      <c r="L51" s="90">
        <v>45763</v>
      </c>
      <c r="M51" s="11" t="s">
        <v>8</v>
      </c>
      <c r="N51" s="232" t="s">
        <v>32</v>
      </c>
      <c r="O51" s="18">
        <f t="shared" ca="1" si="2"/>
        <v>41</v>
      </c>
      <c r="P51" s="24"/>
      <c r="Q51" s="8"/>
      <c r="R51" s="14"/>
      <c r="S51" s="8"/>
      <c r="T51" s="8"/>
      <c r="U51" s="48"/>
      <c r="V51" s="8"/>
      <c r="W51" s="8"/>
      <c r="X51" s="8"/>
      <c r="Y51" s="50"/>
      <c r="Z51" s="217"/>
      <c r="AA51" s="8"/>
      <c r="AB51" s="8"/>
      <c r="AC51" s="25"/>
      <c r="AD51" s="39"/>
      <c r="AE51" s="218"/>
      <c r="AF51" s="9"/>
      <c r="AG51" s="40"/>
      <c r="AH51" s="9"/>
      <c r="AI51" s="39"/>
      <c r="AJ51" s="26"/>
    </row>
    <row r="52" spans="1:36" s="1" customFormat="1" ht="30" customHeight="1" x14ac:dyDescent="0.25">
      <c r="A52" s="137" t="s">
        <v>239</v>
      </c>
      <c r="B52" s="138" t="s">
        <v>235</v>
      </c>
      <c r="C52" s="138" t="s">
        <v>108</v>
      </c>
      <c r="D52" s="22">
        <v>38</v>
      </c>
      <c r="E52" s="140" t="s">
        <v>107</v>
      </c>
      <c r="F52" s="93" t="s">
        <v>153</v>
      </c>
      <c r="G52" s="124">
        <v>92700260</v>
      </c>
      <c r="H52" s="220" t="s">
        <v>342</v>
      </c>
      <c r="I52" s="164" t="s">
        <v>343</v>
      </c>
      <c r="J52" s="165" t="s">
        <v>344</v>
      </c>
      <c r="K52" s="164" t="s">
        <v>68</v>
      </c>
      <c r="L52" s="171">
        <v>45962</v>
      </c>
      <c r="M52" s="262" t="s">
        <v>85</v>
      </c>
      <c r="N52" s="265" t="s">
        <v>32</v>
      </c>
      <c r="O52" s="18">
        <f ca="1">DATEDIF(DATE(IF(MID($J52,5,2)+2000&gt;YEAR(TODAY()),MID($J52,5,2)+1900,MID($J52,5,2)+2000),MID($J52,7,2),MID($J52,9,2)),TODAY(),"y")</f>
        <v>64</v>
      </c>
      <c r="P52" s="24"/>
      <c r="Q52" s="8"/>
      <c r="R52" s="14"/>
      <c r="S52" s="8"/>
      <c r="T52" s="13"/>
      <c r="U52" s="48"/>
      <c r="V52" s="13"/>
      <c r="W52" s="8"/>
      <c r="X52" s="8"/>
      <c r="Y52" s="50"/>
      <c r="Z52" s="217"/>
      <c r="AA52" s="8"/>
      <c r="AB52" s="8"/>
      <c r="AC52" s="25"/>
      <c r="AD52" s="39"/>
      <c r="AE52" s="218"/>
      <c r="AF52" s="9"/>
      <c r="AG52" s="40"/>
      <c r="AH52" s="9"/>
      <c r="AI52" s="39"/>
      <c r="AJ52" s="26"/>
    </row>
    <row r="53" spans="1:36" s="1" customFormat="1" ht="30" customHeight="1" x14ac:dyDescent="0.25">
      <c r="A53" s="137" t="s">
        <v>240</v>
      </c>
      <c r="B53" s="138" t="s">
        <v>189</v>
      </c>
      <c r="C53" s="138" t="s">
        <v>108</v>
      </c>
      <c r="D53" s="22">
        <v>1</v>
      </c>
      <c r="E53" s="140" t="s">
        <v>107</v>
      </c>
      <c r="F53" s="36" t="s">
        <v>113</v>
      </c>
      <c r="G53" s="118">
        <v>92700225</v>
      </c>
      <c r="H53" s="17" t="s">
        <v>192</v>
      </c>
      <c r="I53" s="12" t="s">
        <v>260</v>
      </c>
      <c r="J53" s="7" t="s">
        <v>261</v>
      </c>
      <c r="K53" s="41" t="s">
        <v>68</v>
      </c>
      <c r="L53" s="90">
        <v>45658</v>
      </c>
      <c r="M53" s="6" t="s">
        <v>8</v>
      </c>
      <c r="N53" s="128" t="s">
        <v>32</v>
      </c>
      <c r="O53" s="18">
        <f t="shared" ca="1" si="2"/>
        <v>42</v>
      </c>
      <c r="P53" s="24"/>
      <c r="Q53" s="8"/>
      <c r="R53" s="14"/>
      <c r="S53" s="8"/>
      <c r="T53" s="13"/>
      <c r="U53" s="48"/>
      <c r="V53" s="13"/>
      <c r="W53" s="8"/>
      <c r="X53" s="8"/>
      <c r="Y53" s="50"/>
      <c r="Z53" s="217"/>
      <c r="AA53" s="8"/>
      <c r="AB53" s="8"/>
      <c r="AC53" s="25"/>
      <c r="AD53" s="39"/>
      <c r="AE53" s="218"/>
      <c r="AF53" s="9"/>
      <c r="AG53" s="40"/>
      <c r="AH53" s="9"/>
      <c r="AI53" s="39"/>
      <c r="AJ53" s="26"/>
    </row>
    <row r="54" spans="1:36" s="1" customFormat="1" ht="45" x14ac:dyDescent="0.25">
      <c r="A54" s="137" t="s">
        <v>241</v>
      </c>
      <c r="B54" s="138" t="s">
        <v>185</v>
      </c>
      <c r="C54" s="138" t="s">
        <v>108</v>
      </c>
      <c r="D54" s="22">
        <v>9</v>
      </c>
      <c r="E54" s="140" t="s">
        <v>107</v>
      </c>
      <c r="F54" s="91" t="s">
        <v>152</v>
      </c>
      <c r="G54" s="118">
        <v>84662</v>
      </c>
      <c r="H54" s="17" t="s">
        <v>294</v>
      </c>
      <c r="I54" s="203" t="s">
        <v>295</v>
      </c>
      <c r="J54" s="204" t="s">
        <v>296</v>
      </c>
      <c r="K54" s="41" t="s">
        <v>68</v>
      </c>
      <c r="L54" s="90">
        <v>45778</v>
      </c>
      <c r="M54" s="6" t="s">
        <v>8</v>
      </c>
      <c r="N54" s="51" t="s">
        <v>7</v>
      </c>
      <c r="O54" s="53">
        <f t="shared" ca="1" si="2"/>
        <v>43</v>
      </c>
      <c r="P54" s="24"/>
      <c r="Q54" s="8"/>
      <c r="R54" s="14"/>
      <c r="S54" s="8"/>
      <c r="T54" s="13"/>
      <c r="U54" s="48"/>
      <c r="V54" s="13"/>
      <c r="W54" s="8"/>
      <c r="X54" s="8"/>
      <c r="Y54" s="50"/>
      <c r="Z54" s="217"/>
      <c r="AA54" s="8"/>
      <c r="AB54" s="8"/>
      <c r="AC54" s="25"/>
      <c r="AD54" s="39"/>
      <c r="AE54" s="218"/>
      <c r="AF54" s="9"/>
      <c r="AG54" s="40"/>
      <c r="AH54" s="9"/>
      <c r="AI54" s="39"/>
      <c r="AJ54" s="26"/>
    </row>
    <row r="55" spans="1:36" s="1" customFormat="1" ht="30" customHeight="1" x14ac:dyDescent="0.25">
      <c r="A55" s="137" t="s">
        <v>242</v>
      </c>
      <c r="B55" s="138" t="s">
        <v>186</v>
      </c>
      <c r="C55" s="138" t="s">
        <v>108</v>
      </c>
      <c r="D55" s="22">
        <v>62</v>
      </c>
      <c r="E55" s="140" t="s">
        <v>107</v>
      </c>
      <c r="F55" s="93" t="s">
        <v>151</v>
      </c>
      <c r="G55" s="118">
        <v>92700247</v>
      </c>
      <c r="H55" s="21" t="s">
        <v>304</v>
      </c>
      <c r="I55" s="147" t="s">
        <v>305</v>
      </c>
      <c r="J55" s="148" t="s">
        <v>306</v>
      </c>
      <c r="K55" s="41" t="s">
        <v>68</v>
      </c>
      <c r="L55" s="90">
        <v>45793</v>
      </c>
      <c r="M55" s="52" t="s">
        <v>85</v>
      </c>
      <c r="N55" s="232" t="s">
        <v>7</v>
      </c>
      <c r="O55" s="18">
        <f t="shared" ca="1" si="2"/>
        <v>26</v>
      </c>
      <c r="P55" s="24"/>
      <c r="Q55" s="8"/>
      <c r="R55" s="14"/>
      <c r="S55" s="8"/>
      <c r="T55" s="13"/>
      <c r="U55" s="48"/>
      <c r="V55" s="13"/>
      <c r="W55" s="8"/>
      <c r="X55" s="8"/>
      <c r="Y55" s="50"/>
      <c r="Z55" s="217"/>
      <c r="AA55" s="8"/>
      <c r="AB55" s="8"/>
      <c r="AC55" s="25"/>
      <c r="AD55" s="39"/>
      <c r="AE55" s="218"/>
      <c r="AF55" s="9"/>
      <c r="AG55" s="40"/>
      <c r="AH55" s="9"/>
      <c r="AI55" s="39"/>
      <c r="AJ55" s="26"/>
    </row>
    <row r="56" spans="1:36" ht="45" x14ac:dyDescent="0.25">
      <c r="A56" s="137" t="s">
        <v>243</v>
      </c>
      <c r="B56" s="138" t="s">
        <v>195</v>
      </c>
      <c r="C56" s="138" t="s">
        <v>108</v>
      </c>
      <c r="D56" s="22">
        <v>80</v>
      </c>
      <c r="E56" s="140" t="s">
        <v>107</v>
      </c>
      <c r="F56" s="93" t="s">
        <v>154</v>
      </c>
      <c r="G56" s="118"/>
      <c r="H56" s="236" t="s">
        <v>252</v>
      </c>
      <c r="I56" s="222"/>
      <c r="J56" s="224"/>
      <c r="K56" s="247" t="s">
        <v>318</v>
      </c>
      <c r="L56" s="90"/>
      <c r="M56" s="6" t="s">
        <v>8</v>
      </c>
      <c r="N56" s="232" t="s">
        <v>7</v>
      </c>
      <c r="O56" s="18" t="e">
        <f t="shared" ca="1" si="2"/>
        <v>#VALUE!</v>
      </c>
      <c r="P56" s="24"/>
      <c r="Q56" s="8"/>
      <c r="R56" s="14"/>
      <c r="S56" s="8"/>
      <c r="T56" s="13"/>
      <c r="U56" s="48"/>
      <c r="V56" s="13"/>
      <c r="W56" s="8"/>
      <c r="X56" s="8"/>
      <c r="Y56" s="50"/>
      <c r="Z56" s="217"/>
      <c r="AA56" s="8"/>
      <c r="AB56" s="8"/>
      <c r="AC56" s="25"/>
      <c r="AD56" s="39"/>
      <c r="AE56" s="218"/>
      <c r="AF56" s="9"/>
      <c r="AG56" s="40"/>
      <c r="AH56" s="9"/>
      <c r="AI56" s="39"/>
      <c r="AJ56" s="26"/>
    </row>
    <row r="57" spans="1:36" x14ac:dyDescent="0.25">
      <c r="V57" s="16"/>
      <c r="W57" s="16"/>
      <c r="AG57" s="40"/>
    </row>
  </sheetData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ENE</vt:lpstr>
      <vt:lpstr>1RA</vt:lpstr>
      <vt:lpstr>2DA</vt:lpstr>
      <vt:lpstr>'1RA'!Títulos_a_imprimir</vt:lpstr>
      <vt:lpstr>'2DA'!Títulos_a_imprimir</vt:lpstr>
      <vt:lpstr>ENE!Títulos_a_imprimir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2025-03-25T17:19:46Z</cp:lastPrinted>
  <dcterms:created xsi:type="dcterms:W3CDTF">2016-06-08T16:46:01Z</dcterms:created>
  <dcterms:modified xsi:type="dcterms:W3CDTF">2026-01-12T18:14:41Z</dcterms:modified>
</cp:coreProperties>
</file>