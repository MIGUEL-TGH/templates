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PPI 11\Downloads\NOMINA 2026\"/>
    </mc:Choice>
  </mc:AlternateContent>
  <xr:revisionPtr revIDLastSave="0" documentId="13_ncr:1_{A7A0336F-9E70-4A20-BA9F-C1251F9F05F9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Noviembre" sheetId="28" r:id="rId1"/>
  </sheets>
  <functionGroups builtInGroupCount="19"/>
  <definedNames>
    <definedName name="_xlnm._FilterDatabase" localSheetId="0" hidden="1">Noviembre!$F$1:$F$57</definedName>
  </definedNames>
  <calcPr calcId="18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G6" i="28" l="1"/>
  <c r="AG7" i="28"/>
  <c r="AG8" i="28"/>
  <c r="AG9" i="28"/>
  <c r="AG10" i="28"/>
  <c r="AG11" i="28"/>
  <c r="AG12" i="28"/>
  <c r="AG13" i="28"/>
  <c r="AG14" i="28"/>
  <c r="AF5" i="28"/>
  <c r="AF58" i="28"/>
  <c r="AF59" i="28"/>
  <c r="AF57" i="28"/>
  <c r="AF50" i="28"/>
  <c r="AF64" i="28"/>
  <c r="AF60" i="28"/>
  <c r="AF83" i="28"/>
  <c r="AF69" i="28"/>
  <c r="AF41" i="28"/>
  <c r="AF46" i="28"/>
  <c r="AF80" i="28"/>
  <c r="AF68" i="28"/>
  <c r="AF35" i="28"/>
  <c r="AF45" i="28"/>
  <c r="AF84" i="28"/>
  <c r="AF13" i="28"/>
  <c r="AF43" i="28"/>
  <c r="AF14" i="28"/>
  <c r="AF81" i="28"/>
  <c r="AF55" i="28"/>
  <c r="AF30" i="28"/>
  <c r="AF18" i="28"/>
  <c r="AF17" i="28"/>
  <c r="AF6" i="28"/>
  <c r="AF65" i="28"/>
  <c r="AF61" i="28"/>
  <c r="AF85" i="28"/>
  <c r="AF23" i="28"/>
  <c r="AF40" i="28"/>
  <c r="AF28" i="28"/>
  <c r="AF75" i="28"/>
  <c r="AF26" i="28"/>
  <c r="AF38" i="28"/>
  <c r="AF56" i="28"/>
  <c r="AF73" i="28"/>
  <c r="AF25" i="28"/>
  <c r="AF27" i="28"/>
  <c r="AF42" i="28"/>
  <c r="AF78" i="28"/>
  <c r="AF29" i="28"/>
  <c r="AF53" i="28"/>
  <c r="AF31" i="28"/>
  <c r="AF10" i="28"/>
  <c r="AF63" i="28"/>
  <c r="AF66" i="28"/>
  <c r="AF79" i="28"/>
  <c r="AF47" i="28"/>
  <c r="AF54" i="28"/>
  <c r="AF11" i="28"/>
  <c r="AF72" i="28"/>
  <c r="AF48" i="28"/>
  <c r="AF9" i="28"/>
  <c r="AF20" i="28"/>
  <c r="AF77" i="28"/>
  <c r="AF52" i="28"/>
  <c r="AF49" i="28"/>
  <c r="AF32" i="28"/>
  <c r="AF71" i="28"/>
  <c r="AF24" i="28"/>
  <c r="AF21" i="28"/>
  <c r="AF39" i="28"/>
  <c r="AF8" i="28"/>
  <c r="AF16" i="28"/>
  <c r="AF62" i="28"/>
  <c r="AF22" i="28"/>
  <c r="AF76" i="28"/>
  <c r="AF34" i="28"/>
  <c r="AF19" i="28"/>
  <c r="AF74" i="28"/>
  <c r="AF12" i="28"/>
  <c r="AF51" i="28"/>
  <c r="AF82" i="28"/>
  <c r="AF70" i="28"/>
  <c r="AF33" i="28"/>
  <c r="AF15" i="28"/>
  <c r="AF86" i="28"/>
  <c r="AF67" i="28"/>
  <c r="AF44" i="28"/>
  <c r="AF37" i="28"/>
  <c r="AF36" i="28"/>
  <c r="AF7" i="28"/>
  <c r="AG59" i="28" l="1"/>
  <c r="AG60" i="28"/>
  <c r="AG61" i="28"/>
  <c r="AG62" i="28"/>
  <c r="AG63" i="28"/>
  <c r="AG64" i="28"/>
  <c r="AG65" i="28"/>
  <c r="AG66" i="28"/>
  <c r="AG19" i="28" l="1"/>
  <c r="AG20" i="28"/>
  <c r="AG21" i="28"/>
  <c r="AG22" i="28"/>
  <c r="AG23" i="28"/>
  <c r="AG24" i="28"/>
  <c r="AG5" i="28"/>
  <c r="AG74" i="28" l="1"/>
  <c r="AG75" i="28"/>
  <c r="AG76" i="28"/>
  <c r="AG77" i="28"/>
  <c r="AG78" i="28"/>
  <c r="AG79" i="28"/>
  <c r="AG80" i="28"/>
  <c r="AG25" i="28" l="1"/>
  <c r="AG26" i="28"/>
  <c r="AG27" i="28"/>
  <c r="AG28" i="28"/>
  <c r="AG29" i="28"/>
  <c r="AG30" i="28"/>
  <c r="AG31" i="28"/>
  <c r="AG32" i="28"/>
  <c r="AG33" i="28"/>
  <c r="AG34" i="28"/>
  <c r="AG35" i="28"/>
  <c r="AG36" i="28"/>
  <c r="AG37" i="28"/>
  <c r="AG38" i="28"/>
  <c r="AG39" i="28"/>
  <c r="AG40" i="28"/>
  <c r="AG41" i="28"/>
  <c r="AG42" i="28"/>
  <c r="AG43" i="28"/>
  <c r="AG44" i="28"/>
  <c r="AG45" i="28"/>
  <c r="AG46" i="28"/>
  <c r="AG47" i="28"/>
  <c r="AG48" i="28"/>
  <c r="AG49" i="28"/>
  <c r="AG50" i="28"/>
  <c r="AG51" i="28"/>
  <c r="AG52" i="28"/>
  <c r="AG53" i="28"/>
  <c r="AG54" i="28"/>
  <c r="AG55" i="28"/>
  <c r="AG56" i="28"/>
  <c r="AG58" i="28"/>
  <c r="AM32" i="28" l="1"/>
  <c r="AM33" i="28"/>
  <c r="AM40" i="28"/>
  <c r="AM45" i="28"/>
  <c r="AM48" i="28"/>
  <c r="AM49" i="28"/>
  <c r="AM56" i="28"/>
  <c r="AM5" i="28"/>
  <c r="AM41" i="28" l="1"/>
  <c r="AM25" i="28"/>
  <c r="AM17" i="28"/>
  <c r="AM9" i="28"/>
  <c r="AM13" i="28"/>
  <c r="AM37" i="28"/>
  <c r="AM29" i="28"/>
  <c r="AM53" i="28"/>
  <c r="AM21" i="28"/>
  <c r="AM52" i="28"/>
  <c r="AM44" i="28"/>
  <c r="AM36" i="28"/>
  <c r="AM28" i="28"/>
  <c r="AM20" i="28"/>
  <c r="AM12" i="28"/>
  <c r="AM24" i="28"/>
  <c r="AM16" i="28"/>
  <c r="AM8" i="28"/>
  <c r="AM55" i="28"/>
  <c r="AM51" i="28"/>
  <c r="AM47" i="28"/>
  <c r="AM43" i="28"/>
  <c r="AM39" i="28"/>
  <c r="AM35" i="28"/>
  <c r="AM31" i="28"/>
  <c r="AM27" i="28"/>
  <c r="AM23" i="28"/>
  <c r="AM19" i="28"/>
  <c r="AM15" i="28"/>
  <c r="AM11" i="28"/>
  <c r="AM7" i="28"/>
  <c r="AM54" i="28"/>
  <c r="AM50" i="28"/>
  <c r="AM46" i="28"/>
  <c r="AM42" i="28"/>
  <c r="AM38" i="28"/>
  <c r="AM34" i="28"/>
  <c r="AM30" i="28"/>
  <c r="AM26" i="28"/>
  <c r="AM22" i="28"/>
  <c r="AM18" i="28"/>
  <c r="AM14" i="28"/>
  <c r="AM10" i="28"/>
  <c r="AM6" i="28"/>
  <c r="AL6" i="28" l="1"/>
  <c r="AL7" i="28"/>
  <c r="AL8" i="28"/>
  <c r="AE2" i="28" l="1"/>
  <c r="AF2" i="28" l="1"/>
  <c r="AL56" i="28"/>
  <c r="AK56" i="28"/>
  <c r="AH56" i="28"/>
  <c r="AI56" i="28" s="1"/>
  <c r="R56" i="28"/>
  <c r="AL55" i="28"/>
  <c r="AK55" i="28"/>
  <c r="AH55" i="28"/>
  <c r="AI55" i="28" s="1"/>
  <c r="R55" i="28"/>
  <c r="AL54" i="28"/>
  <c r="AK54" i="28"/>
  <c r="AH54" i="28"/>
  <c r="AI54" i="28" s="1"/>
  <c r="R54" i="28"/>
  <c r="AL53" i="28"/>
  <c r="AK53" i="28"/>
  <c r="AH53" i="28"/>
  <c r="AI53" i="28" s="1"/>
  <c r="R53" i="28"/>
  <c r="AL52" i="28"/>
  <c r="AK52" i="28"/>
  <c r="AH52" i="28"/>
  <c r="AI52" i="28" s="1"/>
  <c r="R52" i="28"/>
  <c r="AL51" i="28"/>
  <c r="AK51" i="28"/>
  <c r="AH51" i="28"/>
  <c r="AI51" i="28" s="1"/>
  <c r="R51" i="28"/>
  <c r="AL50" i="28"/>
  <c r="AK50" i="28"/>
  <c r="AH50" i="28"/>
  <c r="AI50" i="28" s="1"/>
  <c r="R50" i="28"/>
  <c r="AL49" i="28"/>
  <c r="AK49" i="28"/>
  <c r="AH49" i="28"/>
  <c r="AI49" i="28" s="1"/>
  <c r="R49" i="28"/>
  <c r="AL48" i="28"/>
  <c r="AK48" i="28"/>
  <c r="AH48" i="28"/>
  <c r="AI48" i="28" s="1"/>
  <c r="R48" i="28"/>
  <c r="AL47" i="28"/>
  <c r="AK47" i="28"/>
  <c r="AH47" i="28"/>
  <c r="AI47" i="28" s="1"/>
  <c r="R47" i="28"/>
  <c r="AL46" i="28"/>
  <c r="AK46" i="28"/>
  <c r="AH46" i="28"/>
  <c r="AI46" i="28" s="1"/>
  <c r="AL45" i="28"/>
  <c r="AK45" i="28"/>
  <c r="AH45" i="28"/>
  <c r="AI45" i="28" s="1"/>
  <c r="R45" i="28"/>
  <c r="AL44" i="28"/>
  <c r="AK44" i="28"/>
  <c r="AH44" i="28"/>
  <c r="AI44" i="28" s="1"/>
  <c r="R44" i="28"/>
  <c r="AL43" i="28"/>
  <c r="AK43" i="28"/>
  <c r="AH43" i="28"/>
  <c r="AI43" i="28" s="1"/>
  <c r="R43" i="28"/>
  <c r="AL42" i="28"/>
  <c r="AK42" i="28"/>
  <c r="AH42" i="28"/>
  <c r="AI42" i="28" s="1"/>
  <c r="R42" i="28"/>
  <c r="AL41" i="28"/>
  <c r="AK41" i="28"/>
  <c r="AH41" i="28"/>
  <c r="AI41" i="28" s="1"/>
  <c r="R41" i="28"/>
  <c r="AL40" i="28"/>
  <c r="AK40" i="28"/>
  <c r="R40" i="28"/>
  <c r="AL39" i="28"/>
  <c r="AK39" i="28"/>
  <c r="AH39" i="28"/>
  <c r="AI39" i="28" s="1"/>
  <c r="R39" i="28"/>
  <c r="AL38" i="28"/>
  <c r="AK38" i="28"/>
  <c r="AH38" i="28"/>
  <c r="AI38" i="28" s="1"/>
  <c r="R38" i="28"/>
  <c r="AL37" i="28"/>
  <c r="AK37" i="28"/>
  <c r="AH37" i="28"/>
  <c r="AI37" i="28" s="1"/>
  <c r="R37" i="28"/>
  <c r="AL36" i="28"/>
  <c r="AK36" i="28"/>
  <c r="AH36" i="28"/>
  <c r="AI36" i="28" s="1"/>
  <c r="R36" i="28"/>
  <c r="AL35" i="28"/>
  <c r="AK35" i="28"/>
  <c r="AH35" i="28"/>
  <c r="AI35" i="28" s="1"/>
  <c r="R35" i="28"/>
  <c r="AL34" i="28"/>
  <c r="AK34" i="28"/>
  <c r="AH34" i="28"/>
  <c r="AI34" i="28" s="1"/>
  <c r="R34" i="28"/>
  <c r="AL33" i="28"/>
  <c r="AK33" i="28"/>
  <c r="AH33" i="28"/>
  <c r="AI33" i="28" s="1"/>
  <c r="R33" i="28"/>
  <c r="AL32" i="28"/>
  <c r="AK32" i="28"/>
  <c r="AH32" i="28"/>
  <c r="AI32" i="28" s="1"/>
  <c r="R32" i="28"/>
  <c r="AL31" i="28"/>
  <c r="AK31" i="28"/>
  <c r="AH31" i="28"/>
  <c r="AI31" i="28" s="1"/>
  <c r="R31" i="28"/>
  <c r="AL30" i="28"/>
  <c r="AK30" i="28"/>
  <c r="AH30" i="28"/>
  <c r="AI30" i="28" s="1"/>
  <c r="R30" i="28"/>
  <c r="AL29" i="28"/>
  <c r="AK29" i="28"/>
  <c r="AH29" i="28"/>
  <c r="AI29" i="28" s="1"/>
  <c r="R29" i="28"/>
  <c r="AL28" i="28"/>
  <c r="AK28" i="28"/>
  <c r="R28" i="28"/>
  <c r="AL27" i="28"/>
  <c r="AK27" i="28"/>
  <c r="AH27" i="28"/>
  <c r="AI27" i="28" s="1"/>
  <c r="R27" i="28"/>
  <c r="AL26" i="28"/>
  <c r="AK26" i="28"/>
  <c r="AH26" i="28"/>
  <c r="AI26" i="28" s="1"/>
  <c r="R26" i="28"/>
  <c r="AL25" i="28"/>
  <c r="AK25" i="28"/>
  <c r="AH25" i="28"/>
  <c r="AI25" i="28" s="1"/>
  <c r="R25" i="28"/>
  <c r="AL24" i="28"/>
  <c r="AK24" i="28"/>
  <c r="AH24" i="28"/>
  <c r="AI24" i="28" s="1"/>
  <c r="R24" i="28"/>
  <c r="AL23" i="28"/>
  <c r="AK23" i="28"/>
  <c r="AH23" i="28"/>
  <c r="AI23" i="28" s="1"/>
  <c r="R23" i="28"/>
  <c r="AL22" i="28"/>
  <c r="AK22" i="28"/>
  <c r="AH22" i="28"/>
  <c r="AI22" i="28" s="1"/>
  <c r="R22" i="28"/>
  <c r="AL21" i="28"/>
  <c r="AK21" i="28"/>
  <c r="AH21" i="28"/>
  <c r="AI21" i="28" s="1"/>
  <c r="R21" i="28"/>
  <c r="AL20" i="28"/>
  <c r="AK20" i="28"/>
  <c r="AH20" i="28"/>
  <c r="AI20" i="28" s="1"/>
  <c r="R20" i="28"/>
  <c r="AL19" i="28"/>
  <c r="AK19" i="28"/>
  <c r="AH19" i="28"/>
  <c r="AI19" i="28" s="1"/>
  <c r="R19" i="28"/>
  <c r="AL18" i="28"/>
  <c r="AK18" i="28"/>
  <c r="AH18" i="28"/>
  <c r="AI18" i="28" s="1"/>
  <c r="R18" i="28"/>
  <c r="AL17" i="28"/>
  <c r="AK17" i="28"/>
  <c r="AH17" i="28"/>
  <c r="AI17" i="28" s="1"/>
  <c r="R17" i="28"/>
  <c r="AL16" i="28"/>
  <c r="AK16" i="28"/>
  <c r="AH16" i="28"/>
  <c r="AI16" i="28" s="1"/>
  <c r="R16" i="28"/>
  <c r="AL15" i="28"/>
  <c r="AK15" i="28"/>
  <c r="AH15" i="28"/>
  <c r="AI15" i="28" s="1"/>
  <c r="R15" i="28"/>
  <c r="AL14" i="28"/>
  <c r="AK14" i="28"/>
  <c r="AH14" i="28"/>
  <c r="AI14" i="28" s="1"/>
  <c r="R14" i="28"/>
  <c r="AL13" i="28"/>
  <c r="AK13" i="28"/>
  <c r="AH13" i="28"/>
  <c r="AI13" i="28" s="1"/>
  <c r="R13" i="28"/>
  <c r="AL12" i="28"/>
  <c r="AK12" i="28"/>
  <c r="AH12" i="28"/>
  <c r="AI12" i="28" s="1"/>
  <c r="R12" i="28"/>
  <c r="AL11" i="28"/>
  <c r="AK11" i="28"/>
  <c r="AH11" i="28"/>
  <c r="AI11" i="28" s="1"/>
  <c r="R11" i="28"/>
  <c r="AL10" i="28"/>
  <c r="AK10" i="28"/>
  <c r="AH10" i="28"/>
  <c r="AI10" i="28" s="1"/>
  <c r="R10" i="28"/>
  <c r="AL9" i="28"/>
  <c r="AK9" i="28"/>
  <c r="AH9" i="28"/>
  <c r="AI9" i="28" s="1"/>
  <c r="R9" i="28"/>
  <c r="AK8" i="28"/>
  <c r="AH8" i="28"/>
  <c r="AI8" i="28" s="1"/>
  <c r="R8" i="28"/>
  <c r="AK7" i="28"/>
  <c r="AH7" i="28"/>
  <c r="AI7" i="28" s="1"/>
  <c r="R7" i="28"/>
  <c r="AK6" i="28"/>
  <c r="AH6" i="28"/>
  <c r="AI6" i="28" s="1"/>
  <c r="R6" i="28"/>
  <c r="AL5" i="28"/>
  <c r="AK5" i="28"/>
  <c r="R5" i="28"/>
  <c r="AD2" i="28"/>
  <c r="AC2" i="28"/>
  <c r="AB2" i="28"/>
  <c r="AA2" i="28"/>
  <c r="Z2" i="28"/>
  <c r="Y2" i="28"/>
  <c r="X2" i="28"/>
  <c r="W2" i="28"/>
  <c r="V2" i="28"/>
  <c r="U2" i="28"/>
  <c r="AN9" i="28" l="1"/>
  <c r="AO9" i="28" s="1"/>
  <c r="AN13" i="28"/>
  <c r="AO13" i="28" s="1"/>
  <c r="AN17" i="28"/>
  <c r="AO17" i="28" s="1"/>
  <c r="AN21" i="28"/>
  <c r="AO21" i="28" s="1"/>
  <c r="AN25" i="28"/>
  <c r="AO25" i="28" s="1"/>
  <c r="AN29" i="28"/>
  <c r="AO29" i="28" s="1"/>
  <c r="AN33" i="28"/>
  <c r="AO33" i="28" s="1"/>
  <c r="AN37" i="28"/>
  <c r="AO37" i="28" s="1"/>
  <c r="AN41" i="28"/>
  <c r="AO41" i="28" s="1"/>
  <c r="AN45" i="28"/>
  <c r="AO45" i="28" s="1"/>
  <c r="AN50" i="28"/>
  <c r="AO50" i="28" s="1"/>
  <c r="AN46" i="28"/>
  <c r="AO46" i="28" s="1"/>
  <c r="AN54" i="28"/>
  <c r="AO54" i="28" s="1"/>
  <c r="AN5" i="28"/>
  <c r="AO5" i="28" s="1"/>
  <c r="AN56" i="28"/>
  <c r="AO56" i="28" s="1"/>
  <c r="AN6" i="28"/>
  <c r="AO6" i="28" s="1"/>
  <c r="AN10" i="28"/>
  <c r="AO10" i="28" s="1"/>
  <c r="AN14" i="28"/>
  <c r="AO14" i="28" s="1"/>
  <c r="AN18" i="28"/>
  <c r="AO18" i="28" s="1"/>
  <c r="AN22" i="28"/>
  <c r="AO22" i="28" s="1"/>
  <c r="AN26" i="28"/>
  <c r="AO26" i="28" s="1"/>
  <c r="AN30" i="28"/>
  <c r="AO30" i="28" s="1"/>
  <c r="AN34" i="28"/>
  <c r="AO34" i="28" s="1"/>
  <c r="AN38" i="28"/>
  <c r="AO38" i="28" s="1"/>
  <c r="AN42" i="28"/>
  <c r="AO42" i="28" s="1"/>
  <c r="AN47" i="28"/>
  <c r="AO47" i="28" s="1"/>
  <c r="AN51" i="28"/>
  <c r="AO51" i="28" s="1"/>
  <c r="AN55" i="28"/>
  <c r="AO55" i="28" s="1"/>
  <c r="AN8" i="28"/>
  <c r="AO8" i="28" s="1"/>
  <c r="AN12" i="28"/>
  <c r="AO12" i="28" s="1"/>
  <c r="AN16" i="28"/>
  <c r="AO16" i="28" s="1"/>
  <c r="AN20" i="28"/>
  <c r="AO20" i="28" s="1"/>
  <c r="AN24" i="28"/>
  <c r="AO24" i="28" s="1"/>
  <c r="AN7" i="28"/>
  <c r="AO7" i="28" s="1"/>
  <c r="AN11" i="28"/>
  <c r="AO11" i="28" s="1"/>
  <c r="AN15" i="28"/>
  <c r="AO15" i="28" s="1"/>
  <c r="AN19" i="28"/>
  <c r="AO19" i="28" s="1"/>
  <c r="AN23" i="28"/>
  <c r="AO23" i="28" s="1"/>
  <c r="AN27" i="28"/>
  <c r="AO27" i="28" s="1"/>
  <c r="AN31" i="28"/>
  <c r="AO31" i="28" s="1"/>
  <c r="AN35" i="28"/>
  <c r="AO35" i="28" s="1"/>
  <c r="AN39" i="28"/>
  <c r="AO39" i="28" s="1"/>
  <c r="AN43" i="28"/>
  <c r="AO43" i="28" s="1"/>
  <c r="AN48" i="28"/>
  <c r="AO48" i="28" s="1"/>
  <c r="AN52" i="28"/>
  <c r="AO52" i="28" s="1"/>
  <c r="AN28" i="28"/>
  <c r="AO28" i="28" s="1"/>
  <c r="AN32" i="28"/>
  <c r="AO32" i="28" s="1"/>
  <c r="AN36" i="28"/>
  <c r="AO36" i="28" s="1"/>
  <c r="AN40" i="28"/>
  <c r="AO40" i="28" s="1"/>
  <c r="AN44" i="28"/>
  <c r="AO44" i="28" s="1"/>
  <c r="AN49" i="28"/>
  <c r="AO49" i="28" s="1"/>
  <c r="AN53" i="28"/>
  <c r="AO53" i="28" s="1"/>
  <c r="AG2" i="28"/>
  <c r="AL2" i="28"/>
  <c r="AK2" i="28"/>
  <c r="AH28" i="28" l="1"/>
  <c r="AI28" i="28" s="1"/>
  <c r="AH40" i="28" l="1"/>
  <c r="AI40" i="28" s="1"/>
  <c r="AH5" i="28"/>
  <c r="AI5" i="28" s="1"/>
  <c r="AI2" i="28" l="1"/>
  <c r="AM2" i="28"/>
  <c r="AH2" i="28"/>
  <c r="AN2" i="28" l="1"/>
  <c r="AO2" i="28"/>
</calcChain>
</file>

<file path=xl/sharedStrings.xml><?xml version="1.0" encoding="utf-8"?>
<sst xmlns="http://schemas.openxmlformats.org/spreadsheetml/2006/main" count="421" uniqueCount="171">
  <si>
    <t xml:space="preserve">CATEGORÍA </t>
  </si>
  <si>
    <t>EXPEDIENTE</t>
  </si>
  <si>
    <t xml:space="preserve">NOMBRE </t>
  </si>
  <si>
    <t>RFC</t>
  </si>
  <si>
    <t>CURP</t>
  </si>
  <si>
    <t>CONFIANZA</t>
  </si>
  <si>
    <t>SEXO</t>
  </si>
  <si>
    <t>H</t>
  </si>
  <si>
    <t>X</t>
  </si>
  <si>
    <t>G0807</t>
  </si>
  <si>
    <t>G0501</t>
  </si>
  <si>
    <t>G0805</t>
  </si>
  <si>
    <t>Director General</t>
  </si>
  <si>
    <t>Analista Especializado</t>
  </si>
  <si>
    <t>Analista Especializado Consultivo B</t>
  </si>
  <si>
    <t>G0403</t>
  </si>
  <si>
    <t>G0801</t>
  </si>
  <si>
    <t>No. PLAZA</t>
  </si>
  <si>
    <t>DESCRIPCION DEL PUESTO</t>
  </si>
  <si>
    <t>Jefe de Departamento de Infraestructura Indígena</t>
  </si>
  <si>
    <t>Jefe de Departamento de Investigación</t>
  </si>
  <si>
    <t>Jefe de Departamento de Patrimonio Cultural</t>
  </si>
  <si>
    <t>Jefe de Departamento de Comunicación Indígena</t>
  </si>
  <si>
    <t>Jefe de Departamento de Consulta y Participación</t>
  </si>
  <si>
    <t>Jefe de Departamento de Factor Humano</t>
  </si>
  <si>
    <t>Jefe de Departamento de Recursos Materiales y Servicios Generales</t>
  </si>
  <si>
    <t>Jefe de Departamento de Recursos Financieros</t>
  </si>
  <si>
    <t>AREA</t>
  </si>
  <si>
    <t>Jefe de Departamento de Desarrollo de Lenguas Indígenas</t>
  </si>
  <si>
    <t>Jefe de Departamento de Formación de Traductores e Intérpretes</t>
  </si>
  <si>
    <t>Jefe de Departamento Contencioso</t>
  </si>
  <si>
    <t>M</t>
  </si>
  <si>
    <t>Secretario Técnico</t>
  </si>
  <si>
    <t>Subdirector de Tecnologías de la Información</t>
  </si>
  <si>
    <t>Subdirectora Jurídica</t>
  </si>
  <si>
    <t>Director de Desarrollo con Identidad Indígena</t>
  </si>
  <si>
    <t>Directora de Patrimonio Cultural, Investigación y Educación para la Equidad</t>
  </si>
  <si>
    <t>Directora de Diálogo y Concertación</t>
  </si>
  <si>
    <t>Director de Oficinas Regionales</t>
  </si>
  <si>
    <t>Director de Administración y Finanzas</t>
  </si>
  <si>
    <t>Directora Academia de las Lenguas Indígenas</t>
  </si>
  <si>
    <t>ADSCRIPCIÓN FÍSICA</t>
  </si>
  <si>
    <t>EDAD</t>
  </si>
  <si>
    <t>SECRETARÍA TÉCNICA</t>
  </si>
  <si>
    <t>DEPARTAMENTO DE FACTOR HUMANO</t>
  </si>
  <si>
    <t>DEPARTAMENTO CONTENCIOSO</t>
  </si>
  <si>
    <t>DIRECCIÓN DE DESARROLLO CON IDENTIDAD INDÍGENA</t>
  </si>
  <si>
    <t>DEPARTAMENTO DE INFRAESTRUCTURA INDÍGENA</t>
  </si>
  <si>
    <t>DEPARTAMENTO DE RECURSOS FINANCIEROS</t>
  </si>
  <si>
    <t xml:space="preserve">DIRECCIÓN DE PATRIMONIO CULTURAL, INVESTIGACIÓN Y EDUCACIÓN PARA LA EQUIDAD </t>
  </si>
  <si>
    <t>DEPARTAMENTO DE PATRIMONIO CULTURAL</t>
  </si>
  <si>
    <t>DEPARTAMENTO DE INVESTIGACIÓN</t>
  </si>
  <si>
    <t>DIRECCIÓN DE DIÁLOGO Y CONCERTACIÓN</t>
  </si>
  <si>
    <t>DEPARTAMENTO DE CONSULTA Y PARTICIPACIÓN</t>
  </si>
  <si>
    <t>DEPARTAMENTO DE COMUNICACIÓN INDÍGENA</t>
  </si>
  <si>
    <t>DIRECCIÓN ACADEMIA DE LAS LENGUAS INDÍGENAS</t>
  </si>
  <si>
    <t>DEPARTAMENTO DE DESARROLLO DE LENGUAS INDÍGENAS</t>
  </si>
  <si>
    <t>DEPARTAMENTO DE FORMACIÓN DE TRADUCTORES E INTERPRETES</t>
  </si>
  <si>
    <t>DIRECCIÓN DE ADMINISTRACIÓN Y FINANZAS</t>
  </si>
  <si>
    <t>DEPARTAMENTO DE RECURSOS MATERIALES Y SERVICIOS GENERALES</t>
  </si>
  <si>
    <t xml:space="preserve">DIRECCIÓN DE OFICINAS REGIONALES </t>
  </si>
  <si>
    <t>ESTATUS</t>
  </si>
  <si>
    <t>SALARIO DIARIO</t>
  </si>
  <si>
    <t>SUELDO QUINCENAL</t>
  </si>
  <si>
    <t>AFILIACIÓN ISSSTEP</t>
  </si>
  <si>
    <t>UNIDAD JURÍDICA</t>
  </si>
  <si>
    <t>UNIDAD DE DESARROLLO DE TECNOLOGIAS DE INFORMACIÓN</t>
  </si>
  <si>
    <t>DIRECCIÓN DE PATRIMONIO CULTURAL, INVESTIGACIÓN Y EDUCACIÓN PARA LA EQUIDAD</t>
  </si>
  <si>
    <t>DEPARTAMENTO DE TECNOLOGÍAS DE LA INFORMACIÓN</t>
  </si>
  <si>
    <t>DIRECCIÓN DE DIALOGO Y CONCERTACIÓN</t>
  </si>
  <si>
    <t>DIRECCION GENERAL</t>
  </si>
  <si>
    <t>ISR MENSUAL</t>
  </si>
  <si>
    <t>TOTAL DE OBLIGACIONES MENSUALES</t>
  </si>
  <si>
    <t>113022138DA3QG080500.0000043</t>
  </si>
  <si>
    <t>113022138DA3QG051000.0000044</t>
  </si>
  <si>
    <t>113022138DA3QG050100.0000047</t>
  </si>
  <si>
    <t>113022138DA3QG080500.0000048</t>
  </si>
  <si>
    <t>113022138DA3QG080500.0000049</t>
  </si>
  <si>
    <t>CLAVE PLAZA</t>
  </si>
  <si>
    <t>SECRETARIA TECNICA</t>
  </si>
  <si>
    <t>190</t>
  </si>
  <si>
    <t>FECHA INICIAL</t>
  </si>
  <si>
    <t>SUELDO      MENSUAL</t>
  </si>
  <si>
    <t>DESPENSA MENSUAL</t>
  </si>
  <si>
    <t>DESPENSA QUINCENAL</t>
  </si>
  <si>
    <t>QUINQUENIO QUINCENAL</t>
  </si>
  <si>
    <t>QUINQUENIO MENSUAL</t>
  </si>
  <si>
    <t>COMPENSACIÓN (J5) QUINCENAL</t>
  </si>
  <si>
    <t>COMPENSACIÓN (J6) QUINCENAL</t>
  </si>
  <si>
    <t>COMPENSACIÓN (J6) MENSUAL</t>
  </si>
  <si>
    <t xml:space="preserve">NETO </t>
  </si>
  <si>
    <t>TOTAL</t>
  </si>
  <si>
    <t>CENTRO DE COSTOS</t>
  </si>
  <si>
    <t>ISN_PM 3%</t>
  </si>
  <si>
    <t xml:space="preserve">TOTAL DEDUCCIONES </t>
  </si>
  <si>
    <t>ISSSTEP CUOTA MENSUAL 13%</t>
  </si>
  <si>
    <t>ISSSTEP APORTACIÓN MENSUAL</t>
  </si>
  <si>
    <t>SAR MENSUAL 2 %</t>
  </si>
  <si>
    <t>x</t>
  </si>
  <si>
    <t>192</t>
  </si>
  <si>
    <t>DEPARTAMENTO DE PLANEACIÓN TERRITORIAL</t>
  </si>
  <si>
    <t>Jefe de Departamento de Planeacion Territorial</t>
  </si>
  <si>
    <t>113022138DA3QG080500.0000027</t>
  </si>
  <si>
    <t>177</t>
  </si>
  <si>
    <t>180</t>
  </si>
  <si>
    <t>%APORT ISSTEP</t>
  </si>
  <si>
    <t>COSTO DE NOMINA</t>
  </si>
  <si>
    <t>DIRECCION DE OFICINAS REGIONALES</t>
  </si>
  <si>
    <t>071 OFICINA REGIONAL HUAHUCHINANGO</t>
  </si>
  <si>
    <t>072 OFICINA REGIONAL HUEHUETLA</t>
  </si>
  <si>
    <t>207 OFOCINA REGIONAL ZACAPOAXTLA</t>
  </si>
  <si>
    <t>174 OFICINA REGIONAL TEZIUTLAN</t>
  </si>
  <si>
    <t>172 OFICINA REGIONAL TETELA DE OCAMPO</t>
  </si>
  <si>
    <t>193 OFICINA REGIONAL LA FRAGUA</t>
  </si>
  <si>
    <t>156 OFICINA REGIONAL TEHUACAN</t>
  </si>
  <si>
    <t>169 OFICINA REGIONAL TEPEXI DE RODRIGUEZ</t>
  </si>
  <si>
    <t>167</t>
  </si>
  <si>
    <t>CAMBIO DE CATEGORIA</t>
  </si>
  <si>
    <t>168</t>
  </si>
  <si>
    <t>169</t>
  </si>
  <si>
    <t>DIAS LABORADOS</t>
  </si>
  <si>
    <t>G0808</t>
  </si>
  <si>
    <t>Analista Especializado Consultivo C</t>
  </si>
  <si>
    <t>COMPENSACIÓN (J5)  MENSUAL</t>
  </si>
  <si>
    <t>TOTAL PERCEPCION GRAVABLE</t>
  </si>
  <si>
    <t>113022138DA3QG040300.0000001</t>
  </si>
  <si>
    <t>113022138DA3QG080700.0000001</t>
  </si>
  <si>
    <t>113222138DA3QG080800.0000001</t>
  </si>
  <si>
    <t>113222138DA3QG080800.0000002</t>
  </si>
  <si>
    <t>113022138DA3QG050100.0000001</t>
  </si>
  <si>
    <t>113222138DA3QG080800.0000003</t>
  </si>
  <si>
    <t>113022138DA3QG080100.0000001</t>
  </si>
  <si>
    <t>113222138DA3QG080800.0000004</t>
  </si>
  <si>
    <t>113022138DA3QG080100.0000002</t>
  </si>
  <si>
    <t>113022138DA3QG080500.0000003</t>
  </si>
  <si>
    <t>113222138DA3QG080800.0000005</t>
  </si>
  <si>
    <t>113022138DA3QG050100.0000002</t>
  </si>
  <si>
    <t>113022138DA3QG080500.0000004</t>
  </si>
  <si>
    <t>113222138DA3QG080800.0000006</t>
  </si>
  <si>
    <t>113022138DA3QG080500.0000006</t>
  </si>
  <si>
    <t>113022138DA3QG050100.0000003</t>
  </si>
  <si>
    <t>113022138DA3QG080500.0000007</t>
  </si>
  <si>
    <t>113022138DA3QG080500.0000008</t>
  </si>
  <si>
    <t>113222138DA3QG080800.0000008</t>
  </si>
  <si>
    <t>113022138DA3QG050100.0000004</t>
  </si>
  <si>
    <t>113222138DA3QG080800.0000009</t>
  </si>
  <si>
    <t>113222138DA3QG080800.0000010</t>
  </si>
  <si>
    <t>113222138DA3QG080800.0000011</t>
  </si>
  <si>
    <t>113222138DA3QG080800.0000012</t>
  </si>
  <si>
    <t>113222138DA3QG080800.0000013</t>
  </si>
  <si>
    <t>113222138DA3QG080800.0000014</t>
  </si>
  <si>
    <t>113022138DA3QG050100.0000007</t>
  </si>
  <si>
    <t>113022138DA3QG080700.0000003</t>
  </si>
  <si>
    <t>113022138DA3QG080500.0000016</t>
  </si>
  <si>
    <t>113222138DA3QG080800.0000022</t>
  </si>
  <si>
    <t>113222138DA3QG080800.0000023</t>
  </si>
  <si>
    <t>113022138DA3QG080500.0000017</t>
  </si>
  <si>
    <t>113222138DA3QG080800.0000024</t>
  </si>
  <si>
    <t>113222138DA3QG080800.0000025</t>
  </si>
  <si>
    <t>113022138DA3QG080500.0000018</t>
  </si>
  <si>
    <t>113222138DA3QG080800.0000026</t>
  </si>
  <si>
    <t>113222138DA3QG080800.0000027</t>
  </si>
  <si>
    <t>113022138DA3QG050100.0000006</t>
  </si>
  <si>
    <t>113222138DA3QG080800.0000015</t>
  </si>
  <si>
    <t>113222138DA3QG080800.0000016</t>
  </si>
  <si>
    <t>113222138DA3QG080800.0000017</t>
  </si>
  <si>
    <t>113022138DA3QG080700.0000002</t>
  </si>
  <si>
    <t>113222138DA3QG080800.0000018</t>
  </si>
  <si>
    <t>113222138DA3QG080800.0000019</t>
  </si>
  <si>
    <t>113222138DA3QG080800.0000020</t>
  </si>
  <si>
    <t>113222138DA3QG080800.0000021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</si>
</sst>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Activado&quot;;&quot;Activado&quot;;&quot;Desactivado&quot;"/>
    <numFmt numFmtId="165" formatCode="#,##0.00\ _€"/>
    <numFmt numFmtId="166" formatCode="_-[$$-80A]* #,##0.00_-;\-[$$-80A]* #,##0.00_-;_-[$$-80A]* &quot;-&quot;??_-;_-@_-"/>
    <numFmt numFmtId="167" formatCode="[$-1540A]dd\-mmm\-yy;@"/>
  </numFmts>
  <fonts count="101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1"/>
      <name val="Arial"/>
      <family val="2"/>
    </font>
    <font>
      <sz val="11"/>
      <color theme="1"/>
      <name val="Arial"/>
      <family val="2"/>
    </font>
    <font>
      <sz val="11"/>
      <name val="Calibri"/>
      <family val="2"/>
      <scheme val="minor"/>
    </font>
    <font>
      <sz val="11"/>
      <name val="Calibri"/>
      <family val="2"/>
    </font>
    <font>
      <b/>
      <sz val="6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6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6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0"/>
      <name val="MS Sans Serif"/>
      <family val="2"/>
    </font>
    <font>
      <b/>
      <sz val="11"/>
      <color theme="5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78" fillId="0" borderId="0"/>
    <xf numFmtId="43" fontId="77" fillId="0" borderId="0" applyFont="0" applyFill="0" applyBorder="0" applyAlignment="0" applyProtection="0"/>
    <xf numFmtId="0" fontId="77" fillId="0" borderId="0"/>
    <xf numFmtId="43" fontId="74" fillId="0" borderId="0" applyFont="0" applyFill="0" applyBorder="0" applyAlignment="0" applyProtection="0"/>
    <xf numFmtId="164" fontId="79" fillId="0" borderId="0" applyFont="0" applyFill="0" applyBorder="0" applyAlignment="0" applyProtection="0"/>
    <xf numFmtId="0" fontId="79" fillId="0" borderId="0"/>
    <xf numFmtId="0" fontId="74" fillId="0" borderId="0"/>
    <xf numFmtId="0" fontId="79" fillId="0" borderId="0"/>
    <xf numFmtId="0" fontId="56" fillId="0" borderId="0"/>
    <xf numFmtId="43" fontId="56" fillId="0" borderId="0" applyFont="0" applyFill="0" applyBorder="0" applyAlignment="0" applyProtection="0"/>
    <xf numFmtId="0" fontId="54" fillId="0" borderId="0"/>
    <xf numFmtId="43" fontId="54" fillId="0" borderId="0" applyFont="0" applyFill="0" applyBorder="0" applyAlignment="0" applyProtection="0"/>
    <xf numFmtId="0" fontId="53" fillId="0" borderId="0"/>
    <xf numFmtId="43" fontId="53" fillId="0" borderId="0" applyFont="0" applyFill="0" applyBorder="0" applyAlignment="0" applyProtection="0"/>
    <xf numFmtId="0" fontId="52" fillId="0" borderId="0"/>
    <xf numFmtId="0" fontId="51" fillId="0" borderId="0"/>
    <xf numFmtId="0" fontId="44" fillId="0" borderId="0"/>
    <xf numFmtId="43" fontId="44" fillId="0" borderId="0" applyFont="0" applyFill="0" applyBorder="0" applyAlignment="0" applyProtection="0"/>
    <xf numFmtId="0" fontId="37" fillId="0" borderId="0"/>
    <xf numFmtId="0" fontId="99" fillId="0" borderId="0"/>
    <xf numFmtId="43" fontId="37" fillId="0" borderId="0" applyFont="0" applyFill="0" applyBorder="0" applyAlignment="0" applyProtection="0"/>
    <xf numFmtId="0" fontId="79" fillId="0" borderId="0"/>
    <xf numFmtId="0" fontId="37" fillId="0" borderId="0"/>
    <xf numFmtId="44" fontId="37" fillId="0" borderId="0" applyFont="0" applyFill="0" applyBorder="0" applyAlignment="0" applyProtection="0"/>
    <xf numFmtId="0" fontId="35" fillId="0" borderId="0"/>
    <xf numFmtId="43" fontId="35" fillId="0" borderId="0" applyFont="0" applyFill="0" applyBorder="0" applyAlignment="0" applyProtection="0"/>
    <xf numFmtId="0" fontId="33" fillId="0" borderId="0"/>
    <xf numFmtId="43" fontId="33" fillId="0" borderId="0" applyFont="0" applyFill="0" applyBorder="0" applyAlignment="0" applyProtection="0"/>
    <xf numFmtId="0" fontId="33" fillId="0" borderId="0"/>
    <xf numFmtId="44" fontId="33" fillId="0" borderId="0" applyFont="0" applyFill="0" applyBorder="0" applyAlignment="0" applyProtection="0"/>
    <xf numFmtId="0" fontId="30" fillId="0" borderId="0"/>
    <xf numFmtId="43" fontId="3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79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77" fillId="0" borderId="0"/>
    <xf numFmtId="0" fontId="1" fillId="0" borderId="0"/>
  </cellStyleXfs>
  <cellXfs count="350">
    <xf numFmtId="0" fontId="0" fillId="0" borderId="0" xfId="0"/>
    <xf numFmtId="165" fontId="71" fillId="2" borderId="1" xfId="1" applyNumberFormat="1" applyFont="1" applyFill="1" applyBorder="1" applyAlignment="1">
      <alignment horizontal="center" vertical="center" wrapText="1"/>
    </xf>
    <xf numFmtId="165" fontId="81" fillId="0" borderId="1" xfId="1" applyNumberFormat="1" applyFont="1" applyBorder="1" applyAlignment="1">
      <alignment horizontal="center" vertical="center" wrapText="1"/>
    </xf>
    <xf numFmtId="0" fontId="74" fillId="0" borderId="0" xfId="7" applyAlignment="1">
      <alignment horizontal="center" vertical="center"/>
    </xf>
    <xf numFmtId="165" fontId="82" fillId="0" borderId="1" xfId="1" applyNumberFormat="1" applyFont="1" applyBorder="1" applyAlignment="1">
      <alignment horizontal="center" vertical="center" wrapText="1"/>
    </xf>
    <xf numFmtId="165" fontId="82" fillId="0" borderId="5" xfId="1" applyNumberFormat="1" applyFont="1" applyBorder="1" applyAlignment="1">
      <alignment horizontal="center" vertical="center" wrapText="1"/>
    </xf>
    <xf numFmtId="165" fontId="81" fillId="0" borderId="5" xfId="1" applyNumberFormat="1" applyFont="1" applyBorder="1" applyAlignment="1">
      <alignment horizontal="center" vertical="center" wrapText="1"/>
    </xf>
    <xf numFmtId="165" fontId="81" fillId="0" borderId="3" xfId="1" applyNumberFormat="1" applyFont="1" applyBorder="1" applyAlignment="1">
      <alignment horizontal="center" vertical="center" wrapText="1"/>
    </xf>
    <xf numFmtId="165" fontId="71" fillId="2" borderId="3" xfId="1" applyNumberFormat="1" applyFont="1" applyFill="1" applyBorder="1" applyAlignment="1">
      <alignment horizontal="center" vertical="center" wrapText="1"/>
    </xf>
    <xf numFmtId="165" fontId="82" fillId="0" borderId="3" xfId="1" applyNumberFormat="1" applyFont="1" applyBorder="1" applyAlignment="1">
      <alignment horizontal="center" vertical="center" wrapText="1"/>
    </xf>
    <xf numFmtId="0" fontId="74" fillId="0" borderId="0" xfId="7" applyAlignment="1">
      <alignment vertical="center"/>
    </xf>
    <xf numFmtId="0" fontId="74" fillId="0" borderId="0" xfId="7" applyAlignment="1">
      <alignment vertical="center" wrapText="1"/>
    </xf>
    <xf numFmtId="0" fontId="74" fillId="0" borderId="0" xfId="7" applyAlignment="1">
      <alignment horizontal="left" vertical="center"/>
    </xf>
    <xf numFmtId="43" fontId="73" fillId="0" borderId="0" xfId="4" applyFont="1" applyAlignment="1">
      <alignment vertical="center"/>
    </xf>
    <xf numFmtId="0" fontId="71" fillId="0" borderId="1" xfId="1" applyFont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43" fontId="72" fillId="0" borderId="1" xfId="0" applyNumberFormat="1" applyFont="1" applyBorder="1" applyAlignment="1">
      <alignment vertical="center"/>
    </xf>
    <xf numFmtId="43" fontId="73" fillId="0" borderId="1" xfId="4" applyFont="1" applyFill="1" applyBorder="1" applyAlignment="1">
      <alignment horizontal="center" vertical="center"/>
    </xf>
    <xf numFmtId="43" fontId="73" fillId="0" borderId="1" xfId="0" applyNumberFormat="1" applyFont="1" applyBorder="1" applyAlignment="1">
      <alignment horizontal="center" vertical="center"/>
    </xf>
    <xf numFmtId="0" fontId="70" fillId="0" borderId="1" xfId="1" applyFont="1" applyBorder="1" applyAlignment="1">
      <alignment horizontal="center" vertical="center" wrapText="1"/>
    </xf>
    <xf numFmtId="0" fontId="69" fillId="0" borderId="1" xfId="0" applyFont="1" applyBorder="1" applyAlignment="1">
      <alignment vertical="center"/>
    </xf>
    <xf numFmtId="43" fontId="71" fillId="0" borderId="1" xfId="0" applyNumberFormat="1" applyFont="1" applyBorder="1" applyAlignment="1">
      <alignment vertical="center"/>
    </xf>
    <xf numFmtId="0" fontId="71" fillId="2" borderId="1" xfId="1" applyFont="1" applyFill="1" applyBorder="1" applyAlignment="1">
      <alignment horizontal="center" vertical="center" wrapText="1"/>
    </xf>
    <xf numFmtId="43" fontId="71" fillId="2" borderId="1" xfId="0" applyNumberFormat="1" applyFont="1" applyFill="1" applyBorder="1" applyAlignment="1">
      <alignment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vertical="center"/>
    </xf>
    <xf numFmtId="43" fontId="72" fillId="0" borderId="5" xfId="0" applyNumberFormat="1" applyFont="1" applyBorder="1" applyAlignment="1">
      <alignment vertical="center"/>
    </xf>
    <xf numFmtId="43" fontId="71" fillId="2" borderId="3" xfId="0" applyNumberFormat="1" applyFont="1" applyFill="1" applyBorder="1" applyAlignment="1">
      <alignment vertical="center"/>
    </xf>
    <xf numFmtId="0" fontId="65" fillId="0" borderId="1" xfId="0" applyFont="1" applyBorder="1" applyAlignment="1">
      <alignment horizontal="center" vertical="center"/>
    </xf>
    <xf numFmtId="43" fontId="72" fillId="0" borderId="3" xfId="0" applyNumberFormat="1" applyFont="1" applyBorder="1" applyAlignment="1">
      <alignment vertical="center"/>
    </xf>
    <xf numFmtId="0" fontId="64" fillId="0" borderId="1" xfId="0" applyFont="1" applyBorder="1" applyAlignment="1">
      <alignment horizontal="center" vertical="center"/>
    </xf>
    <xf numFmtId="0" fontId="64" fillId="0" borderId="1" xfId="0" applyFont="1" applyBorder="1" applyAlignment="1">
      <alignment vertical="center"/>
    </xf>
    <xf numFmtId="0" fontId="68" fillId="0" borderId="1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7" fillId="0" borderId="1" xfId="0" applyFont="1" applyBorder="1" applyAlignment="1">
      <alignment vertical="center"/>
    </xf>
    <xf numFmtId="0" fontId="70" fillId="2" borderId="1" xfId="1" applyFont="1" applyFill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/>
    </xf>
    <xf numFmtId="0" fontId="68" fillId="0" borderId="1" xfId="7" applyFont="1" applyBorder="1" applyAlignment="1">
      <alignment horizontal="left" vertical="center"/>
    </xf>
    <xf numFmtId="0" fontId="60" fillId="0" borderId="1" xfId="0" applyFont="1" applyBorder="1" applyAlignment="1">
      <alignment horizontal="center" vertical="center"/>
    </xf>
    <xf numFmtId="0" fontId="60" fillId="0" borderId="1" xfId="0" applyFont="1" applyBorder="1" applyAlignment="1">
      <alignment vertical="center"/>
    </xf>
    <xf numFmtId="0" fontId="68" fillId="0" borderId="1" xfId="7" applyFont="1" applyBorder="1" applyAlignment="1">
      <alignment horizontal="center" vertical="center"/>
    </xf>
    <xf numFmtId="0" fontId="59" fillId="0" borderId="1" xfId="7" applyFont="1" applyBorder="1" applyAlignment="1">
      <alignment horizontal="left" vertical="center"/>
    </xf>
    <xf numFmtId="0" fontId="59" fillId="0" borderId="1" xfId="7" applyFont="1" applyBorder="1" applyAlignment="1">
      <alignment horizontal="center" vertical="center"/>
    </xf>
    <xf numFmtId="43" fontId="74" fillId="0" borderId="0" xfId="7" applyNumberFormat="1" applyAlignment="1">
      <alignment vertical="center"/>
    </xf>
    <xf numFmtId="0" fontId="83" fillId="0" borderId="1" xfId="0" applyFont="1" applyBorder="1" applyAlignment="1">
      <alignment vertical="center"/>
    </xf>
    <xf numFmtId="0" fontId="71" fillId="0" borderId="1" xfId="0" applyFont="1" applyBorder="1" applyAlignment="1">
      <alignment horizontal="center" vertical="center"/>
    </xf>
    <xf numFmtId="0" fontId="86" fillId="0" borderId="0" xfId="7" applyFont="1" applyAlignment="1">
      <alignment vertical="center"/>
    </xf>
    <xf numFmtId="0" fontId="84" fillId="0" borderId="1" xfId="0" applyFont="1" applyBorder="1" applyAlignment="1">
      <alignment horizontal="left" vertical="center"/>
    </xf>
    <xf numFmtId="0" fontId="83" fillId="0" borderId="1" xfId="0" applyFont="1" applyBorder="1" applyAlignment="1">
      <alignment horizontal="left" vertical="center"/>
    </xf>
    <xf numFmtId="0" fontId="83" fillId="0" borderId="1" xfId="7" applyFont="1" applyBorder="1" applyAlignment="1">
      <alignment horizontal="left" vertical="center"/>
    </xf>
    <xf numFmtId="0" fontId="83" fillId="0" borderId="1" xfId="7" applyFont="1" applyBorder="1" applyAlignment="1">
      <alignment horizontal="center" vertical="center"/>
    </xf>
    <xf numFmtId="0" fontId="57" fillId="0" borderId="1" xfId="1" applyFont="1" applyBorder="1" applyAlignment="1">
      <alignment horizontal="center" vertical="center" wrapText="1"/>
    </xf>
    <xf numFmtId="43" fontId="71" fillId="0" borderId="1" xfId="0" applyNumberFormat="1" applyFont="1" applyBorder="1" applyAlignment="1">
      <alignment horizontal="center" vertical="center"/>
    </xf>
    <xf numFmtId="0" fontId="55" fillId="0" borderId="1" xfId="7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62" fillId="0" borderId="1" xfId="1" quotePrefix="1" applyFont="1" applyBorder="1" applyAlignment="1">
      <alignment horizontal="center" vertical="center" wrapText="1"/>
    </xf>
    <xf numFmtId="43" fontId="76" fillId="0" borderId="1" xfId="7" applyNumberFormat="1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88" fillId="0" borderId="0" xfId="7" applyFont="1" applyAlignment="1">
      <alignment horizontal="left" vertical="center"/>
    </xf>
    <xf numFmtId="0" fontId="88" fillId="0" borderId="0" xfId="7" applyFont="1" applyAlignment="1">
      <alignment vertical="center"/>
    </xf>
    <xf numFmtId="0" fontId="88" fillId="0" borderId="0" xfId="7" applyFont="1" applyAlignment="1">
      <alignment vertical="center" wrapText="1"/>
    </xf>
    <xf numFmtId="0" fontId="88" fillId="0" borderId="0" xfId="7" applyFont="1" applyAlignment="1">
      <alignment horizontal="center" vertical="center"/>
    </xf>
    <xf numFmtId="43" fontId="88" fillId="0" borderId="0" xfId="4" applyFont="1" applyAlignment="1">
      <alignment vertical="center"/>
    </xf>
    <xf numFmtId="0" fontId="80" fillId="0" borderId="0" xfId="7" applyFont="1" applyAlignment="1">
      <alignment vertical="center" wrapText="1"/>
    </xf>
    <xf numFmtId="0" fontId="88" fillId="0" borderId="0" xfId="7" applyFont="1" applyAlignment="1">
      <alignment horizontal="left" vertical="center" wrapText="1"/>
    </xf>
    <xf numFmtId="0" fontId="74" fillId="0" borderId="0" xfId="7" applyAlignment="1">
      <alignment horizontal="left" vertical="center" wrapText="1"/>
    </xf>
    <xf numFmtId="0" fontId="71" fillId="2" borderId="1" xfId="7" applyFont="1" applyFill="1" applyBorder="1" applyAlignment="1">
      <alignment horizontal="left" vertical="center" wrapText="1"/>
    </xf>
    <xf numFmtId="0" fontId="50" fillId="0" borderId="1" xfId="0" applyFont="1" applyBorder="1" applyAlignment="1">
      <alignment horizontal="left" vertical="center" wrapText="1"/>
    </xf>
    <xf numFmtId="0" fontId="50" fillId="2" borderId="1" xfId="7" applyFont="1" applyFill="1" applyBorder="1" applyAlignment="1">
      <alignment horizontal="left" vertical="center" wrapText="1"/>
    </xf>
    <xf numFmtId="0" fontId="50" fillId="2" borderId="1" xfId="0" applyFont="1" applyFill="1" applyBorder="1" applyAlignment="1">
      <alignment horizontal="left" vertical="center" wrapText="1"/>
    </xf>
    <xf numFmtId="0" fontId="84" fillId="0" borderId="3" xfId="0" applyFont="1" applyBorder="1" applyAlignment="1">
      <alignment horizontal="left" vertical="center"/>
    </xf>
    <xf numFmtId="0" fontId="83" fillId="0" borderId="3" xfId="7" applyFont="1" applyBorder="1" applyAlignment="1">
      <alignment horizontal="center" vertical="center"/>
    </xf>
    <xf numFmtId="0" fontId="71" fillId="0" borderId="3" xfId="1" applyFont="1" applyBorder="1" applyAlignment="1">
      <alignment horizontal="center" vertical="center" wrapText="1"/>
    </xf>
    <xf numFmtId="0" fontId="70" fillId="0" borderId="3" xfId="1" applyFont="1" applyBorder="1" applyAlignment="1">
      <alignment horizontal="center" vertical="center" wrapText="1"/>
    </xf>
    <xf numFmtId="0" fontId="69" fillId="0" borderId="3" xfId="0" applyFont="1" applyBorder="1" applyAlignment="1">
      <alignment horizontal="center" vertical="center"/>
    </xf>
    <xf numFmtId="0" fontId="69" fillId="0" borderId="3" xfId="0" applyFont="1" applyBorder="1" applyAlignment="1">
      <alignment vertical="center"/>
    </xf>
    <xf numFmtId="0" fontId="71" fillId="0" borderId="3" xfId="0" applyFont="1" applyBorder="1" applyAlignment="1">
      <alignment horizontal="center" vertical="center"/>
    </xf>
    <xf numFmtId="43" fontId="71" fillId="0" borderId="3" xfId="0" applyNumberFormat="1" applyFont="1" applyBorder="1" applyAlignment="1">
      <alignment horizontal="center" vertical="center"/>
    </xf>
    <xf numFmtId="0" fontId="83" fillId="0" borderId="5" xfId="0" applyFont="1" applyBorder="1" applyAlignment="1">
      <alignment vertical="center"/>
    </xf>
    <xf numFmtId="0" fontId="83" fillId="0" borderId="5" xfId="7" applyFont="1" applyBorder="1" applyAlignment="1">
      <alignment horizontal="center" vertical="center"/>
    </xf>
    <xf numFmtId="0" fontId="71" fillId="0" borderId="5" xfId="1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/>
    </xf>
    <xf numFmtId="0" fontId="71" fillId="0" borderId="5" xfId="0" applyFont="1" applyBorder="1" applyAlignment="1">
      <alignment horizontal="center" vertical="center"/>
    </xf>
    <xf numFmtId="43" fontId="71" fillId="0" borderId="5" xfId="0" applyNumberFormat="1" applyFont="1" applyBorder="1" applyAlignment="1">
      <alignment horizontal="center" vertical="center"/>
    </xf>
    <xf numFmtId="43" fontId="71" fillId="0" borderId="5" xfId="0" applyNumberFormat="1" applyFont="1" applyBorder="1" applyAlignment="1">
      <alignment vertical="center"/>
    </xf>
    <xf numFmtId="0" fontId="83" fillId="2" borderId="3" xfId="0" applyFont="1" applyFill="1" applyBorder="1" applyAlignment="1">
      <alignment horizontal="left" vertical="center" wrapText="1"/>
    </xf>
    <xf numFmtId="0" fontId="71" fillId="2" borderId="3" xfId="1" applyFont="1" applyFill="1" applyBorder="1" applyAlignment="1">
      <alignment horizontal="center" vertical="center" wrapText="1"/>
    </xf>
    <xf numFmtId="0" fontId="48" fillId="0" borderId="0" xfId="7" applyFont="1" applyAlignment="1">
      <alignment vertical="center" wrapText="1"/>
    </xf>
    <xf numFmtId="0" fontId="48" fillId="0" borderId="1" xfId="0" applyFont="1" applyBorder="1" applyAlignment="1">
      <alignment vertical="center" wrapText="1"/>
    </xf>
    <xf numFmtId="0" fontId="48" fillId="0" borderId="5" xfId="0" applyFont="1" applyBorder="1" applyAlignment="1">
      <alignment vertical="center" wrapText="1"/>
    </xf>
    <xf numFmtId="0" fontId="48" fillId="0" borderId="3" xfId="0" applyFont="1" applyBorder="1" applyAlignment="1">
      <alignment vertical="center" wrapText="1"/>
    </xf>
    <xf numFmtId="43" fontId="76" fillId="0" borderId="1" xfId="4" applyFont="1" applyFill="1" applyBorder="1" applyAlignment="1">
      <alignment horizontal="center" vertical="center"/>
    </xf>
    <xf numFmtId="43" fontId="48" fillId="0" borderId="1" xfId="7" applyNumberFormat="1" applyFont="1" applyBorder="1" applyAlignment="1">
      <alignment horizontal="center" vertical="center"/>
    </xf>
    <xf numFmtId="0" fontId="88" fillId="0" borderId="1" xfId="0" applyFont="1" applyBorder="1" applyAlignment="1">
      <alignment vertical="center" wrapText="1"/>
    </xf>
    <xf numFmtId="0" fontId="88" fillId="0" borderId="5" xfId="0" applyFont="1" applyBorder="1" applyAlignment="1">
      <alignment vertical="center" wrapText="1"/>
    </xf>
    <xf numFmtId="0" fontId="88" fillId="0" borderId="3" xfId="0" applyFont="1" applyBorder="1" applyAlignment="1">
      <alignment vertical="center" wrapText="1"/>
    </xf>
    <xf numFmtId="0" fontId="90" fillId="0" borderId="1" xfId="0" applyFont="1" applyBorder="1" applyAlignment="1">
      <alignment vertical="center" wrapText="1"/>
    </xf>
    <xf numFmtId="0" fontId="90" fillId="0" borderId="3" xfId="0" applyFont="1" applyBorder="1" applyAlignment="1">
      <alignment vertical="center" wrapText="1"/>
    </xf>
    <xf numFmtId="0" fontId="50" fillId="2" borderId="3" xfId="0" applyFont="1" applyFill="1" applyBorder="1" applyAlignment="1">
      <alignment horizontal="left" vertical="center" wrapText="1"/>
    </xf>
    <xf numFmtId="0" fontId="48" fillId="0" borderId="3" xfId="0" applyFont="1" applyBorder="1" applyAlignment="1">
      <alignment vertical="center"/>
    </xf>
    <xf numFmtId="0" fontId="48" fillId="0" borderId="1" xfId="0" applyFont="1" applyBorder="1" applyAlignment="1">
      <alignment vertical="center"/>
    </xf>
    <xf numFmtId="0" fontId="68" fillId="0" borderId="3" xfId="0" applyFont="1" applyBorder="1" applyAlignment="1">
      <alignment horizontal="center" vertical="center"/>
    </xf>
    <xf numFmtId="0" fontId="48" fillId="0" borderId="5" xfId="0" applyFont="1" applyBorder="1" applyAlignment="1">
      <alignment vertical="center"/>
    </xf>
    <xf numFmtId="0" fontId="93" fillId="0" borderId="1" xfId="0" applyFont="1" applyBorder="1" applyAlignment="1">
      <alignment vertical="center" wrapText="1"/>
    </xf>
    <xf numFmtId="0" fontId="94" fillId="0" borderId="0" xfId="0" applyFont="1" applyAlignment="1">
      <alignment vertical="center" wrapText="1"/>
    </xf>
    <xf numFmtId="0" fontId="84" fillId="0" borderId="5" xfId="0" applyFont="1" applyBorder="1" applyAlignment="1">
      <alignment horizontal="left" vertical="center"/>
    </xf>
    <xf numFmtId="0" fontId="83" fillId="0" borderId="3" xfId="0" applyFont="1" applyBorder="1" applyAlignment="1">
      <alignment vertical="center"/>
    </xf>
    <xf numFmtId="0" fontId="83" fillId="0" borderId="5" xfId="0" applyFont="1" applyBorder="1" applyAlignment="1">
      <alignment horizontal="left" vertical="center"/>
    </xf>
    <xf numFmtId="0" fontId="50" fillId="0" borderId="3" xfId="0" applyFont="1" applyBorder="1" applyAlignment="1">
      <alignment horizontal="left" vertical="center" wrapText="1"/>
    </xf>
    <xf numFmtId="0" fontId="58" fillId="0" borderId="3" xfId="0" applyFont="1" applyBorder="1" applyAlignment="1">
      <alignment vertical="center"/>
    </xf>
    <xf numFmtId="0" fontId="58" fillId="0" borderId="3" xfId="0" applyFont="1" applyBorder="1" applyAlignment="1">
      <alignment horizontal="center" vertical="center"/>
    </xf>
    <xf numFmtId="0" fontId="83" fillId="0" borderId="3" xfId="7" applyFont="1" applyBorder="1" applyAlignment="1">
      <alignment horizontal="left" vertical="center"/>
    </xf>
    <xf numFmtId="0" fontId="68" fillId="0" borderId="3" xfId="7" applyFont="1" applyBorder="1" applyAlignment="1">
      <alignment horizontal="left" vertical="center"/>
    </xf>
    <xf numFmtId="0" fontId="68" fillId="0" borderId="3" xfId="7" applyFont="1" applyBorder="1" applyAlignment="1">
      <alignment horizontal="center" vertical="center"/>
    </xf>
    <xf numFmtId="0" fontId="50" fillId="0" borderId="3" xfId="7" applyFont="1" applyBorder="1" applyAlignment="1">
      <alignment horizontal="left" vertical="center" wrapText="1"/>
    </xf>
    <xf numFmtId="0" fontId="63" fillId="0" borderId="5" xfId="0" applyFont="1" applyBorder="1" applyAlignment="1">
      <alignment horizontal="center" vertical="center"/>
    </xf>
    <xf numFmtId="0" fontId="95" fillId="0" borderId="0" xfId="0" applyFont="1" applyAlignment="1">
      <alignment vertical="center" wrapText="1"/>
    </xf>
    <xf numFmtId="0" fontId="96" fillId="0" borderId="0" xfId="0" applyFont="1" applyAlignment="1">
      <alignment horizontal="left" wrapText="1"/>
    </xf>
    <xf numFmtId="0" fontId="96" fillId="0" borderId="0" xfId="0" applyFont="1" applyAlignment="1">
      <alignment vertical="center" wrapText="1"/>
    </xf>
    <xf numFmtId="0" fontId="97" fillId="0" borderId="0" xfId="0" applyFont="1" applyAlignment="1">
      <alignment vertical="center" wrapText="1"/>
    </xf>
    <xf numFmtId="49" fontId="88" fillId="0" borderId="0" xfId="7" applyNumberFormat="1" applyFont="1" applyAlignment="1">
      <alignment horizontal="center" vertical="center"/>
    </xf>
    <xf numFmtId="49" fontId="75" fillId="0" borderId="0" xfId="7" applyNumberFormat="1" applyFont="1" applyAlignment="1">
      <alignment horizontal="center" vertical="center" wrapText="1"/>
    </xf>
    <xf numFmtId="49" fontId="71" fillId="0" borderId="1" xfId="0" applyNumberFormat="1" applyFont="1" applyBorder="1" applyAlignment="1">
      <alignment horizontal="center" vertical="center"/>
    </xf>
    <xf numFmtId="49" fontId="71" fillId="0" borderId="5" xfId="0" applyNumberFormat="1" applyFont="1" applyBorder="1" applyAlignment="1">
      <alignment horizontal="center" vertical="center"/>
    </xf>
    <xf numFmtId="49" fontId="71" fillId="0" borderId="3" xfId="0" applyNumberFormat="1" applyFont="1" applyBorder="1" applyAlignment="1">
      <alignment horizontal="center" vertical="center"/>
    </xf>
    <xf numFmtId="49" fontId="74" fillId="0" borderId="0" xfId="7" applyNumberFormat="1" applyAlignment="1">
      <alignment horizontal="center" vertical="center"/>
    </xf>
    <xf numFmtId="49" fontId="47" fillId="0" borderId="1" xfId="0" applyNumberFormat="1" applyFont="1" applyBorder="1" applyAlignment="1">
      <alignment horizontal="center" vertical="center"/>
    </xf>
    <xf numFmtId="0" fontId="66" fillId="0" borderId="5" xfId="0" applyFont="1" applyBorder="1" applyAlignment="1">
      <alignment vertical="center"/>
    </xf>
    <xf numFmtId="0" fontId="45" fillId="0" borderId="5" xfId="0" applyFont="1" applyBorder="1" applyAlignment="1">
      <alignment vertical="center"/>
    </xf>
    <xf numFmtId="0" fontId="45" fillId="0" borderId="1" xfId="0" applyFont="1" applyBorder="1" applyAlignment="1">
      <alignment vertical="center"/>
    </xf>
    <xf numFmtId="43" fontId="72" fillId="2" borderId="1" xfId="0" applyNumberFormat="1" applyFont="1" applyFill="1" applyBorder="1" applyAlignment="1">
      <alignment vertical="center"/>
    </xf>
    <xf numFmtId="43" fontId="43" fillId="0" borderId="1" xfId="4" applyFont="1" applyFill="1" applyBorder="1" applyAlignment="1">
      <alignment horizontal="center" vertical="center"/>
    </xf>
    <xf numFmtId="43" fontId="43" fillId="0" borderId="3" xfId="4" applyFont="1" applyFill="1" applyBorder="1" applyAlignment="1">
      <alignment horizontal="center" vertical="center"/>
    </xf>
    <xf numFmtId="0" fontId="70" fillId="0" borderId="5" xfId="1" applyFont="1" applyBorder="1" applyAlignment="1">
      <alignment horizontal="center" vertical="center" wrapText="1"/>
    </xf>
    <xf numFmtId="43" fontId="43" fillId="0" borderId="5" xfId="4" applyFont="1" applyFill="1" applyBorder="1" applyAlignment="1">
      <alignment horizontal="center" vertical="center"/>
    </xf>
    <xf numFmtId="167" fontId="42" fillId="0" borderId="1" xfId="0" applyNumberFormat="1" applyFont="1" applyBorder="1" applyAlignment="1">
      <alignment horizontal="center" vertical="center"/>
    </xf>
    <xf numFmtId="0" fontId="88" fillId="2" borderId="5" xfId="0" applyFont="1" applyFill="1" applyBorder="1" applyAlignment="1">
      <alignment vertical="center" wrapText="1"/>
    </xf>
    <xf numFmtId="43" fontId="41" fillId="0" borderId="1" xfId="0" applyNumberFormat="1" applyFont="1" applyBorder="1" applyAlignment="1">
      <alignment vertical="center"/>
    </xf>
    <xf numFmtId="0" fontId="41" fillId="0" borderId="0" xfId="7" applyFont="1" applyAlignment="1">
      <alignment vertical="center"/>
    </xf>
    <xf numFmtId="0" fontId="41" fillId="0" borderId="5" xfId="1" applyFont="1" applyBorder="1" applyAlignment="1">
      <alignment horizontal="center" vertical="center" wrapText="1"/>
    </xf>
    <xf numFmtId="0" fontId="41" fillId="0" borderId="5" xfId="0" applyFont="1" applyBorder="1" applyAlignment="1">
      <alignment horizontal="left" vertical="center"/>
    </xf>
    <xf numFmtId="43" fontId="76" fillId="0" borderId="1" xfId="0" applyNumberFormat="1" applyFont="1" applyBorder="1" applyAlignment="1">
      <alignment vertical="center"/>
    </xf>
    <xf numFmtId="0" fontId="40" fillId="0" borderId="1" xfId="0" applyFont="1" applyBorder="1" applyAlignment="1">
      <alignment horizontal="left" vertical="center"/>
    </xf>
    <xf numFmtId="0" fontId="54" fillId="0" borderId="1" xfId="0" applyFont="1" applyBorder="1" applyAlignment="1">
      <alignment horizontal="left" vertical="center"/>
    </xf>
    <xf numFmtId="0" fontId="40" fillId="0" borderId="1" xfId="1" applyFont="1" applyBorder="1" applyAlignment="1">
      <alignment horizontal="center" vertical="center" wrapText="1"/>
    </xf>
    <xf numFmtId="0" fontId="39" fillId="0" borderId="1" xfId="0" applyFont="1" applyBorder="1" applyAlignment="1">
      <alignment vertical="center"/>
    </xf>
    <xf numFmtId="0" fontId="39" fillId="0" borderId="1" xfId="0" applyFont="1" applyBorder="1" applyAlignment="1">
      <alignment horizontal="center" vertical="center"/>
    </xf>
    <xf numFmtId="0" fontId="38" fillId="0" borderId="1" xfId="7" applyFont="1" applyBorder="1" applyAlignment="1">
      <alignment horizontal="center" vertical="center" wrapText="1"/>
    </xf>
    <xf numFmtId="0" fontId="38" fillId="0" borderId="5" xfId="7" applyFont="1" applyBorder="1" applyAlignment="1">
      <alignment horizontal="center" vertical="center" wrapText="1"/>
    </xf>
    <xf numFmtId="0" fontId="38" fillId="0" borderId="3" xfId="7" applyFont="1" applyBorder="1" applyAlignment="1">
      <alignment horizontal="center" vertical="center" wrapText="1"/>
    </xf>
    <xf numFmtId="167" fontId="42" fillId="0" borderId="3" xfId="0" applyNumberFormat="1" applyFont="1" applyBorder="1" applyAlignment="1">
      <alignment horizontal="center" vertical="center"/>
    </xf>
    <xf numFmtId="43" fontId="73" fillId="0" borderId="3" xfId="4" applyFont="1" applyFill="1" applyBorder="1" applyAlignment="1">
      <alignment horizontal="center" vertical="center"/>
    </xf>
    <xf numFmtId="43" fontId="48" fillId="0" borderId="3" xfId="7" applyNumberFormat="1" applyFont="1" applyBorder="1" applyAlignment="1">
      <alignment horizontal="center" vertical="center"/>
    </xf>
    <xf numFmtId="167" fontId="42" fillId="0" borderId="5" xfId="0" applyNumberFormat="1" applyFont="1" applyBorder="1" applyAlignment="1">
      <alignment horizontal="center" vertical="center"/>
    </xf>
    <xf numFmtId="43" fontId="73" fillId="0" borderId="5" xfId="4" applyFont="1" applyFill="1" applyBorder="1" applyAlignment="1">
      <alignment horizontal="center" vertical="center"/>
    </xf>
    <xf numFmtId="43" fontId="48" fillId="0" borderId="5" xfId="7" applyNumberFormat="1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 wrapText="1"/>
    </xf>
    <xf numFmtId="0" fontId="46" fillId="2" borderId="5" xfId="7" applyFont="1" applyFill="1" applyBorder="1" applyAlignment="1">
      <alignment horizontal="left" vertical="center" wrapText="1"/>
    </xf>
    <xf numFmtId="0" fontId="68" fillId="0" borderId="3" xfId="0" applyFont="1" applyBorder="1" applyAlignment="1">
      <alignment vertical="center"/>
    </xf>
    <xf numFmtId="0" fontId="36" fillId="0" borderId="1" xfId="0" applyFont="1" applyBorder="1" applyAlignment="1">
      <alignment horizontal="left" vertical="center"/>
    </xf>
    <xf numFmtId="0" fontId="36" fillId="0" borderId="1" xfId="0" applyFont="1" applyBorder="1" applyAlignment="1">
      <alignment horizontal="center" vertical="center"/>
    </xf>
    <xf numFmtId="0" fontId="34" fillId="0" borderId="1" xfId="7" applyFont="1" applyBorder="1" applyAlignment="1">
      <alignment horizontal="center" vertical="center" wrapText="1"/>
    </xf>
    <xf numFmtId="49" fontId="32" fillId="0" borderId="1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vertical="center" wrapText="1"/>
    </xf>
    <xf numFmtId="0" fontId="32" fillId="0" borderId="1" xfId="1" applyFont="1" applyBorder="1" applyAlignment="1">
      <alignment horizontal="center" vertical="center" wrapText="1"/>
    </xf>
    <xf numFmtId="0" fontId="32" fillId="0" borderId="1" xfId="7" applyFont="1" applyBorder="1" applyAlignment="1">
      <alignment horizontal="center" vertical="center"/>
    </xf>
    <xf numFmtId="0" fontId="32" fillId="0" borderId="1" xfId="7" applyFont="1" applyBorder="1" applyAlignment="1">
      <alignment horizontal="left" vertical="center"/>
    </xf>
    <xf numFmtId="0" fontId="32" fillId="0" borderId="1" xfId="0" applyFont="1" applyBorder="1" applyAlignment="1">
      <alignment vertical="center"/>
    </xf>
    <xf numFmtId="167" fontId="32" fillId="0" borderId="1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43" fontId="32" fillId="0" borderId="1" xfId="0" applyNumberFormat="1" applyFont="1" applyBorder="1" applyAlignment="1">
      <alignment horizontal="center" vertical="center"/>
    </xf>
    <xf numFmtId="43" fontId="32" fillId="0" borderId="1" xfId="0" applyNumberFormat="1" applyFont="1" applyBorder="1" applyAlignment="1">
      <alignment vertical="center"/>
    </xf>
    <xf numFmtId="0" fontId="31" fillId="0" borderId="3" xfId="0" applyFont="1" applyBorder="1" applyAlignment="1">
      <alignment vertical="center" wrapText="1"/>
    </xf>
    <xf numFmtId="49" fontId="88" fillId="0" borderId="0" xfId="7" applyNumberFormat="1" applyFont="1" applyAlignment="1">
      <alignment vertical="center"/>
    </xf>
    <xf numFmtId="49" fontId="74" fillId="0" borderId="0" xfId="7" applyNumberFormat="1" applyAlignment="1">
      <alignment vertical="center"/>
    </xf>
    <xf numFmtId="0" fontId="88" fillId="2" borderId="1" xfId="0" applyFont="1" applyFill="1" applyBorder="1" applyAlignment="1">
      <alignment vertical="center" wrapText="1"/>
    </xf>
    <xf numFmtId="49" fontId="71" fillId="2" borderId="3" xfId="0" applyNumberFormat="1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98" fillId="0" borderId="0" xfId="7" applyFont="1" applyAlignment="1">
      <alignment horizontal="center" vertical="center" wrapText="1"/>
    </xf>
    <xf numFmtId="0" fontId="74" fillId="0" borderId="1" xfId="7" applyBorder="1" applyAlignment="1">
      <alignment horizontal="center" vertical="center"/>
    </xf>
    <xf numFmtId="0" fontId="28" fillId="0" borderId="3" xfId="0" applyFont="1" applyBorder="1" applyAlignment="1">
      <alignment vertical="center"/>
    </xf>
    <xf numFmtId="49" fontId="27" fillId="0" borderId="1" xfId="0" applyNumberFormat="1" applyFont="1" applyBorder="1" applyAlignment="1">
      <alignment horizontal="center" vertical="center"/>
    </xf>
    <xf numFmtId="43" fontId="43" fillId="0" borderId="14" xfId="4" applyFont="1" applyFill="1" applyBorder="1" applyAlignment="1">
      <alignment horizontal="center" vertical="center"/>
    </xf>
    <xf numFmtId="0" fontId="74" fillId="0" borderId="3" xfId="7" applyBorder="1" applyAlignment="1">
      <alignment horizontal="center" vertical="center"/>
    </xf>
    <xf numFmtId="0" fontId="74" fillId="0" borderId="5" xfId="7" applyBorder="1" applyAlignment="1">
      <alignment horizontal="center" vertical="center"/>
    </xf>
    <xf numFmtId="49" fontId="27" fillId="2" borderId="1" xfId="0" applyNumberFormat="1" applyFont="1" applyFill="1" applyBorder="1" applyAlignment="1">
      <alignment horizontal="center" vertical="center"/>
    </xf>
    <xf numFmtId="49" fontId="27" fillId="0" borderId="5" xfId="0" applyNumberFormat="1" applyFont="1" applyBorder="1" applyAlignment="1">
      <alignment horizontal="center" vertical="center"/>
    </xf>
    <xf numFmtId="49" fontId="26" fillId="0" borderId="1" xfId="7" applyNumberFormat="1" applyFont="1" applyBorder="1" applyAlignment="1">
      <alignment horizontal="center" vertical="center"/>
    </xf>
    <xf numFmtId="0" fontId="27" fillId="2" borderId="1" xfId="0" applyFont="1" applyFill="1" applyBorder="1" applyAlignment="1">
      <alignment vertical="center" wrapText="1"/>
    </xf>
    <xf numFmtId="0" fontId="83" fillId="2" borderId="1" xfId="7" applyFont="1" applyFill="1" applyBorder="1" applyAlignment="1">
      <alignment horizontal="center" vertical="center"/>
    </xf>
    <xf numFmtId="0" fontId="27" fillId="2" borderId="1" xfId="1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 vertical="center" wrapText="1"/>
    </xf>
    <xf numFmtId="0" fontId="27" fillId="2" borderId="1" xfId="0" applyFont="1" applyFill="1" applyBorder="1" applyAlignment="1">
      <alignment horizontal="center" vertical="center"/>
    </xf>
    <xf numFmtId="0" fontId="83" fillId="2" borderId="1" xfId="0" applyFont="1" applyFill="1" applyBorder="1" applyAlignment="1">
      <alignment vertical="center"/>
    </xf>
    <xf numFmtId="0" fontId="27" fillId="2" borderId="1" xfId="0" applyFont="1" applyFill="1" applyBorder="1" applyAlignment="1">
      <alignment vertical="center"/>
    </xf>
    <xf numFmtId="167" fontId="27" fillId="2" borderId="3" xfId="0" applyNumberFormat="1" applyFont="1" applyFill="1" applyBorder="1" applyAlignment="1">
      <alignment horizontal="center" vertical="center"/>
    </xf>
    <xf numFmtId="167" fontId="27" fillId="2" borderId="1" xfId="0" applyNumberFormat="1" applyFont="1" applyFill="1" applyBorder="1" applyAlignment="1">
      <alignment horizontal="center" vertical="center"/>
    </xf>
    <xf numFmtId="0" fontId="27" fillId="2" borderId="1" xfId="7" applyFont="1" applyFill="1" applyBorder="1" applyAlignment="1">
      <alignment horizontal="center" vertical="center" wrapText="1"/>
    </xf>
    <xf numFmtId="0" fontId="71" fillId="2" borderId="1" xfId="0" applyFont="1" applyFill="1" applyBorder="1" applyAlignment="1">
      <alignment horizontal="center" vertical="center"/>
    </xf>
    <xf numFmtId="43" fontId="71" fillId="2" borderId="1" xfId="0" applyNumberFormat="1" applyFont="1" applyFill="1" applyBorder="1" applyAlignment="1">
      <alignment horizontal="center" vertical="center"/>
    </xf>
    <xf numFmtId="165" fontId="81" fillId="2" borderId="1" xfId="1" applyNumberFormat="1" applyFont="1" applyFill="1" applyBorder="1" applyAlignment="1">
      <alignment horizontal="center" vertical="center" wrapText="1"/>
    </xf>
    <xf numFmtId="43" fontId="43" fillId="2" borderId="1" xfId="4" applyFont="1" applyFill="1" applyBorder="1" applyAlignment="1">
      <alignment horizontal="center" vertical="center"/>
    </xf>
    <xf numFmtId="43" fontId="73" fillId="2" borderId="1" xfId="4" applyFont="1" applyFill="1" applyBorder="1" applyAlignment="1">
      <alignment horizontal="center" vertical="center"/>
    </xf>
    <xf numFmtId="43" fontId="48" fillId="2" borderId="1" xfId="7" applyNumberFormat="1" applyFont="1" applyFill="1" applyBorder="1" applyAlignment="1">
      <alignment horizontal="center" vertical="center"/>
    </xf>
    <xf numFmtId="0" fontId="74" fillId="2" borderId="0" xfId="7" applyFill="1" applyAlignment="1">
      <alignment horizontal="center" vertical="center"/>
    </xf>
    <xf numFmtId="0" fontId="25" fillId="0" borderId="1" xfId="7" applyFont="1" applyBorder="1" applyAlignment="1">
      <alignment horizontal="center" vertical="center" wrapText="1"/>
    </xf>
    <xf numFmtId="0" fontId="25" fillId="0" borderId="5" xfId="7" applyFont="1" applyBorder="1" applyAlignment="1">
      <alignment horizontal="center" vertical="center" wrapText="1"/>
    </xf>
    <xf numFmtId="0" fontId="25" fillId="0" borderId="1" xfId="0" applyFont="1" applyBorder="1" applyAlignment="1">
      <alignment vertical="center"/>
    </xf>
    <xf numFmtId="0" fontId="25" fillId="2" borderId="1" xfId="0" applyFont="1" applyFill="1" applyBorder="1" applyAlignment="1">
      <alignment vertical="center"/>
    </xf>
    <xf numFmtId="0" fontId="25" fillId="0" borderId="5" xfId="0" applyFont="1" applyBorder="1" applyAlignment="1">
      <alignment vertical="center" wrapText="1"/>
    </xf>
    <xf numFmtId="0" fontId="25" fillId="0" borderId="1" xfId="0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/>
    </xf>
    <xf numFmtId="0" fontId="83" fillId="2" borderId="5" xfId="0" applyFont="1" applyFill="1" applyBorder="1" applyAlignment="1">
      <alignment vertical="center"/>
    </xf>
    <xf numFmtId="43" fontId="88" fillId="0" borderId="0" xfId="7" applyNumberFormat="1" applyFont="1" applyAlignment="1">
      <alignment vertical="center"/>
    </xf>
    <xf numFmtId="43" fontId="86" fillId="0" borderId="0" xfId="7" applyNumberFormat="1" applyFont="1" applyAlignment="1">
      <alignment vertical="center"/>
    </xf>
    <xf numFmtId="0" fontId="23" fillId="0" borderId="5" xfId="7" applyFont="1" applyBorder="1" applyAlignment="1">
      <alignment horizontal="center" vertical="center" wrapText="1"/>
    </xf>
    <xf numFmtId="0" fontId="76" fillId="0" borderId="3" xfId="0" applyFont="1" applyBorder="1" applyAlignment="1">
      <alignment vertical="center" wrapText="1"/>
    </xf>
    <xf numFmtId="0" fontId="93" fillId="0" borderId="5" xfId="0" applyFont="1" applyBorder="1" applyAlignment="1">
      <alignment vertical="center" wrapText="1"/>
    </xf>
    <xf numFmtId="0" fontId="71" fillId="0" borderId="5" xfId="0" applyFont="1" applyBorder="1" applyAlignment="1">
      <alignment horizontal="left" vertical="center" wrapText="1"/>
    </xf>
    <xf numFmtId="0" fontId="46" fillId="0" borderId="5" xfId="0" applyFont="1" applyBorder="1" applyAlignment="1">
      <alignment vertical="center"/>
    </xf>
    <xf numFmtId="0" fontId="61" fillId="0" borderId="5" xfId="0" applyFont="1" applyBorder="1" applyAlignment="1">
      <alignment horizontal="center" vertical="center"/>
    </xf>
    <xf numFmtId="49" fontId="22" fillId="0" borderId="1" xfId="0" applyNumberFormat="1" applyFont="1" applyBorder="1" applyAlignment="1">
      <alignment horizontal="center" vertical="center"/>
    </xf>
    <xf numFmtId="49" fontId="85" fillId="3" borderId="2" xfId="7" applyNumberFormat="1" applyFont="1" applyFill="1" applyBorder="1" applyAlignment="1">
      <alignment horizontal="center" vertical="center" wrapText="1"/>
    </xf>
    <xf numFmtId="0" fontId="80" fillId="3" borderId="2" xfId="7" applyFont="1" applyFill="1" applyBorder="1" applyAlignment="1">
      <alignment horizontal="center" vertical="center" wrapText="1"/>
    </xf>
    <xf numFmtId="0" fontId="92" fillId="3" borderId="1" xfId="7" applyFont="1" applyFill="1" applyBorder="1" applyAlignment="1">
      <alignment horizontal="center" vertical="center" wrapText="1"/>
    </xf>
    <xf numFmtId="0" fontId="85" fillId="3" borderId="2" xfId="7" applyFont="1" applyFill="1" applyBorder="1" applyAlignment="1" applyProtection="1">
      <alignment vertical="center" wrapText="1"/>
      <protection locked="0"/>
    </xf>
    <xf numFmtId="0" fontId="85" fillId="3" borderId="8" xfId="7" applyFont="1" applyFill="1" applyBorder="1" applyAlignment="1">
      <alignment horizontal="center" vertical="center" wrapText="1"/>
    </xf>
    <xf numFmtId="0" fontId="85" fillId="3" borderId="2" xfId="7" applyFont="1" applyFill="1" applyBorder="1" applyAlignment="1" applyProtection="1">
      <alignment horizontal="center" vertical="center" wrapText="1"/>
      <protection locked="0"/>
    </xf>
    <xf numFmtId="0" fontId="85" fillId="3" borderId="8" xfId="7" applyFont="1" applyFill="1" applyBorder="1" applyAlignment="1" applyProtection="1">
      <alignment horizontal="left" vertical="center" wrapText="1"/>
      <protection locked="0"/>
    </xf>
    <xf numFmtId="49" fontId="85" fillId="3" borderId="2" xfId="7" applyNumberFormat="1" applyFont="1" applyFill="1" applyBorder="1" applyAlignment="1" applyProtection="1">
      <alignment vertical="center" wrapText="1"/>
      <protection locked="0"/>
    </xf>
    <xf numFmtId="0" fontId="85" fillId="3" borderId="2" xfId="7" applyFont="1" applyFill="1" applyBorder="1" applyAlignment="1">
      <alignment horizontal="center" vertical="center" wrapText="1"/>
    </xf>
    <xf numFmtId="0" fontId="85" fillId="3" borderId="4" xfId="7" applyFont="1" applyFill="1" applyBorder="1" applyAlignment="1">
      <alignment vertical="center" wrapText="1"/>
    </xf>
    <xf numFmtId="0" fontId="85" fillId="3" borderId="8" xfId="7" applyFont="1" applyFill="1" applyBorder="1" applyAlignment="1">
      <alignment vertical="center" wrapText="1"/>
    </xf>
    <xf numFmtId="0" fontId="85" fillId="3" borderId="8" xfId="7" applyFont="1" applyFill="1" applyBorder="1" applyAlignment="1" applyProtection="1">
      <alignment horizontal="center" vertical="center" wrapText="1"/>
      <protection locked="0"/>
    </xf>
    <xf numFmtId="0" fontId="91" fillId="3" borderId="2" xfId="7" applyFont="1" applyFill="1" applyBorder="1" applyAlignment="1">
      <alignment horizontal="center" vertical="center" wrapText="1"/>
    </xf>
    <xf numFmtId="0" fontId="89" fillId="3" borderId="2" xfId="7" applyFont="1" applyFill="1" applyBorder="1" applyAlignment="1">
      <alignment vertical="center" wrapText="1"/>
    </xf>
    <xf numFmtId="0" fontId="85" fillId="3" borderId="2" xfId="7" applyFont="1" applyFill="1" applyBorder="1" applyAlignment="1">
      <alignment vertical="center" wrapText="1"/>
    </xf>
    <xf numFmtId="0" fontId="85" fillId="3" borderId="4" xfId="7" applyFont="1" applyFill="1" applyBorder="1" applyAlignment="1">
      <alignment horizontal="center" vertical="center" wrapText="1"/>
    </xf>
    <xf numFmtId="0" fontId="75" fillId="3" borderId="0" xfId="7" applyFont="1" applyFill="1" applyAlignment="1">
      <alignment horizontal="center" vertical="center" wrapText="1"/>
    </xf>
    <xf numFmtId="43" fontId="80" fillId="3" borderId="6" xfId="7" applyNumberFormat="1" applyFont="1" applyFill="1" applyBorder="1" applyAlignment="1">
      <alignment vertical="center" wrapText="1"/>
    </xf>
    <xf numFmtId="166" fontId="75" fillId="3" borderId="9" xfId="7" applyNumberFormat="1" applyFont="1" applyFill="1" applyBorder="1" applyAlignment="1">
      <alignment vertical="center" wrapText="1"/>
    </xf>
    <xf numFmtId="166" fontId="75" fillId="3" borderId="1" xfId="7" applyNumberFormat="1" applyFont="1" applyFill="1" applyBorder="1" applyAlignment="1">
      <alignment vertical="center" wrapText="1"/>
    </xf>
    <xf numFmtId="0" fontId="87" fillId="4" borderId="12" xfId="7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left" vertical="center" wrapText="1"/>
    </xf>
    <xf numFmtId="0" fontId="85" fillId="3" borderId="0" xfId="7" applyFont="1" applyFill="1" applyAlignment="1" applyProtection="1">
      <alignment horizontal="center" vertical="center" textRotation="90" wrapText="1"/>
      <protection locked="0"/>
    </xf>
    <xf numFmtId="0" fontId="92" fillId="3" borderId="7" xfId="7" applyFont="1" applyFill="1" applyBorder="1" applyAlignment="1">
      <alignment vertical="center" wrapText="1"/>
    </xf>
    <xf numFmtId="0" fontId="87" fillId="3" borderId="11" xfId="7" applyFont="1" applyFill="1" applyBorder="1" applyAlignment="1">
      <alignment vertical="center" wrapText="1"/>
    </xf>
    <xf numFmtId="166" fontId="75" fillId="3" borderId="10" xfId="7" applyNumberFormat="1" applyFont="1" applyFill="1" applyBorder="1" applyAlignment="1">
      <alignment vertical="center" wrapText="1"/>
    </xf>
    <xf numFmtId="0" fontId="21" fillId="2" borderId="1" xfId="0" applyFont="1" applyFill="1" applyBorder="1" applyAlignment="1">
      <alignment horizontal="center" vertical="center"/>
    </xf>
    <xf numFmtId="0" fontId="100" fillId="3" borderId="0" xfId="7" applyFont="1" applyFill="1" applyAlignment="1">
      <alignment horizontal="center" vertical="center" wrapText="1"/>
    </xf>
    <xf numFmtId="0" fontId="20" fillId="0" borderId="5" xfId="0" applyFont="1" applyBorder="1" applyAlignment="1">
      <alignment vertical="center" wrapText="1"/>
    </xf>
    <xf numFmtId="0" fontId="20" fillId="2" borderId="5" xfId="0" applyFont="1" applyFill="1" applyBorder="1" applyAlignment="1">
      <alignment vertical="center"/>
    </xf>
    <xf numFmtId="0" fontId="19" fillId="0" borderId="5" xfId="0" applyFont="1" applyBorder="1" applyAlignment="1">
      <alignment vertical="center" wrapText="1"/>
    </xf>
    <xf numFmtId="0" fontId="68" fillId="0" borderId="5" xfId="0" applyFont="1" applyBorder="1" applyAlignment="1">
      <alignment vertical="center"/>
    </xf>
    <xf numFmtId="0" fontId="68" fillId="0" borderId="5" xfId="0" applyFont="1" applyBorder="1" applyAlignment="1">
      <alignment horizontal="center" vertical="center"/>
    </xf>
    <xf numFmtId="0" fontId="25" fillId="2" borderId="5" xfId="0" applyFont="1" applyFill="1" applyBorder="1" applyAlignment="1">
      <alignment vertical="center"/>
    </xf>
    <xf numFmtId="49" fontId="18" fillId="0" borderId="1" xfId="0" applyNumberFormat="1" applyFont="1" applyBorder="1" applyAlignment="1">
      <alignment horizontal="center" vertical="center"/>
    </xf>
    <xf numFmtId="49" fontId="18" fillId="0" borderId="5" xfId="0" applyNumberFormat="1" applyFont="1" applyBorder="1" applyAlignment="1">
      <alignment horizontal="center" vertical="center"/>
    </xf>
    <xf numFmtId="43" fontId="74" fillId="0" borderId="0" xfId="7" applyNumberFormat="1" applyAlignment="1">
      <alignment horizontal="center" vertical="center"/>
    </xf>
    <xf numFmtId="0" fontId="17" fillId="0" borderId="5" xfId="0" applyFont="1" applyBorder="1" applyAlignment="1">
      <alignment vertical="center"/>
    </xf>
    <xf numFmtId="49" fontId="16" fillId="0" borderId="5" xfId="0" applyNumberFormat="1" applyFont="1" applyBorder="1" applyAlignment="1">
      <alignment horizontal="center" vertical="center"/>
    </xf>
    <xf numFmtId="0" fontId="83" fillId="2" borderId="5" xfId="0" applyFont="1" applyFill="1" applyBorder="1" applyAlignment="1">
      <alignment vertical="center" wrapText="1"/>
    </xf>
    <xf numFmtId="0" fontId="15" fillId="0" borderId="3" xfId="0" applyFont="1" applyBorder="1" applyAlignment="1">
      <alignment vertical="center"/>
    </xf>
    <xf numFmtId="49" fontId="15" fillId="0" borderId="1" xfId="0" applyNumberFormat="1" applyFont="1" applyBorder="1" applyAlignment="1">
      <alignment horizontal="center" vertical="center"/>
    </xf>
    <xf numFmtId="0" fontId="14" fillId="0" borderId="1" xfId="7" applyFont="1" applyBorder="1" applyAlignment="1">
      <alignment horizontal="center" vertical="center" wrapText="1"/>
    </xf>
    <xf numFmtId="0" fontId="13" fillId="0" borderId="0" xfId="7" applyFont="1" applyAlignment="1">
      <alignment vertical="center"/>
    </xf>
    <xf numFmtId="167" fontId="12" fillId="0" borderId="1" xfId="0" applyNumberFormat="1" applyFont="1" applyBorder="1" applyAlignment="1">
      <alignment horizontal="center" vertical="center"/>
    </xf>
    <xf numFmtId="167" fontId="42" fillId="2" borderId="1" xfId="0" applyNumberFormat="1" applyFont="1" applyFill="1" applyBorder="1" applyAlignment="1">
      <alignment horizontal="center" vertical="center"/>
    </xf>
    <xf numFmtId="167" fontId="42" fillId="2" borderId="5" xfId="0" applyNumberFormat="1" applyFont="1" applyFill="1" applyBorder="1" applyAlignment="1">
      <alignment horizontal="center" vertical="center"/>
    </xf>
    <xf numFmtId="167" fontId="42" fillId="2" borderId="3" xfId="0" applyNumberFormat="1" applyFont="1" applyFill="1" applyBorder="1" applyAlignment="1">
      <alignment horizontal="center" vertical="center"/>
    </xf>
    <xf numFmtId="43" fontId="76" fillId="0" borderId="5" xfId="7" applyNumberFormat="1" applyFont="1" applyBorder="1" applyAlignment="1">
      <alignment horizontal="center" vertical="center"/>
    </xf>
    <xf numFmtId="43" fontId="10" fillId="2" borderId="1" xfId="0" applyNumberFormat="1" applyFont="1" applyFill="1" applyBorder="1" applyAlignment="1">
      <alignment vertical="center"/>
    </xf>
    <xf numFmtId="43" fontId="76" fillId="0" borderId="5" xfId="4" applyFont="1" applyFill="1" applyBorder="1" applyAlignment="1">
      <alignment horizontal="center" vertical="center"/>
    </xf>
    <xf numFmtId="43" fontId="76" fillId="0" borderId="3" xfId="4" applyFont="1" applyFill="1" applyBorder="1" applyAlignment="1">
      <alignment horizontal="center" vertical="center"/>
    </xf>
    <xf numFmtId="0" fontId="54" fillId="0" borderId="3" xfId="0" applyFont="1" applyBorder="1" applyAlignment="1">
      <alignment horizontal="left" vertical="center"/>
    </xf>
    <xf numFmtId="0" fontId="54" fillId="0" borderId="3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9" fillId="2" borderId="5" xfId="1" applyFont="1" applyFill="1" applyBorder="1" applyAlignment="1">
      <alignment horizontal="center" vertical="center" wrapText="1"/>
    </xf>
    <xf numFmtId="0" fontId="9" fillId="2" borderId="5" xfId="7" quotePrefix="1" applyFont="1" applyFill="1" applyBorder="1" applyAlignment="1">
      <alignment horizontal="left" vertical="center" wrapText="1"/>
    </xf>
    <xf numFmtId="0" fontId="9" fillId="2" borderId="1" xfId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9" fillId="2" borderId="5" xfId="0" applyFont="1" applyFill="1" applyBorder="1" applyAlignment="1">
      <alignment horizontal="left" vertical="center" wrapText="1"/>
    </xf>
    <xf numFmtId="0" fontId="9" fillId="0" borderId="1" xfId="1" applyFont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 wrapText="1"/>
    </xf>
    <xf numFmtId="0" fontId="9" fillId="2" borderId="1" xfId="7" applyFont="1" applyFill="1" applyBorder="1" applyAlignment="1">
      <alignment horizontal="left" vertical="center" wrapText="1"/>
    </xf>
    <xf numFmtId="0" fontId="74" fillId="2" borderId="1" xfId="7" applyFill="1" applyBorder="1" applyAlignment="1">
      <alignment horizontal="center" vertical="center"/>
    </xf>
    <xf numFmtId="0" fontId="9" fillId="2" borderId="1" xfId="7" applyFont="1" applyFill="1" applyBorder="1" applyAlignment="1">
      <alignment horizontal="center" vertical="center"/>
    </xf>
    <xf numFmtId="0" fontId="9" fillId="2" borderId="1" xfId="0" applyFont="1" applyFill="1" applyBorder="1" applyAlignment="1">
      <alignment vertical="center"/>
    </xf>
    <xf numFmtId="167" fontId="9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9" fillId="2" borderId="5" xfId="7" applyFont="1" applyFill="1" applyBorder="1" applyAlignment="1">
      <alignment horizontal="left" vertical="center" wrapText="1"/>
    </xf>
    <xf numFmtId="0" fontId="9" fillId="0" borderId="1" xfId="7" applyFont="1" applyBorder="1" applyAlignment="1">
      <alignment horizontal="center" vertical="center" wrapText="1"/>
    </xf>
    <xf numFmtId="0" fontId="8" fillId="0" borderId="1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43" fontId="41" fillId="0" borderId="3" xfId="0" applyNumberFormat="1" applyFont="1" applyBorder="1" applyAlignment="1">
      <alignment vertical="center"/>
    </xf>
    <xf numFmtId="43" fontId="41" fillId="0" borderId="5" xfId="0" applyNumberFormat="1" applyFont="1" applyBorder="1" applyAlignment="1">
      <alignment vertical="center"/>
    </xf>
    <xf numFmtId="0" fontId="11" fillId="0" borderId="5" xfId="0" applyFont="1" applyBorder="1" applyAlignment="1">
      <alignment horizontal="center" vertical="center"/>
    </xf>
    <xf numFmtId="43" fontId="71" fillId="2" borderId="5" xfId="0" applyNumberFormat="1" applyFont="1" applyFill="1" applyBorder="1" applyAlignment="1">
      <alignment vertical="center"/>
    </xf>
    <xf numFmtId="0" fontId="49" fillId="0" borderId="5" xfId="0" applyFont="1" applyBorder="1" applyAlignment="1">
      <alignment vertical="center"/>
    </xf>
    <xf numFmtId="0" fontId="49" fillId="0" borderId="5" xfId="0" applyFont="1" applyBorder="1" applyAlignment="1">
      <alignment horizontal="center" vertical="center"/>
    </xf>
    <xf numFmtId="0" fontId="7" fillId="2" borderId="5" xfId="0" applyFont="1" applyFill="1" applyBorder="1" applyAlignment="1">
      <alignment horizontal="left" vertical="center" wrapText="1"/>
    </xf>
    <xf numFmtId="0" fontId="7" fillId="2" borderId="1" xfId="7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vertical="center"/>
    </xf>
    <xf numFmtId="43" fontId="5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43" fontId="76" fillId="0" borderId="3" xfId="7" applyNumberFormat="1" applyFont="1" applyBorder="1" applyAlignment="1">
      <alignment horizontal="center" vertical="center"/>
    </xf>
    <xf numFmtId="0" fontId="3" fillId="0" borderId="1" xfId="7" applyFont="1" applyBorder="1" applyAlignment="1">
      <alignment horizontal="center" vertical="center" wrapText="1"/>
    </xf>
    <xf numFmtId="49" fontId="71" fillId="0" borderId="2" xfId="0" applyNumberFormat="1" applyFont="1" applyBorder="1" applyAlignment="1">
      <alignment horizontal="center" vertical="center"/>
    </xf>
    <xf numFmtId="0" fontId="88" fillId="0" borderId="2" xfId="0" applyFont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83" fillId="0" borderId="2" xfId="7" applyFont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 wrapText="1"/>
    </xf>
    <xf numFmtId="0" fontId="9" fillId="2" borderId="2" xfId="7" applyFont="1" applyFill="1" applyBorder="1" applyAlignment="1">
      <alignment horizontal="left" vertical="center" wrapText="1"/>
    </xf>
    <xf numFmtId="0" fontId="74" fillId="0" borderId="4" xfId="7" applyBorder="1" applyAlignment="1">
      <alignment horizontal="center" vertical="center"/>
    </xf>
    <xf numFmtId="0" fontId="83" fillId="0" borderId="2" xfId="7" applyFont="1" applyBorder="1" applyAlignment="1">
      <alignment horizontal="left" vertical="center"/>
    </xf>
    <xf numFmtId="0" fontId="6" fillId="0" borderId="2" xfId="7" applyFont="1" applyBorder="1" applyAlignment="1">
      <alignment horizontal="left" vertical="center"/>
    </xf>
    <xf numFmtId="0" fontId="48" fillId="0" borderId="2" xfId="0" applyFont="1" applyBorder="1" applyAlignment="1">
      <alignment vertical="center"/>
    </xf>
    <xf numFmtId="167" fontId="42" fillId="0" borderId="2" xfId="0" applyNumberFormat="1" applyFont="1" applyBorder="1" applyAlignment="1">
      <alignment horizontal="center" vertical="center"/>
    </xf>
    <xf numFmtId="0" fontId="71" fillId="0" borderId="2" xfId="1" applyFont="1" applyBorder="1" applyAlignment="1">
      <alignment horizontal="center" vertical="center" wrapText="1"/>
    </xf>
    <xf numFmtId="0" fontId="38" fillId="0" borderId="2" xfId="7" applyFont="1" applyBorder="1" applyAlignment="1">
      <alignment horizontal="center" vertical="center" wrapText="1"/>
    </xf>
    <xf numFmtId="0" fontId="71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 wrapText="1"/>
    </xf>
    <xf numFmtId="43" fontId="71" fillId="0" borderId="2" xfId="0" applyNumberFormat="1" applyFont="1" applyBorder="1" applyAlignment="1">
      <alignment horizontal="center" vertical="center"/>
    </xf>
    <xf numFmtId="43" fontId="71" fillId="2" borderId="2" xfId="0" applyNumberFormat="1" applyFont="1" applyFill="1" applyBorder="1" applyAlignment="1">
      <alignment vertical="center"/>
    </xf>
    <xf numFmtId="43" fontId="72" fillId="0" borderId="2" xfId="0" applyNumberFormat="1" applyFont="1" applyBorder="1" applyAlignment="1">
      <alignment vertical="center"/>
    </xf>
    <xf numFmtId="165" fontId="82" fillId="0" borderId="2" xfId="1" applyNumberFormat="1" applyFont="1" applyBorder="1" applyAlignment="1">
      <alignment horizontal="center" vertical="center" wrapText="1"/>
    </xf>
    <xf numFmtId="43" fontId="41" fillId="0" borderId="2" xfId="0" applyNumberFormat="1" applyFont="1" applyBorder="1" applyAlignment="1">
      <alignment vertical="center"/>
    </xf>
    <xf numFmtId="43" fontId="76" fillId="0" borderId="2" xfId="0" applyNumberFormat="1" applyFont="1" applyBorder="1" applyAlignment="1">
      <alignment vertical="center"/>
    </xf>
    <xf numFmtId="43" fontId="76" fillId="0" borderId="2" xfId="7" applyNumberFormat="1" applyFont="1" applyBorder="1" applyAlignment="1">
      <alignment horizontal="center" vertical="center"/>
    </xf>
    <xf numFmtId="43" fontId="76" fillId="0" borderId="2" xfId="4" applyFont="1" applyFill="1" applyBorder="1" applyAlignment="1">
      <alignment horizontal="center" vertical="center"/>
    </xf>
    <xf numFmtId="43" fontId="43" fillId="0" borderId="2" xfId="4" applyFont="1" applyFill="1" applyBorder="1" applyAlignment="1">
      <alignment horizontal="center" vertical="center"/>
    </xf>
    <xf numFmtId="43" fontId="73" fillId="0" borderId="2" xfId="4" applyFont="1" applyFill="1" applyBorder="1" applyAlignment="1">
      <alignment horizontal="center" vertical="center"/>
    </xf>
    <xf numFmtId="43" fontId="48" fillId="0" borderId="2" xfId="7" applyNumberFormat="1" applyFont="1" applyBorder="1" applyAlignment="1">
      <alignment horizontal="center" vertical="center"/>
    </xf>
    <xf numFmtId="49" fontId="74" fillId="0" borderId="1" xfId="7" applyNumberFormat="1" applyBorder="1" applyAlignment="1">
      <alignment horizontal="center" vertical="center"/>
    </xf>
    <xf numFmtId="0" fontId="88" fillId="0" borderId="1" xfId="7" applyFont="1" applyBorder="1" applyAlignment="1">
      <alignment vertical="center" wrapText="1"/>
    </xf>
    <xf numFmtId="0" fontId="74" fillId="0" borderId="1" xfId="7" applyBorder="1" applyAlignment="1">
      <alignment vertical="center" wrapText="1"/>
    </xf>
    <xf numFmtId="0" fontId="74" fillId="0" borderId="1" xfId="7" applyBorder="1" applyAlignment="1">
      <alignment vertical="center"/>
    </xf>
    <xf numFmtId="0" fontId="74" fillId="0" borderId="1" xfId="7" applyBorder="1" applyAlignment="1">
      <alignment horizontal="left" vertical="center" wrapText="1"/>
    </xf>
    <xf numFmtId="49" fontId="74" fillId="0" borderId="1" xfId="7" applyNumberFormat="1" applyBorder="1" applyAlignment="1">
      <alignment vertical="center"/>
    </xf>
    <xf numFmtId="0" fontId="74" fillId="0" borderId="1" xfId="7" applyBorder="1" applyAlignment="1">
      <alignment horizontal="left" vertical="center"/>
    </xf>
    <xf numFmtId="0" fontId="48" fillId="0" borderId="1" xfId="7" applyFont="1" applyBorder="1" applyAlignment="1">
      <alignment vertical="center" wrapText="1"/>
    </xf>
    <xf numFmtId="0" fontId="41" fillId="0" borderId="1" xfId="7" applyFont="1" applyBorder="1" applyAlignment="1">
      <alignment vertical="center"/>
    </xf>
    <xf numFmtId="43" fontId="74" fillId="0" borderId="1" xfId="7" applyNumberFormat="1" applyBorder="1" applyAlignment="1">
      <alignment vertical="center"/>
    </xf>
    <xf numFmtId="43" fontId="73" fillId="0" borderId="1" xfId="4" applyFont="1" applyBorder="1" applyAlignment="1">
      <alignment vertical="center"/>
    </xf>
    <xf numFmtId="4" fontId="0" fillId="5" borderId="0" xfId="0" applyNumberFormat="1" applyFill="1"/>
    <xf numFmtId="43" fontId="76" fillId="5" borderId="1" xfId="0" applyNumberFormat="1" applyFont="1" applyFill="1" applyBorder="1" applyAlignment="1">
      <alignment vertical="center"/>
    </xf>
    <xf numFmtId="0" fontId="98" fillId="0" borderId="13" xfId="7" applyFont="1" applyBorder="1" applyAlignment="1">
      <alignment horizontal="center" vertical="center" wrapText="1"/>
    </xf>
    <xf numFmtId="0" fontId="98" fillId="0" borderId="15" xfId="7" applyFont="1" applyBorder="1" applyAlignment="1">
      <alignment horizontal="center" vertical="center" wrapText="1"/>
    </xf>
  </cellXfs>
  <cellStyles count="47">
    <cellStyle name="Millares 2" xfId="4" xr:uid="{00000000-0005-0000-0000-000000000000}"/>
    <cellStyle name="Millares 2 2" xfId="5" xr:uid="{00000000-0005-0000-0000-000001000000}"/>
    <cellStyle name="Millares 2 3" xfId="10" xr:uid="{00000000-0005-0000-0000-000002000000}"/>
    <cellStyle name="Millares 2 4" xfId="18" xr:uid="{00000000-0005-0000-0000-000003000000}"/>
    <cellStyle name="Millares 2 5" xfId="32" xr:uid="{00000000-0005-0000-0000-000004000000}"/>
    <cellStyle name="Millares 2 5 2" xfId="36" xr:uid="{00000000-0005-0000-0000-000005000000}"/>
    <cellStyle name="Millares 3" xfId="12" xr:uid="{00000000-0005-0000-0000-000006000000}"/>
    <cellStyle name="Millares 4" xfId="14" xr:uid="{00000000-0005-0000-0000-000007000000}"/>
    <cellStyle name="Millares 4 2" xfId="26" xr:uid="{00000000-0005-0000-0000-000008000000}"/>
    <cellStyle name="Millares 4 2 2" xfId="44" xr:uid="{00000000-0005-0000-0000-000009000000}"/>
    <cellStyle name="Millares 5" xfId="21" xr:uid="{00000000-0005-0000-0000-00000A000000}"/>
    <cellStyle name="Millares 5 2" xfId="28" xr:uid="{00000000-0005-0000-0000-00000B000000}"/>
    <cellStyle name="Millares 5 3" xfId="40" xr:uid="{00000000-0005-0000-0000-00000C000000}"/>
    <cellStyle name="Millares 6" xfId="37" xr:uid="{00000000-0005-0000-0000-00000D000000}"/>
    <cellStyle name="Millares 7" xfId="2" xr:uid="{00000000-0005-0000-0000-00000E000000}"/>
    <cellStyle name="Moneda 2" xfId="24" xr:uid="{00000000-0005-0000-0000-00000F000000}"/>
    <cellStyle name="Moneda 2 2" xfId="30" xr:uid="{00000000-0005-0000-0000-000010000000}"/>
    <cellStyle name="Moneda 2 3" xfId="41" xr:uid="{00000000-0005-0000-0000-000011000000}"/>
    <cellStyle name="Moneda 3" xfId="38" xr:uid="{00000000-0005-0000-0000-000012000000}"/>
    <cellStyle name="Normal" xfId="0" builtinId="0"/>
    <cellStyle name="Normal 10" xfId="33" xr:uid="{00000000-0005-0000-0000-000014000000}"/>
    <cellStyle name="Normal 11" xfId="46" xr:uid="{00000000-0005-0000-0000-000015000000}"/>
    <cellStyle name="Normal 2" xfId="6" xr:uid="{00000000-0005-0000-0000-000016000000}"/>
    <cellStyle name="Normal 2 2" xfId="20" xr:uid="{00000000-0005-0000-0000-000017000000}"/>
    <cellStyle name="Normal 2 3" xfId="45" xr:uid="{00000000-0005-0000-0000-000018000000}"/>
    <cellStyle name="Normal 23" xfId="3" xr:uid="{00000000-0005-0000-0000-000019000000}"/>
    <cellStyle name="Normal 3" xfId="7" xr:uid="{00000000-0005-0000-0000-00001A000000}"/>
    <cellStyle name="Normal 3 2" xfId="9" xr:uid="{00000000-0005-0000-0000-00001B000000}"/>
    <cellStyle name="Normal 3 3" xfId="17" xr:uid="{00000000-0005-0000-0000-00001C000000}"/>
    <cellStyle name="Normal 3 4" xfId="23" xr:uid="{00000000-0005-0000-0000-00001D000000}"/>
    <cellStyle name="Normal 3 4 2" xfId="29" xr:uid="{00000000-0005-0000-0000-00001E000000}"/>
    <cellStyle name="Normal 3 4 3" xfId="42" xr:uid="{00000000-0005-0000-0000-00001F000000}"/>
    <cellStyle name="Normal 3 5" xfId="31" xr:uid="{00000000-0005-0000-0000-000020000000}"/>
    <cellStyle name="Normal 3 5 2" xfId="35" xr:uid="{00000000-0005-0000-0000-000021000000}"/>
    <cellStyle name="Normal 4" xfId="11" xr:uid="{00000000-0005-0000-0000-000022000000}"/>
    <cellStyle name="Normal 4 2" xfId="22" xr:uid="{00000000-0005-0000-0000-000023000000}"/>
    <cellStyle name="Normal 5" xfId="13" xr:uid="{00000000-0005-0000-0000-000024000000}"/>
    <cellStyle name="Normal 5 2" xfId="25" xr:uid="{00000000-0005-0000-0000-000025000000}"/>
    <cellStyle name="Normal 5 2 2" xfId="43" xr:uid="{00000000-0005-0000-0000-000026000000}"/>
    <cellStyle name="Normal 56 2" xfId="8" xr:uid="{00000000-0005-0000-0000-000027000000}"/>
    <cellStyle name="Normal 6" xfId="15" xr:uid="{00000000-0005-0000-0000-000028000000}"/>
    <cellStyle name="Normal 7" xfId="16" xr:uid="{00000000-0005-0000-0000-000029000000}"/>
    <cellStyle name="Normal 8" xfId="19" xr:uid="{00000000-0005-0000-0000-00002A000000}"/>
    <cellStyle name="Normal 8 2" xfId="27" xr:uid="{00000000-0005-0000-0000-00002B000000}"/>
    <cellStyle name="Normal 8 3" xfId="39" xr:uid="{00000000-0005-0000-0000-00002C000000}"/>
    <cellStyle name="Normal 9" xfId="34" xr:uid="{00000000-0005-0000-0000-00002D000000}"/>
    <cellStyle name="Normal_Hoja1" xfId="1" xr:uid="{00000000-0005-0000-0000-00002E000000}"/>
  </cellStyles>
  <dxfs count="0"/>
  <tableStyles count="0" defaultTableStyle="TableStyleMedium2" defaultPivotStyle="PivotStyleLight16"/>
  <colors>
    <mruColors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49530</xdr:colOff>
      <xdr:row>2</xdr:row>
      <xdr:rowOff>175261</xdr:rowOff>
    </xdr:to>
    <xdr:pic>
      <xdr:nvPicPr>
        <xdr:cNvPr id="2" name="Imagen 1" descr="Interfaz de usuario gráfica&#10;&#10;Descripción generada automáticament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3354705" cy="518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4"/>
  <dimension ref="A1:AU86"/>
  <sheetViews>
    <sheetView showGridLines="0" tabSelected="1" topLeftCell="X1" zoomScale="98" zoomScaleNormal="98" workbookViewId="0">
      <selection activeCell="AP9" sqref="AP9"/>
    </sheetView>
  </sheetViews>
  <sheetFormatPr baseColWidth="10" defaultColWidth="11.42578125" defaultRowHeight="15" x14ac:dyDescent="0.25"/>
  <cols>
    <col min="1" max="1" width="9.140625" style="125" customWidth="1"/>
    <col min="2" max="2" width="40.42578125" style="60" customWidth="1"/>
    <col min="3" max="3" width="39.28515625" style="60" customWidth="1"/>
    <col min="4" max="4" width="32.28515625" style="11" customWidth="1"/>
    <col min="5" max="5" width="7" style="10" customWidth="1"/>
    <col min="6" max="6" width="11.7109375" style="10" customWidth="1"/>
    <col min="7" max="7" width="16.140625" style="65" customWidth="1"/>
    <col min="8" max="8" width="10.7109375" style="174" customWidth="1"/>
    <col min="9" max="9" width="33.28515625" style="12" customWidth="1"/>
    <col min="10" max="10" width="23" style="12" customWidth="1"/>
    <col min="11" max="11" width="16.42578125" style="12" customWidth="1"/>
    <col min="12" max="12" width="8.42578125" style="12" customWidth="1"/>
    <col min="13" max="13" width="10.42578125" style="10" customWidth="1"/>
    <col min="14" max="14" width="10.28515625" style="12" customWidth="1"/>
    <col min="15" max="15" width="10" style="12" customWidth="1"/>
    <col min="16" max="16" width="3.7109375" style="10" customWidth="1"/>
    <col min="17" max="17" width="5.28515625" style="10" customWidth="1"/>
    <col min="18" max="18" width="6.28515625" style="3" customWidth="1"/>
    <col min="19" max="19" width="9.7109375" style="87" customWidth="1"/>
    <col min="20" max="20" width="8.7109375" style="3" customWidth="1"/>
    <col min="21" max="21" width="10.7109375" style="3" customWidth="1"/>
    <col min="22" max="26" width="10.7109375" style="10" customWidth="1"/>
    <col min="27" max="27" width="10.7109375" style="138" customWidth="1"/>
    <col min="28" max="30" width="10.7109375" style="10" customWidth="1"/>
    <col min="31" max="31" width="12.7109375" style="10" customWidth="1"/>
    <col min="32" max="33" width="10.7109375" style="10" customWidth="1"/>
    <col min="34" max="34" width="11.28515625" style="10" customWidth="1"/>
    <col min="35" max="35" width="13.5703125" style="10" customWidth="1"/>
    <col min="36" max="36" width="9.140625" style="10" customWidth="1"/>
    <col min="37" max="38" width="10.7109375" style="10" customWidth="1"/>
    <col min="39" max="39" width="10.85546875" style="13" customWidth="1"/>
    <col min="40" max="40" width="10.7109375" style="13" customWidth="1"/>
    <col min="41" max="41" width="12.7109375" style="10" customWidth="1"/>
    <col min="42" max="42" width="12.7109375" style="10" bestFit="1" customWidth="1"/>
    <col min="43" max="43" width="12.5703125" style="10" bestFit="1" customWidth="1"/>
    <col min="44" max="16384" width="11.42578125" style="10"/>
  </cols>
  <sheetData>
    <row r="1" spans="1:47" s="59" customFormat="1" ht="13.5" thickBot="1" x14ac:dyDescent="0.3">
      <c r="A1" s="120"/>
      <c r="B1" s="60"/>
      <c r="C1" s="60"/>
      <c r="D1" s="60"/>
      <c r="G1" s="64"/>
      <c r="H1" s="173"/>
      <c r="I1" s="58"/>
      <c r="J1" s="58"/>
      <c r="K1" s="58"/>
      <c r="L1" s="58"/>
      <c r="N1" s="58"/>
      <c r="O1" s="58"/>
      <c r="R1" s="61"/>
      <c r="S1" s="60"/>
      <c r="T1" s="61"/>
      <c r="U1" s="61"/>
      <c r="AM1" s="62"/>
      <c r="AN1" s="62"/>
    </row>
    <row r="2" spans="1:47" s="59" customFormat="1" ht="13.5" thickBot="1" x14ac:dyDescent="0.3">
      <c r="A2" s="120"/>
      <c r="B2" s="60"/>
      <c r="C2" s="60"/>
      <c r="D2" s="60"/>
      <c r="E2" s="61"/>
      <c r="G2" s="64"/>
      <c r="H2" s="173"/>
      <c r="I2" s="58"/>
      <c r="J2" s="58"/>
      <c r="K2" s="58"/>
      <c r="L2" s="58"/>
      <c r="M2" s="63"/>
      <c r="N2" s="58"/>
      <c r="O2" s="58"/>
      <c r="R2" s="61"/>
      <c r="S2" s="246" t="s">
        <v>91</v>
      </c>
      <c r="T2" s="61"/>
      <c r="U2" s="240">
        <f t="shared" ref="U2:AC2" si="0">SUBTOTAL(9,U5:U56)</f>
        <v>0</v>
      </c>
      <c r="V2" s="240">
        <f t="shared" si="0"/>
        <v>0</v>
      </c>
      <c r="W2" s="240">
        <f t="shared" si="0"/>
        <v>0</v>
      </c>
      <c r="X2" s="240">
        <f t="shared" si="0"/>
        <v>0</v>
      </c>
      <c r="Y2" s="240">
        <f t="shared" si="0"/>
        <v>0</v>
      </c>
      <c r="Z2" s="240">
        <f t="shared" si="0"/>
        <v>0</v>
      </c>
      <c r="AA2" s="240">
        <f t="shared" si="0"/>
        <v>0</v>
      </c>
      <c r="AB2" s="240">
        <f t="shared" si="0"/>
        <v>0</v>
      </c>
      <c r="AC2" s="240">
        <f t="shared" si="0"/>
        <v>0</v>
      </c>
      <c r="AD2" s="240">
        <f>SUBTOTAL(9,AD5:AD55)</f>
        <v>0</v>
      </c>
      <c r="AE2" s="240">
        <f>SUBTOTAL(9,AE5:AE56)</f>
        <v>695489.69884218543</v>
      </c>
      <c r="AF2" s="240">
        <f>SUBTOTAL(9,AF5:AF66)</f>
        <v>108727.60741599998</v>
      </c>
      <c r="AG2" s="240">
        <f>SUBTOTAL(9,AG5:AG56)</f>
        <v>47130.751200000006</v>
      </c>
      <c r="AH2" s="240">
        <f>SUBTOTAL(9,AH5:AH56)</f>
        <v>153317.04720800003</v>
      </c>
      <c r="AI2" s="240">
        <f>SUBTOTAL(9,AI5:AI56)</f>
        <v>542172.65163418523</v>
      </c>
      <c r="AJ2" s="240"/>
      <c r="AK2" s="240">
        <f>SUBTOTAL(9,AK5:AK56)</f>
        <v>0</v>
      </c>
      <c r="AL2" s="240">
        <f>SUBTOTAL(9,AL5:AL56)</f>
        <v>0</v>
      </c>
      <c r="AM2" s="240">
        <f>SUBTOTAL(9,AM5:AM56)</f>
        <v>20864.690965265556</v>
      </c>
      <c r="AN2" s="240">
        <f>SUBTOTAL(9,AN5:AN56)</f>
        <v>20864.690965265556</v>
      </c>
      <c r="AO2" s="240">
        <f>SUBTOTAL(9,AO5:AO56)</f>
        <v>716354.3898074507</v>
      </c>
      <c r="AP2" s="214"/>
      <c r="AQ2" s="214"/>
      <c r="AR2" s="214"/>
      <c r="AS2" s="214"/>
    </row>
    <row r="3" spans="1:47" ht="15.75" thickBot="1" x14ac:dyDescent="0.3">
      <c r="A3" s="121"/>
      <c r="E3" s="239"/>
      <c r="L3" s="250"/>
      <c r="M3" s="348">
        <v>2023</v>
      </c>
      <c r="N3" s="349"/>
      <c r="O3" s="179"/>
      <c r="P3" s="245"/>
      <c r="S3" s="247"/>
      <c r="T3" s="239"/>
      <c r="U3" s="239"/>
      <c r="V3" s="248"/>
      <c r="W3" s="248"/>
      <c r="X3" s="248"/>
      <c r="Y3" s="248"/>
      <c r="Z3" s="248"/>
      <c r="AA3" s="248"/>
      <c r="AB3" s="248"/>
      <c r="AC3" s="248"/>
      <c r="AD3" s="248"/>
      <c r="AE3" s="241"/>
      <c r="AF3" s="241"/>
      <c r="AG3" s="241"/>
      <c r="AH3" s="241"/>
      <c r="AI3" s="241"/>
      <c r="AJ3" s="241"/>
      <c r="AK3" s="242"/>
      <c r="AL3" s="242"/>
      <c r="AM3" s="242"/>
      <c r="AN3" s="242"/>
      <c r="AO3" s="243"/>
      <c r="AP3" s="43"/>
      <c r="AQ3" s="43"/>
      <c r="AS3" s="266"/>
    </row>
    <row r="4" spans="1:47" s="46" customFormat="1" ht="37.15" customHeight="1" x14ac:dyDescent="0.25">
      <c r="A4" s="223" t="s">
        <v>92</v>
      </c>
      <c r="B4" s="224" t="s">
        <v>27</v>
      </c>
      <c r="C4" s="225" t="s">
        <v>41</v>
      </c>
      <c r="D4" s="226" t="s">
        <v>18</v>
      </c>
      <c r="E4" s="227" t="s">
        <v>17</v>
      </c>
      <c r="F4" s="228" t="s">
        <v>0</v>
      </c>
      <c r="G4" s="229" t="s">
        <v>78</v>
      </c>
      <c r="H4" s="230" t="s">
        <v>1</v>
      </c>
      <c r="I4" s="231" t="s">
        <v>2</v>
      </c>
      <c r="J4" s="228" t="s">
        <v>4</v>
      </c>
      <c r="K4" s="228" t="s">
        <v>3</v>
      </c>
      <c r="L4" s="232" t="s">
        <v>61</v>
      </c>
      <c r="M4" s="232" t="s">
        <v>81</v>
      </c>
      <c r="N4" s="233" t="s">
        <v>117</v>
      </c>
      <c r="O4" s="233" t="s">
        <v>120</v>
      </c>
      <c r="P4" s="234" t="s">
        <v>5</v>
      </c>
      <c r="Q4" s="228" t="s">
        <v>6</v>
      </c>
      <c r="R4" s="231" t="s">
        <v>42</v>
      </c>
      <c r="S4" s="235" t="s">
        <v>64</v>
      </c>
      <c r="T4" s="231" t="s">
        <v>62</v>
      </c>
      <c r="U4" s="236" t="s">
        <v>63</v>
      </c>
      <c r="V4" s="237" t="s">
        <v>82</v>
      </c>
      <c r="W4" s="236" t="s">
        <v>84</v>
      </c>
      <c r="X4" s="237" t="s">
        <v>83</v>
      </c>
      <c r="Y4" s="236" t="s">
        <v>85</v>
      </c>
      <c r="Z4" s="237" t="s">
        <v>86</v>
      </c>
      <c r="AA4" s="236" t="s">
        <v>87</v>
      </c>
      <c r="AB4" s="237" t="s">
        <v>123</v>
      </c>
      <c r="AC4" s="236" t="s">
        <v>88</v>
      </c>
      <c r="AD4" s="237" t="s">
        <v>89</v>
      </c>
      <c r="AE4" s="232" t="s">
        <v>124</v>
      </c>
      <c r="AF4" s="232" t="s">
        <v>71</v>
      </c>
      <c r="AG4" s="232" t="s">
        <v>95</v>
      </c>
      <c r="AH4" s="232" t="s">
        <v>94</v>
      </c>
      <c r="AI4" s="238" t="s">
        <v>90</v>
      </c>
      <c r="AJ4" s="231" t="s">
        <v>105</v>
      </c>
      <c r="AK4" s="232" t="s">
        <v>96</v>
      </c>
      <c r="AL4" s="232" t="s">
        <v>97</v>
      </c>
      <c r="AM4" s="232" t="s">
        <v>93</v>
      </c>
      <c r="AN4" s="232" t="s">
        <v>72</v>
      </c>
      <c r="AO4" s="232" t="s">
        <v>106</v>
      </c>
      <c r="AP4" s="214"/>
      <c r="AQ4" s="214"/>
      <c r="AR4" s="215"/>
      <c r="AS4" s="3"/>
      <c r="AU4" s="215"/>
    </row>
    <row r="5" spans="1:47" s="3" customFormat="1" ht="30" customHeight="1" x14ac:dyDescent="0.25">
      <c r="A5" s="222" t="s">
        <v>116</v>
      </c>
      <c r="B5" s="96" t="s">
        <v>70</v>
      </c>
      <c r="C5" s="93" t="s">
        <v>70</v>
      </c>
      <c r="D5" s="88" t="s">
        <v>12</v>
      </c>
      <c r="E5" s="50">
        <v>11</v>
      </c>
      <c r="F5" s="14" t="s">
        <v>15</v>
      </c>
      <c r="G5" s="66" t="s">
        <v>125</v>
      </c>
      <c r="H5" s="180"/>
      <c r="I5" s="44"/>
      <c r="J5" s="306"/>
      <c r="K5" s="305"/>
      <c r="L5" s="100"/>
      <c r="M5" s="150"/>
      <c r="N5" s="135"/>
      <c r="O5" s="135"/>
      <c r="P5" s="14" t="s">
        <v>8</v>
      </c>
      <c r="Q5" s="147" t="s">
        <v>7</v>
      </c>
      <c r="R5" s="45" t="e">
        <f t="shared" ref="R5:R56" ca="1" si="1">DATEDIF(DATE(IF(MID($K5,5,2)+2000&gt;YEAR(TODAY()),MID($K5,5,2)+1900,MID($K5,5,2)+2000),MID($K5,7,2),MID($K5,9,2)),TODAY(),"y")</f>
        <v>#VALUE!</v>
      </c>
      <c r="S5" s="88">
        <v>10769900</v>
      </c>
      <c r="T5" s="52"/>
      <c r="U5" s="52"/>
      <c r="V5" s="16"/>
      <c r="W5" s="16"/>
      <c r="X5" s="16"/>
      <c r="Y5" s="16"/>
      <c r="Z5" s="2"/>
      <c r="AA5" s="137"/>
      <c r="AB5" s="16"/>
      <c r="AC5" s="16"/>
      <c r="AD5" s="16"/>
      <c r="AE5" s="346">
        <v>22242.699678777004</v>
      </c>
      <c r="AF5" s="18">
        <f>Impuesto2023(AE5,30)</f>
        <v>3083.0437280000006</v>
      </c>
      <c r="AG5" s="16">
        <f>V5*13%</f>
        <v>0</v>
      </c>
      <c r="AH5" s="56">
        <f t="shared" ref="AH5:AH56" si="2">SUM(AF5+AG5)</f>
        <v>3083.0437280000006</v>
      </c>
      <c r="AI5" s="91">
        <f>AE5-AH5</f>
        <v>19159.655950777003</v>
      </c>
      <c r="AJ5" s="131">
        <v>0.26</v>
      </c>
      <c r="AK5" s="17">
        <f t="shared" ref="AK5:AK36" si="3">V5*AJ5</f>
        <v>0</v>
      </c>
      <c r="AL5" s="92">
        <f t="shared" ref="AL5:AL36" si="4">V5*2%</f>
        <v>0</v>
      </c>
      <c r="AM5" s="17">
        <f>AE5*3%</f>
        <v>667.28099036331014</v>
      </c>
      <c r="AN5" s="91">
        <f>SUM(AK5:AM5)</f>
        <v>667.28099036331014</v>
      </c>
      <c r="AO5" s="56">
        <f>AE5+AN5</f>
        <v>22909.980669140314</v>
      </c>
    </row>
    <row r="6" spans="1:47" s="3" customFormat="1" ht="30" customHeight="1" x14ac:dyDescent="0.25">
      <c r="A6" s="122">
        <v>167</v>
      </c>
      <c r="B6" s="93" t="s">
        <v>70</v>
      </c>
      <c r="C6" s="103" t="s">
        <v>44</v>
      </c>
      <c r="D6" s="88" t="s">
        <v>14</v>
      </c>
      <c r="E6" s="50">
        <v>13</v>
      </c>
      <c r="F6" s="22" t="s">
        <v>9</v>
      </c>
      <c r="G6" s="67" t="s">
        <v>126</v>
      </c>
      <c r="H6" s="180"/>
      <c r="I6" s="44"/>
      <c r="J6" s="20"/>
      <c r="K6" s="15"/>
      <c r="L6" s="100"/>
      <c r="M6" s="150"/>
      <c r="N6" s="135"/>
      <c r="O6" s="135"/>
      <c r="P6" s="14" t="s">
        <v>8</v>
      </c>
      <c r="Q6" s="147" t="s">
        <v>31</v>
      </c>
      <c r="R6" s="45" t="e">
        <f t="shared" ca="1" si="1"/>
        <v>#VALUE!</v>
      </c>
      <c r="S6" s="88">
        <v>6093300</v>
      </c>
      <c r="T6" s="52"/>
      <c r="U6" s="52"/>
      <c r="V6" s="16"/>
      <c r="W6" s="23"/>
      <c r="X6" s="23"/>
      <c r="Y6" s="272"/>
      <c r="Z6" s="23"/>
      <c r="AA6" s="137"/>
      <c r="AB6" s="23"/>
      <c r="AC6" s="16"/>
      <c r="AD6" s="16"/>
      <c r="AE6" s="141">
        <v>21383.329013711642</v>
      </c>
      <c r="AF6" s="18">
        <f t="shared" ref="AF6:AF69" si="5">Impuesto2023(AE6,30)</f>
        <v>2899.4822960000006</v>
      </c>
      <c r="AG6" s="16">
        <f t="shared" ref="AG6:AG14" si="6">V6*13%</f>
        <v>0</v>
      </c>
      <c r="AH6" s="56">
        <f t="shared" si="2"/>
        <v>2899.4822960000006</v>
      </c>
      <c r="AI6" s="91">
        <f t="shared" ref="AI6:AI56" si="7">AE6-AH6</f>
        <v>18483.84671771164</v>
      </c>
      <c r="AJ6" s="131">
        <v>0.26</v>
      </c>
      <c r="AK6" s="17">
        <f t="shared" si="3"/>
        <v>0</v>
      </c>
      <c r="AL6" s="92">
        <f t="shared" si="4"/>
        <v>0</v>
      </c>
      <c r="AM6" s="17">
        <f t="shared" ref="AM6:AM56" si="8">AE6*3%</f>
        <v>641.49987041134921</v>
      </c>
      <c r="AN6" s="91">
        <f t="shared" ref="AN6:AN56" si="9">SUM(AK6:AM6)</f>
        <v>641.49987041134921</v>
      </c>
      <c r="AO6" s="56">
        <f t="shared" ref="AO6:AO56" si="10">AE6+AN6</f>
        <v>22024.828884122991</v>
      </c>
    </row>
    <row r="7" spans="1:47" s="3" customFormat="1" ht="30" customHeight="1" x14ac:dyDescent="0.25">
      <c r="A7" s="257" t="s">
        <v>116</v>
      </c>
      <c r="B7" s="93" t="s">
        <v>68</v>
      </c>
      <c r="C7" s="103" t="s">
        <v>70</v>
      </c>
      <c r="D7" s="293" t="s">
        <v>122</v>
      </c>
      <c r="E7" s="50">
        <v>1</v>
      </c>
      <c r="F7" s="22" t="s">
        <v>121</v>
      </c>
      <c r="G7" s="67" t="s">
        <v>127</v>
      </c>
      <c r="H7" s="180"/>
      <c r="I7" s="44"/>
      <c r="J7" s="20"/>
      <c r="K7" s="15"/>
      <c r="L7" s="100"/>
      <c r="M7" s="150"/>
      <c r="N7" s="135"/>
      <c r="O7" s="135"/>
      <c r="P7" s="14" t="s">
        <v>8</v>
      </c>
      <c r="Q7" s="147" t="s">
        <v>7</v>
      </c>
      <c r="R7" s="45" t="e">
        <f ca="1">DATEDIF(DATE(IF(MID($K7,5,2)+2000&gt;YEAR(TODAY()),MID($K7,5,2)+1900,MID($K7,5,2)+2000),MID($K7,7,2),MID($K7,9,2)),TODAY(),"y")</f>
        <v>#VALUE!</v>
      </c>
      <c r="S7" s="88">
        <v>10768200</v>
      </c>
      <c r="T7" s="52"/>
      <c r="U7" s="52"/>
      <c r="V7" s="16"/>
      <c r="W7" s="23"/>
      <c r="X7" s="23"/>
      <c r="Y7" s="23"/>
      <c r="Z7" s="23"/>
      <c r="AA7" s="137"/>
      <c r="AB7" s="23"/>
      <c r="AC7" s="16"/>
      <c r="AD7" s="16"/>
      <c r="AE7" s="347">
        <v>19524.510149696627</v>
      </c>
      <c r="AF7" s="18">
        <f t="shared" si="5"/>
        <v>2502.4383439999997</v>
      </c>
      <c r="AG7" s="16">
        <f t="shared" si="6"/>
        <v>0</v>
      </c>
      <c r="AH7" s="56">
        <f t="shared" si="2"/>
        <v>2502.4383439999997</v>
      </c>
      <c r="AI7" s="91">
        <f t="shared" si="7"/>
        <v>17022.071805696629</v>
      </c>
      <c r="AJ7" s="131">
        <v>0.26</v>
      </c>
      <c r="AK7" s="17">
        <f t="shared" si="3"/>
        <v>0</v>
      </c>
      <c r="AL7" s="92">
        <f t="shared" si="4"/>
        <v>0</v>
      </c>
      <c r="AM7" s="17">
        <f t="shared" si="8"/>
        <v>585.73530449089878</v>
      </c>
      <c r="AN7" s="91">
        <f t="shared" si="9"/>
        <v>585.73530449089878</v>
      </c>
      <c r="AO7" s="56">
        <f t="shared" si="10"/>
        <v>20110.245454187527</v>
      </c>
      <c r="AS7" s="259"/>
    </row>
    <row r="8" spans="1:47" s="3" customFormat="1" ht="30" customHeight="1" thickBot="1" x14ac:dyDescent="0.3">
      <c r="A8" s="123">
        <v>167</v>
      </c>
      <c r="B8" s="94" t="s">
        <v>70</v>
      </c>
      <c r="C8" s="94" t="s">
        <v>70</v>
      </c>
      <c r="D8" s="294" t="s">
        <v>122</v>
      </c>
      <c r="E8" s="79">
        <v>14</v>
      </c>
      <c r="F8" s="278" t="s">
        <v>121</v>
      </c>
      <c r="G8" s="279" t="s">
        <v>128</v>
      </c>
      <c r="H8" s="185"/>
      <c r="I8" s="78"/>
      <c r="J8" s="127"/>
      <c r="K8" s="81"/>
      <c r="L8" s="102"/>
      <c r="M8" s="153"/>
      <c r="N8" s="153"/>
      <c r="O8" s="153"/>
      <c r="P8" s="80" t="s">
        <v>8</v>
      </c>
      <c r="Q8" s="148" t="s">
        <v>7</v>
      </c>
      <c r="R8" s="82" t="e">
        <f t="shared" ca="1" si="1"/>
        <v>#VALUE!</v>
      </c>
      <c r="S8" s="89">
        <v>10747400</v>
      </c>
      <c r="T8" s="83"/>
      <c r="U8" s="83"/>
      <c r="V8" s="16"/>
      <c r="W8" s="26"/>
      <c r="X8" s="26"/>
      <c r="Y8" s="26"/>
      <c r="Z8" s="5"/>
      <c r="AA8" s="296"/>
      <c r="AB8" s="26"/>
      <c r="AC8" s="26"/>
      <c r="AD8" s="26"/>
      <c r="AE8" s="347">
        <v>18648</v>
      </c>
      <c r="AF8" s="18">
        <f t="shared" si="5"/>
        <v>2315.2158079999999</v>
      </c>
      <c r="AG8" s="16">
        <f t="shared" si="6"/>
        <v>0</v>
      </c>
      <c r="AH8" s="271">
        <f t="shared" si="2"/>
        <v>2315.2158079999999</v>
      </c>
      <c r="AI8" s="91">
        <f t="shared" si="7"/>
        <v>16332.784191999999</v>
      </c>
      <c r="AJ8" s="134">
        <v>0.26</v>
      </c>
      <c r="AK8" s="154">
        <f t="shared" si="3"/>
        <v>0</v>
      </c>
      <c r="AL8" s="155">
        <f t="shared" si="4"/>
        <v>0</v>
      </c>
      <c r="AM8" s="17">
        <f t="shared" si="8"/>
        <v>559.43999999999994</v>
      </c>
      <c r="AN8" s="273">
        <f t="shared" si="9"/>
        <v>559.43999999999994</v>
      </c>
      <c r="AO8" s="56">
        <f t="shared" si="10"/>
        <v>19207.439999999999</v>
      </c>
    </row>
    <row r="9" spans="1:47" s="3" customFormat="1" ht="30" customHeight="1" thickBot="1" x14ac:dyDescent="0.3">
      <c r="A9" s="124">
        <v>168</v>
      </c>
      <c r="B9" s="97" t="s">
        <v>79</v>
      </c>
      <c r="C9" s="95" t="s">
        <v>43</v>
      </c>
      <c r="D9" s="90" t="s">
        <v>32</v>
      </c>
      <c r="E9" s="71">
        <v>15</v>
      </c>
      <c r="F9" s="86" t="s">
        <v>10</v>
      </c>
      <c r="G9" s="244" t="s">
        <v>129</v>
      </c>
      <c r="H9" s="184"/>
      <c r="I9" s="85"/>
      <c r="J9" s="181"/>
      <c r="K9" s="74"/>
      <c r="L9" s="99"/>
      <c r="M9" s="150"/>
      <c r="N9" s="150"/>
      <c r="O9" s="150"/>
      <c r="P9" s="73" t="s">
        <v>8</v>
      </c>
      <c r="Q9" s="149" t="s">
        <v>7</v>
      </c>
      <c r="R9" s="76" t="e">
        <f t="shared" ca="1" si="1"/>
        <v>#VALUE!</v>
      </c>
      <c r="S9" s="90">
        <v>10778700</v>
      </c>
      <c r="T9" s="77"/>
      <c r="U9" s="77"/>
      <c r="V9" s="16"/>
      <c r="W9" s="27"/>
      <c r="X9" s="27"/>
      <c r="Y9" s="27"/>
      <c r="Z9" s="9"/>
      <c r="AA9" s="295"/>
      <c r="AB9" s="27"/>
      <c r="AC9" s="29"/>
      <c r="AD9" s="29"/>
      <c r="AE9" s="347">
        <v>14664</v>
      </c>
      <c r="AF9" s="18">
        <f t="shared" si="5"/>
        <v>1492.568064</v>
      </c>
      <c r="AG9" s="16">
        <f t="shared" si="6"/>
        <v>0</v>
      </c>
      <c r="AH9" s="307">
        <f t="shared" si="2"/>
        <v>1492.568064</v>
      </c>
      <c r="AI9" s="91">
        <f t="shared" si="7"/>
        <v>13171.431936000001</v>
      </c>
      <c r="AJ9" s="134">
        <v>0.26</v>
      </c>
      <c r="AK9" s="151">
        <f t="shared" si="3"/>
        <v>0</v>
      </c>
      <c r="AL9" s="152">
        <f t="shared" si="4"/>
        <v>0</v>
      </c>
      <c r="AM9" s="17">
        <f t="shared" si="8"/>
        <v>439.91999999999996</v>
      </c>
      <c r="AN9" s="274">
        <f t="shared" si="9"/>
        <v>439.91999999999996</v>
      </c>
      <c r="AO9" s="56">
        <f t="shared" si="10"/>
        <v>15103.92</v>
      </c>
    </row>
    <row r="10" spans="1:47" s="3" customFormat="1" ht="30" customHeight="1" thickBot="1" x14ac:dyDescent="0.3">
      <c r="A10" s="258" t="s">
        <v>118</v>
      </c>
      <c r="B10" s="94" t="s">
        <v>70</v>
      </c>
      <c r="C10" s="218" t="s">
        <v>55</v>
      </c>
      <c r="D10" s="89" t="s">
        <v>13</v>
      </c>
      <c r="E10" s="79">
        <v>12</v>
      </c>
      <c r="F10" s="80" t="s">
        <v>121</v>
      </c>
      <c r="G10" s="219" t="s">
        <v>130</v>
      </c>
      <c r="H10" s="185"/>
      <c r="I10" s="78"/>
      <c r="J10" s="220"/>
      <c r="K10" s="221"/>
      <c r="L10" s="102"/>
      <c r="M10" s="153"/>
      <c r="N10" s="153"/>
      <c r="O10" s="153"/>
      <c r="P10" s="80" t="s">
        <v>8</v>
      </c>
      <c r="Q10" s="148" t="s">
        <v>31</v>
      </c>
      <c r="R10" s="82" t="e">
        <f ca="1">DATEDIF(DATE(IF(MID($K10,5,2)+2000&gt;YEAR(TODAY()),MID($K10,5,2)+1900,MID($K10,5,2)+2000),MID($K10,7,2),MID($K10,9,2)),TODAY(),"y")</f>
        <v>#VALUE!</v>
      </c>
      <c r="S10" s="89">
        <v>10769400</v>
      </c>
      <c r="T10" s="83"/>
      <c r="U10" s="83"/>
      <c r="V10" s="16"/>
      <c r="W10" s="26"/>
      <c r="X10" s="26"/>
      <c r="Y10" s="26"/>
      <c r="Z10" s="6"/>
      <c r="AA10" s="296"/>
      <c r="AB10" s="23"/>
      <c r="AC10" s="26"/>
      <c r="AD10" s="26"/>
      <c r="AE10" s="141">
        <v>43358.32</v>
      </c>
      <c r="AF10" s="18">
        <f t="shared" si="5"/>
        <v>7855.1720640000003</v>
      </c>
      <c r="AG10" s="16">
        <f t="shared" si="6"/>
        <v>0</v>
      </c>
      <c r="AH10" s="271">
        <f t="shared" si="2"/>
        <v>7855.1720640000003</v>
      </c>
      <c r="AI10" s="91">
        <f t="shared" si="7"/>
        <v>35503.147936000001</v>
      </c>
      <c r="AJ10" s="134">
        <v>0.26</v>
      </c>
      <c r="AK10" s="154">
        <f t="shared" si="3"/>
        <v>0</v>
      </c>
      <c r="AL10" s="155">
        <f t="shared" si="4"/>
        <v>0</v>
      </c>
      <c r="AM10" s="17">
        <f t="shared" si="8"/>
        <v>1300.7495999999999</v>
      </c>
      <c r="AN10" s="273">
        <f t="shared" si="9"/>
        <v>1300.7495999999999</v>
      </c>
      <c r="AO10" s="56">
        <f t="shared" si="10"/>
        <v>44659.069600000003</v>
      </c>
    </row>
    <row r="11" spans="1:47" s="3" customFormat="1" ht="33" customHeight="1" x14ac:dyDescent="0.25">
      <c r="A11" s="176">
        <v>169</v>
      </c>
      <c r="B11" s="116" t="s">
        <v>66</v>
      </c>
      <c r="C11" s="104" t="s">
        <v>66</v>
      </c>
      <c r="D11" s="172" t="s">
        <v>33</v>
      </c>
      <c r="E11" s="71">
        <v>17</v>
      </c>
      <c r="F11" s="86" t="s">
        <v>16</v>
      </c>
      <c r="G11" s="98" t="s">
        <v>131</v>
      </c>
      <c r="H11" s="184"/>
      <c r="I11" s="70"/>
      <c r="J11" s="75"/>
      <c r="K11" s="74"/>
      <c r="L11" s="99"/>
      <c r="M11" s="150"/>
      <c r="N11" s="150"/>
      <c r="O11" s="150"/>
      <c r="P11" s="72" t="s">
        <v>8</v>
      </c>
      <c r="Q11" s="149" t="s">
        <v>7</v>
      </c>
      <c r="R11" s="76" t="e">
        <f t="shared" ca="1" si="1"/>
        <v>#VALUE!</v>
      </c>
      <c r="S11" s="90">
        <v>10781800</v>
      </c>
      <c r="T11" s="77"/>
      <c r="U11" s="77"/>
      <c r="V11" s="16"/>
      <c r="W11" s="27"/>
      <c r="X11" s="27"/>
      <c r="Y11" s="27"/>
      <c r="Z11" s="9"/>
      <c r="AA11" s="295"/>
      <c r="AB11" s="27"/>
      <c r="AC11" s="29"/>
      <c r="AD11" s="29"/>
      <c r="AE11" s="141"/>
      <c r="AF11" s="18">
        <f t="shared" si="5"/>
        <v>0</v>
      </c>
      <c r="AG11" s="16">
        <f t="shared" si="6"/>
        <v>0</v>
      </c>
      <c r="AH11" s="307">
        <f t="shared" si="2"/>
        <v>0</v>
      </c>
      <c r="AI11" s="91">
        <f t="shared" si="7"/>
        <v>0</v>
      </c>
      <c r="AJ11" s="132">
        <v>0.26</v>
      </c>
      <c r="AK11" s="151">
        <f t="shared" si="3"/>
        <v>0</v>
      </c>
      <c r="AL11" s="152">
        <f t="shared" si="4"/>
        <v>0</v>
      </c>
      <c r="AM11" s="17">
        <f t="shared" si="8"/>
        <v>0</v>
      </c>
      <c r="AN11" s="274">
        <f t="shared" si="9"/>
        <v>0</v>
      </c>
      <c r="AO11" s="56">
        <f t="shared" si="10"/>
        <v>0</v>
      </c>
    </row>
    <row r="12" spans="1:47" s="3" customFormat="1" ht="30" customHeight="1" thickBot="1" x14ac:dyDescent="0.3">
      <c r="A12" s="261" t="s">
        <v>119</v>
      </c>
      <c r="B12" s="94" t="s">
        <v>68</v>
      </c>
      <c r="C12" s="94" t="s">
        <v>68</v>
      </c>
      <c r="D12" s="294" t="s">
        <v>122</v>
      </c>
      <c r="E12" s="79">
        <v>45</v>
      </c>
      <c r="F12" s="80" t="s">
        <v>121</v>
      </c>
      <c r="G12" s="157" t="s">
        <v>132</v>
      </c>
      <c r="H12" s="185"/>
      <c r="I12" s="262"/>
      <c r="J12" s="297"/>
      <c r="K12" s="297"/>
      <c r="L12" s="136"/>
      <c r="M12" s="269"/>
      <c r="N12" s="153"/>
      <c r="O12" s="153"/>
      <c r="P12" s="80" t="s">
        <v>8</v>
      </c>
      <c r="Q12" s="148" t="s">
        <v>7</v>
      </c>
      <c r="R12" s="82" t="e">
        <f t="shared" ca="1" si="1"/>
        <v>#VALUE!</v>
      </c>
      <c r="S12" s="251">
        <v>11732000</v>
      </c>
      <c r="T12" s="83"/>
      <c r="U12" s="83"/>
      <c r="V12" s="16"/>
      <c r="W12" s="26"/>
      <c r="X12" s="26"/>
      <c r="Y12" s="26"/>
      <c r="Z12" s="6"/>
      <c r="AA12" s="296"/>
      <c r="AB12" s="26"/>
      <c r="AC12" s="26"/>
      <c r="AD12" s="26"/>
      <c r="AE12" s="141"/>
      <c r="AF12" s="18">
        <f t="shared" si="5"/>
        <v>0</v>
      </c>
      <c r="AG12" s="16">
        <f t="shared" si="6"/>
        <v>0</v>
      </c>
      <c r="AH12" s="271">
        <f t="shared" si="2"/>
        <v>0</v>
      </c>
      <c r="AI12" s="91">
        <f t="shared" si="7"/>
        <v>0</v>
      </c>
      <c r="AJ12" s="134">
        <v>0.26</v>
      </c>
      <c r="AK12" s="154">
        <f t="shared" si="3"/>
        <v>0</v>
      </c>
      <c r="AL12" s="155">
        <f t="shared" si="4"/>
        <v>0</v>
      </c>
      <c r="AM12" s="17">
        <f t="shared" si="8"/>
        <v>0</v>
      </c>
      <c r="AN12" s="273">
        <f t="shared" si="9"/>
        <v>0</v>
      </c>
      <c r="AO12" s="56">
        <f t="shared" si="10"/>
        <v>0</v>
      </c>
    </row>
    <row r="13" spans="1:47" s="3" customFormat="1" ht="30" customHeight="1" x14ac:dyDescent="0.25">
      <c r="A13" s="124">
        <v>171</v>
      </c>
      <c r="B13" s="97" t="s">
        <v>65</v>
      </c>
      <c r="C13" s="95" t="s">
        <v>65</v>
      </c>
      <c r="D13" s="90" t="s">
        <v>34</v>
      </c>
      <c r="E13" s="71">
        <v>19</v>
      </c>
      <c r="F13" s="72" t="s">
        <v>16</v>
      </c>
      <c r="G13" s="98" t="s">
        <v>133</v>
      </c>
      <c r="H13" s="184"/>
      <c r="I13" s="70"/>
      <c r="J13" s="75"/>
      <c r="K13" s="74"/>
      <c r="L13" s="99"/>
      <c r="M13" s="150"/>
      <c r="N13" s="150"/>
      <c r="O13" s="150"/>
      <c r="P13" s="72" t="s">
        <v>8</v>
      </c>
      <c r="Q13" s="149" t="s">
        <v>31</v>
      </c>
      <c r="R13" s="76" t="e">
        <f t="shared" ca="1" si="1"/>
        <v>#VALUE!</v>
      </c>
      <c r="S13" s="90">
        <v>10752700</v>
      </c>
      <c r="T13" s="77"/>
      <c r="U13" s="77"/>
      <c r="V13" s="16"/>
      <c r="W13" s="27"/>
      <c r="X13" s="27"/>
      <c r="Y13" s="27"/>
      <c r="Z13" s="8"/>
      <c r="AA13" s="295"/>
      <c r="AB13" s="27"/>
      <c r="AC13" s="29"/>
      <c r="AD13" s="29"/>
      <c r="AE13" s="141"/>
      <c r="AF13" s="18">
        <f t="shared" si="5"/>
        <v>0</v>
      </c>
      <c r="AG13" s="16">
        <f t="shared" si="6"/>
        <v>0</v>
      </c>
      <c r="AH13" s="307">
        <f t="shared" si="2"/>
        <v>0</v>
      </c>
      <c r="AI13" s="91">
        <f t="shared" si="7"/>
        <v>0</v>
      </c>
      <c r="AJ13" s="132">
        <v>0.26</v>
      </c>
      <c r="AK13" s="151">
        <f t="shared" si="3"/>
        <v>0</v>
      </c>
      <c r="AL13" s="152">
        <f t="shared" si="4"/>
        <v>0</v>
      </c>
      <c r="AM13" s="17">
        <f t="shared" si="8"/>
        <v>0</v>
      </c>
      <c r="AN13" s="274">
        <f t="shared" si="9"/>
        <v>0</v>
      </c>
      <c r="AO13" s="56">
        <f t="shared" si="10"/>
        <v>0</v>
      </c>
    </row>
    <row r="14" spans="1:47" s="3" customFormat="1" ht="30" customHeight="1" x14ac:dyDescent="0.25">
      <c r="A14" s="122">
        <v>173</v>
      </c>
      <c r="B14" s="93" t="s">
        <v>45</v>
      </c>
      <c r="C14" s="93" t="s">
        <v>45</v>
      </c>
      <c r="D14" s="88" t="s">
        <v>30</v>
      </c>
      <c r="E14" s="50">
        <v>69</v>
      </c>
      <c r="F14" s="14" t="s">
        <v>11</v>
      </c>
      <c r="G14" s="69" t="s">
        <v>134</v>
      </c>
      <c r="H14" s="180"/>
      <c r="I14" s="48"/>
      <c r="J14" s="159"/>
      <c r="K14" s="160"/>
      <c r="L14" s="100"/>
      <c r="M14" s="135"/>
      <c r="N14" s="135"/>
      <c r="O14" s="135"/>
      <c r="P14" s="14" t="s">
        <v>8</v>
      </c>
      <c r="Q14" s="161" t="s">
        <v>31</v>
      </c>
      <c r="R14" s="45" t="e">
        <f t="shared" ca="1" si="1"/>
        <v>#VALUE!</v>
      </c>
      <c r="S14" s="88">
        <v>10559500</v>
      </c>
      <c r="T14" s="52"/>
      <c r="U14" s="52"/>
      <c r="V14" s="16"/>
      <c r="W14" s="16"/>
      <c r="X14" s="16"/>
      <c r="Y14" s="16"/>
      <c r="Z14" s="4"/>
      <c r="AA14" s="137"/>
      <c r="AB14" s="304"/>
      <c r="AC14" s="16"/>
      <c r="AD14" s="16"/>
      <c r="AE14" s="141">
        <v>14664</v>
      </c>
      <c r="AF14" s="18">
        <f t="shared" si="5"/>
        <v>1492.568064</v>
      </c>
      <c r="AG14" s="16">
        <f t="shared" si="6"/>
        <v>0</v>
      </c>
      <c r="AH14" s="56">
        <f t="shared" si="2"/>
        <v>1492.568064</v>
      </c>
      <c r="AI14" s="91">
        <f t="shared" si="7"/>
        <v>13171.431936000001</v>
      </c>
      <c r="AJ14" s="132">
        <v>0.26</v>
      </c>
      <c r="AK14" s="17">
        <f t="shared" si="3"/>
        <v>0</v>
      </c>
      <c r="AL14" s="92">
        <f t="shared" si="4"/>
        <v>0</v>
      </c>
      <c r="AM14" s="17">
        <f t="shared" si="8"/>
        <v>439.91999999999996</v>
      </c>
      <c r="AN14" s="91">
        <f t="shared" si="9"/>
        <v>439.91999999999996</v>
      </c>
      <c r="AO14" s="56">
        <f t="shared" si="10"/>
        <v>15103.92</v>
      </c>
    </row>
    <row r="15" spans="1:47" s="3" customFormat="1" ht="30" customHeight="1" thickBot="1" x14ac:dyDescent="0.3">
      <c r="A15" s="123">
        <v>173</v>
      </c>
      <c r="B15" s="94" t="s">
        <v>45</v>
      </c>
      <c r="C15" s="94" t="s">
        <v>45</v>
      </c>
      <c r="D15" s="294" t="s">
        <v>122</v>
      </c>
      <c r="E15" s="79">
        <v>21</v>
      </c>
      <c r="F15" s="80" t="s">
        <v>121</v>
      </c>
      <c r="G15" s="156" t="s">
        <v>135</v>
      </c>
      <c r="H15" s="185"/>
      <c r="I15" s="107"/>
      <c r="J15" s="140"/>
      <c r="K15" s="140"/>
      <c r="L15" s="128"/>
      <c r="M15" s="153"/>
      <c r="N15" s="153"/>
      <c r="O15" s="153"/>
      <c r="P15" s="139" t="s">
        <v>8</v>
      </c>
      <c r="Q15" s="148" t="s">
        <v>31</v>
      </c>
      <c r="R15" s="82" t="e">
        <f t="shared" ca="1" si="1"/>
        <v>#VALUE!</v>
      </c>
      <c r="S15" s="89">
        <v>11310500</v>
      </c>
      <c r="T15" s="83"/>
      <c r="U15" s="83"/>
      <c r="V15" s="16"/>
      <c r="W15" s="26"/>
      <c r="X15" s="26"/>
      <c r="Y15" s="26"/>
      <c r="Z15" s="5"/>
      <c r="AA15" s="137"/>
      <c r="AB15" s="23"/>
      <c r="AC15" s="26"/>
      <c r="AD15" s="26"/>
      <c r="AE15" s="141">
        <v>19706.8</v>
      </c>
      <c r="AF15" s="18">
        <f t="shared" si="5"/>
        <v>2541.3754880000001</v>
      </c>
      <c r="AG15" s="16"/>
      <c r="AH15" s="271">
        <f t="shared" si="2"/>
        <v>2541.3754880000001</v>
      </c>
      <c r="AI15" s="91">
        <f t="shared" si="7"/>
        <v>17165.424511999998</v>
      </c>
      <c r="AJ15" s="134">
        <v>0.26</v>
      </c>
      <c r="AK15" s="154">
        <f t="shared" si="3"/>
        <v>0</v>
      </c>
      <c r="AL15" s="155">
        <f t="shared" si="4"/>
        <v>0</v>
      </c>
      <c r="AM15" s="17">
        <f t="shared" si="8"/>
        <v>591.20399999999995</v>
      </c>
      <c r="AN15" s="273">
        <f t="shared" si="9"/>
        <v>591.20399999999995</v>
      </c>
      <c r="AO15" s="56">
        <f t="shared" si="10"/>
        <v>20298.004000000001</v>
      </c>
    </row>
    <row r="16" spans="1:47" s="3" customFormat="1" ht="30" customHeight="1" x14ac:dyDescent="0.2">
      <c r="A16" s="124">
        <v>174</v>
      </c>
      <c r="B16" s="117" t="s">
        <v>46</v>
      </c>
      <c r="C16" s="95" t="s">
        <v>46</v>
      </c>
      <c r="D16" s="90" t="s">
        <v>35</v>
      </c>
      <c r="E16" s="71">
        <v>23</v>
      </c>
      <c r="F16" s="72" t="s">
        <v>10</v>
      </c>
      <c r="G16" s="98" t="s">
        <v>136</v>
      </c>
      <c r="H16" s="184"/>
      <c r="I16" s="106"/>
      <c r="J16" s="75"/>
      <c r="K16" s="74"/>
      <c r="L16" s="99"/>
      <c r="M16" s="150"/>
      <c r="N16" s="150"/>
      <c r="O16" s="150"/>
      <c r="P16" s="72" t="s">
        <v>8</v>
      </c>
      <c r="Q16" s="149" t="s">
        <v>7</v>
      </c>
      <c r="R16" s="76" t="e">
        <f t="shared" ca="1" si="1"/>
        <v>#VALUE!</v>
      </c>
      <c r="S16" s="90">
        <v>10635300</v>
      </c>
      <c r="T16" s="77"/>
      <c r="U16" s="77"/>
      <c r="V16" s="16"/>
      <c r="W16" s="29"/>
      <c r="X16" s="29"/>
      <c r="Y16" s="29"/>
      <c r="Z16" s="7"/>
      <c r="AA16" s="137"/>
      <c r="AB16" s="29"/>
      <c r="AC16" s="29"/>
      <c r="AD16" s="29"/>
      <c r="AE16" s="141">
        <v>80000</v>
      </c>
      <c r="AF16" s="18">
        <f t="shared" si="5"/>
        <v>18466.987000000001</v>
      </c>
      <c r="AG16" s="16"/>
      <c r="AH16" s="307">
        <f t="shared" si="2"/>
        <v>18466.987000000001</v>
      </c>
      <c r="AI16" s="91">
        <f t="shared" si="7"/>
        <v>61533.012999999999</v>
      </c>
      <c r="AJ16" s="132">
        <v>0.19</v>
      </c>
      <c r="AK16" s="151">
        <f t="shared" si="3"/>
        <v>0</v>
      </c>
      <c r="AL16" s="152">
        <f t="shared" si="4"/>
        <v>0</v>
      </c>
      <c r="AM16" s="17">
        <f t="shared" si="8"/>
        <v>2400</v>
      </c>
      <c r="AN16" s="274">
        <f t="shared" si="9"/>
        <v>2400</v>
      </c>
      <c r="AO16" s="56">
        <f t="shared" si="10"/>
        <v>82400</v>
      </c>
    </row>
    <row r="17" spans="1:41" s="3" customFormat="1" ht="30" customHeight="1" x14ac:dyDescent="0.25">
      <c r="A17" s="122">
        <v>175</v>
      </c>
      <c r="B17" s="93" t="s">
        <v>47</v>
      </c>
      <c r="C17" s="93" t="s">
        <v>47</v>
      </c>
      <c r="D17" s="88" t="s">
        <v>19</v>
      </c>
      <c r="E17" s="50">
        <v>25</v>
      </c>
      <c r="F17" s="14" t="s">
        <v>11</v>
      </c>
      <c r="G17" s="67" t="s">
        <v>137</v>
      </c>
      <c r="H17" s="180"/>
      <c r="I17" s="44"/>
      <c r="J17" s="31"/>
      <c r="K17" s="30"/>
      <c r="L17" s="100"/>
      <c r="M17" s="135"/>
      <c r="N17" s="135"/>
      <c r="O17" s="135"/>
      <c r="P17" s="14" t="s">
        <v>8</v>
      </c>
      <c r="Q17" s="147" t="s">
        <v>7</v>
      </c>
      <c r="R17" s="45" t="e">
        <f t="shared" ca="1" si="1"/>
        <v>#VALUE!</v>
      </c>
      <c r="S17" s="88">
        <v>10748400</v>
      </c>
      <c r="T17" s="52"/>
      <c r="U17" s="52"/>
      <c r="V17" s="16"/>
      <c r="W17" s="16"/>
      <c r="X17" s="16"/>
      <c r="Y17" s="16"/>
      <c r="Z17" s="2"/>
      <c r="AA17" s="137"/>
      <c r="AB17" s="304"/>
      <c r="AC17" s="16"/>
      <c r="AD17" s="16"/>
      <c r="AE17" s="141"/>
      <c r="AF17" s="18">
        <f t="shared" si="5"/>
        <v>0</v>
      </c>
      <c r="AG17" s="16"/>
      <c r="AH17" s="56">
        <f t="shared" si="2"/>
        <v>0</v>
      </c>
      <c r="AI17" s="91">
        <f t="shared" si="7"/>
        <v>0</v>
      </c>
      <c r="AJ17" s="131">
        <v>0.19</v>
      </c>
      <c r="AK17" s="17">
        <f t="shared" si="3"/>
        <v>0</v>
      </c>
      <c r="AL17" s="92">
        <f t="shared" si="4"/>
        <v>0</v>
      </c>
      <c r="AM17" s="17">
        <f t="shared" si="8"/>
        <v>0</v>
      </c>
      <c r="AN17" s="91">
        <f t="shared" si="9"/>
        <v>0</v>
      </c>
      <c r="AO17" s="56">
        <f t="shared" si="10"/>
        <v>0</v>
      </c>
    </row>
    <row r="18" spans="1:41" s="3" customFormat="1" ht="30" customHeight="1" x14ac:dyDescent="0.25">
      <c r="A18" s="122">
        <v>175</v>
      </c>
      <c r="B18" s="93" t="s">
        <v>47</v>
      </c>
      <c r="C18" s="93" t="s">
        <v>47</v>
      </c>
      <c r="D18" s="293" t="s">
        <v>122</v>
      </c>
      <c r="E18" s="50">
        <v>28</v>
      </c>
      <c r="F18" s="280" t="s">
        <v>121</v>
      </c>
      <c r="G18" s="281" t="s">
        <v>138</v>
      </c>
      <c r="H18" s="180"/>
      <c r="I18" s="44"/>
      <c r="J18" s="32"/>
      <c r="K18" s="15"/>
      <c r="L18" s="100"/>
      <c r="M18" s="135"/>
      <c r="N18" s="135"/>
      <c r="O18" s="135"/>
      <c r="P18" s="14" t="s">
        <v>8</v>
      </c>
      <c r="Q18" s="147" t="s">
        <v>31</v>
      </c>
      <c r="R18" s="45" t="e">
        <f t="shared" ca="1" si="1"/>
        <v>#VALUE!</v>
      </c>
      <c r="S18" s="88">
        <v>10752500</v>
      </c>
      <c r="T18" s="52"/>
      <c r="U18" s="52"/>
      <c r="V18" s="16"/>
      <c r="W18" s="16"/>
      <c r="X18" s="16"/>
      <c r="Y18" s="16"/>
      <c r="Z18" s="2"/>
      <c r="AA18" s="137"/>
      <c r="AB18" s="23"/>
      <c r="AC18" s="16"/>
      <c r="AD18" s="16"/>
      <c r="AE18" s="141"/>
      <c r="AF18" s="18">
        <f t="shared" si="5"/>
        <v>0</v>
      </c>
      <c r="AG18" s="16"/>
      <c r="AH18" s="56">
        <f t="shared" si="2"/>
        <v>0</v>
      </c>
      <c r="AI18" s="91">
        <f t="shared" si="7"/>
        <v>0</v>
      </c>
      <c r="AJ18" s="131">
        <v>0.26</v>
      </c>
      <c r="AK18" s="17">
        <f t="shared" si="3"/>
        <v>0</v>
      </c>
      <c r="AL18" s="92">
        <f t="shared" si="4"/>
        <v>0</v>
      </c>
      <c r="AM18" s="17">
        <f t="shared" si="8"/>
        <v>0</v>
      </c>
      <c r="AN18" s="91">
        <f t="shared" si="9"/>
        <v>0</v>
      </c>
      <c r="AO18" s="56">
        <f t="shared" si="10"/>
        <v>0</v>
      </c>
    </row>
    <row r="19" spans="1:41" s="205" customFormat="1" ht="30" customHeight="1" x14ac:dyDescent="0.25">
      <c r="A19" s="186">
        <v>177</v>
      </c>
      <c r="B19" s="175" t="s">
        <v>100</v>
      </c>
      <c r="C19" s="175" t="s">
        <v>100</v>
      </c>
      <c r="D19" s="189" t="s">
        <v>101</v>
      </c>
      <c r="E19" s="190">
        <v>27</v>
      </c>
      <c r="F19" s="191" t="s">
        <v>11</v>
      </c>
      <c r="G19" s="192" t="s">
        <v>102</v>
      </c>
      <c r="H19" s="193"/>
      <c r="I19" s="194"/>
      <c r="J19" s="195"/>
      <c r="K19" s="193"/>
      <c r="L19" s="175"/>
      <c r="M19" s="196"/>
      <c r="N19" s="197"/>
      <c r="O19" s="191"/>
      <c r="P19" s="198" t="s">
        <v>31</v>
      </c>
      <c r="Q19" s="193" t="s">
        <v>31</v>
      </c>
      <c r="R19" s="199" t="e">
        <f t="shared" ca="1" si="1"/>
        <v>#VALUE!</v>
      </c>
      <c r="S19" s="249">
        <v>6163300</v>
      </c>
      <c r="T19" s="200"/>
      <c r="U19" s="52"/>
      <c r="V19" s="16"/>
      <c r="W19" s="130"/>
      <c r="X19" s="130"/>
      <c r="Y19" s="130"/>
      <c r="Z19" s="201"/>
      <c r="AA19" s="137"/>
      <c r="AB19" s="304"/>
      <c r="AC19" s="16"/>
      <c r="AD19" s="16"/>
      <c r="AE19" s="141"/>
      <c r="AF19" s="18">
        <f t="shared" si="5"/>
        <v>0</v>
      </c>
      <c r="AG19" s="16">
        <f t="shared" ref="AG19:AG24" si="11">V19*13%</f>
        <v>0</v>
      </c>
      <c r="AH19" s="56">
        <f t="shared" si="2"/>
        <v>0</v>
      </c>
      <c r="AI19" s="91">
        <f t="shared" si="7"/>
        <v>0</v>
      </c>
      <c r="AJ19" s="202">
        <v>0.26</v>
      </c>
      <c r="AK19" s="203">
        <f t="shared" si="3"/>
        <v>0</v>
      </c>
      <c r="AL19" s="204">
        <f t="shared" si="4"/>
        <v>0</v>
      </c>
      <c r="AM19" s="17">
        <f t="shared" si="8"/>
        <v>0</v>
      </c>
      <c r="AN19" s="91">
        <f t="shared" si="9"/>
        <v>0</v>
      </c>
      <c r="AO19" s="56">
        <f t="shared" si="10"/>
        <v>0</v>
      </c>
    </row>
    <row r="20" spans="1:41" s="3" customFormat="1" ht="30" customHeight="1" thickBot="1" x14ac:dyDescent="0.3">
      <c r="A20" s="182" t="s">
        <v>103</v>
      </c>
      <c r="B20" s="175" t="s">
        <v>100</v>
      </c>
      <c r="C20" s="175" t="s">
        <v>100</v>
      </c>
      <c r="D20" s="294" t="s">
        <v>122</v>
      </c>
      <c r="E20" s="50">
        <v>6</v>
      </c>
      <c r="F20" s="278" t="s">
        <v>121</v>
      </c>
      <c r="G20" s="281" t="s">
        <v>139</v>
      </c>
      <c r="H20" s="185"/>
      <c r="I20" s="78"/>
      <c r="J20" s="299"/>
      <c r="K20" s="300"/>
      <c r="L20" s="102"/>
      <c r="M20" s="153"/>
      <c r="N20" s="153"/>
      <c r="O20" s="153"/>
      <c r="P20" s="80" t="s">
        <v>8</v>
      </c>
      <c r="Q20" s="148" t="s">
        <v>7</v>
      </c>
      <c r="R20" s="82" t="e">
        <f t="shared" ca="1" si="1"/>
        <v>#VALUE!</v>
      </c>
      <c r="S20" s="89">
        <v>10769600</v>
      </c>
      <c r="T20" s="83"/>
      <c r="U20" s="83"/>
      <c r="V20" s="16"/>
      <c r="W20" s="26"/>
      <c r="X20" s="26"/>
      <c r="Y20" s="26"/>
      <c r="Z20" s="6"/>
      <c r="AA20" s="296"/>
      <c r="AB20" s="298"/>
      <c r="AC20" s="26"/>
      <c r="AD20" s="26"/>
      <c r="AE20" s="141">
        <v>41457.800000000003</v>
      </c>
      <c r="AF20" s="18">
        <f t="shared" si="5"/>
        <v>7408.1697600000007</v>
      </c>
      <c r="AG20" s="16">
        <f t="shared" si="11"/>
        <v>0</v>
      </c>
      <c r="AH20" s="271">
        <f t="shared" si="2"/>
        <v>7408.1697600000007</v>
      </c>
      <c r="AI20" s="91">
        <f t="shared" si="7"/>
        <v>34049.630239999999</v>
      </c>
      <c r="AJ20" s="134">
        <v>0.26</v>
      </c>
      <c r="AK20" s="154">
        <f t="shared" si="3"/>
        <v>0</v>
      </c>
      <c r="AL20" s="155">
        <f t="shared" si="4"/>
        <v>0</v>
      </c>
      <c r="AM20" s="17">
        <f t="shared" si="8"/>
        <v>1243.7340000000002</v>
      </c>
      <c r="AN20" s="273">
        <f t="shared" si="9"/>
        <v>1243.7340000000002</v>
      </c>
      <c r="AO20" s="56">
        <f t="shared" si="10"/>
        <v>42701.534</v>
      </c>
    </row>
    <row r="21" spans="1:41" s="3" customFormat="1" ht="30" customHeight="1" x14ac:dyDescent="0.25">
      <c r="A21" s="124">
        <v>178</v>
      </c>
      <c r="B21" s="118" t="s">
        <v>67</v>
      </c>
      <c r="C21" s="95" t="s">
        <v>49</v>
      </c>
      <c r="D21" s="90" t="s">
        <v>36</v>
      </c>
      <c r="E21" s="71">
        <v>32</v>
      </c>
      <c r="F21" s="72" t="s">
        <v>10</v>
      </c>
      <c r="G21" s="108" t="s">
        <v>140</v>
      </c>
      <c r="H21" s="184"/>
      <c r="I21" s="106"/>
      <c r="J21" s="75"/>
      <c r="K21" s="74"/>
      <c r="L21" s="99"/>
      <c r="M21" s="150"/>
      <c r="N21" s="150"/>
      <c r="O21" s="150"/>
      <c r="P21" s="72" t="s">
        <v>8</v>
      </c>
      <c r="Q21" s="149" t="s">
        <v>31</v>
      </c>
      <c r="R21" s="76" t="e">
        <f t="shared" ca="1" si="1"/>
        <v>#VALUE!</v>
      </c>
      <c r="S21" s="90">
        <v>10789700</v>
      </c>
      <c r="T21" s="77"/>
      <c r="U21" s="77"/>
      <c r="V21" s="16"/>
      <c r="W21" s="29"/>
      <c r="X21" s="29"/>
      <c r="Y21" s="29"/>
      <c r="Z21" s="7"/>
      <c r="AA21" s="295"/>
      <c r="AB21" s="29"/>
      <c r="AC21" s="29"/>
      <c r="AD21" s="29"/>
      <c r="AE21" s="141"/>
      <c r="AF21" s="18">
        <f t="shared" si="5"/>
        <v>0</v>
      </c>
      <c r="AG21" s="16">
        <f t="shared" si="11"/>
        <v>0</v>
      </c>
      <c r="AH21" s="307">
        <f t="shared" si="2"/>
        <v>0</v>
      </c>
      <c r="AI21" s="91">
        <f t="shared" si="7"/>
        <v>0</v>
      </c>
      <c r="AJ21" s="132">
        <v>0.26</v>
      </c>
      <c r="AK21" s="151">
        <f t="shared" si="3"/>
        <v>0</v>
      </c>
      <c r="AL21" s="152">
        <f t="shared" si="4"/>
        <v>0</v>
      </c>
      <c r="AM21" s="17">
        <f t="shared" si="8"/>
        <v>0</v>
      </c>
      <c r="AN21" s="274">
        <f t="shared" si="9"/>
        <v>0</v>
      </c>
      <c r="AO21" s="56">
        <f t="shared" si="10"/>
        <v>0</v>
      </c>
    </row>
    <row r="22" spans="1:41" s="3" customFormat="1" ht="30" customHeight="1" x14ac:dyDescent="0.25">
      <c r="A22" s="122">
        <v>179</v>
      </c>
      <c r="B22" s="93" t="s">
        <v>51</v>
      </c>
      <c r="C22" s="93" t="s">
        <v>51</v>
      </c>
      <c r="D22" s="88" t="s">
        <v>20</v>
      </c>
      <c r="E22" s="50">
        <v>34</v>
      </c>
      <c r="F22" s="14" t="s">
        <v>11</v>
      </c>
      <c r="G22" s="67" t="s">
        <v>141</v>
      </c>
      <c r="H22" s="180"/>
      <c r="I22" s="44"/>
      <c r="J22" s="32"/>
      <c r="K22" s="15"/>
      <c r="L22" s="100"/>
      <c r="M22" s="135"/>
      <c r="N22" s="135"/>
      <c r="O22" s="135"/>
      <c r="P22" s="14" t="s">
        <v>8</v>
      </c>
      <c r="Q22" s="147" t="s">
        <v>7</v>
      </c>
      <c r="R22" s="45" t="e">
        <f t="shared" ca="1" si="1"/>
        <v>#VALUE!</v>
      </c>
      <c r="S22" s="88">
        <v>7170400</v>
      </c>
      <c r="T22" s="52"/>
      <c r="U22" s="52"/>
      <c r="V22" s="16"/>
      <c r="W22" s="16"/>
      <c r="X22" s="16"/>
      <c r="Y22" s="16"/>
      <c r="Z22" s="4"/>
      <c r="AA22" s="137"/>
      <c r="AB22" s="304"/>
      <c r="AC22" s="16"/>
      <c r="AD22" s="16"/>
      <c r="AE22" s="141">
        <v>18648</v>
      </c>
      <c r="AF22" s="18">
        <f t="shared" si="5"/>
        <v>2315.2158079999999</v>
      </c>
      <c r="AG22" s="16">
        <f t="shared" si="11"/>
        <v>0</v>
      </c>
      <c r="AH22" s="56">
        <f t="shared" si="2"/>
        <v>2315.2158079999999</v>
      </c>
      <c r="AI22" s="91">
        <f t="shared" si="7"/>
        <v>16332.784191999999</v>
      </c>
      <c r="AJ22" s="131">
        <v>0.19</v>
      </c>
      <c r="AK22" s="17">
        <f t="shared" si="3"/>
        <v>0</v>
      </c>
      <c r="AL22" s="92">
        <f t="shared" si="4"/>
        <v>0</v>
      </c>
      <c r="AM22" s="17">
        <f t="shared" si="8"/>
        <v>559.43999999999994</v>
      </c>
      <c r="AN22" s="91">
        <f t="shared" si="9"/>
        <v>559.43999999999994</v>
      </c>
      <c r="AO22" s="56">
        <f t="shared" si="10"/>
        <v>19207.439999999999</v>
      </c>
    </row>
    <row r="23" spans="1:41" s="3" customFormat="1" ht="30" customHeight="1" x14ac:dyDescent="0.25">
      <c r="A23" s="122">
        <v>180</v>
      </c>
      <c r="B23" s="93" t="s">
        <v>50</v>
      </c>
      <c r="C23" s="93" t="s">
        <v>50</v>
      </c>
      <c r="D23" s="88" t="s">
        <v>21</v>
      </c>
      <c r="E23" s="50">
        <v>35</v>
      </c>
      <c r="F23" s="14" t="s">
        <v>11</v>
      </c>
      <c r="G23" s="67" t="s">
        <v>142</v>
      </c>
      <c r="H23" s="180"/>
      <c r="I23" s="44"/>
      <c r="J23" s="142"/>
      <c r="K23" s="57"/>
      <c r="L23" s="100"/>
      <c r="M23" s="135"/>
      <c r="N23" s="135"/>
      <c r="O23" s="135"/>
      <c r="P23" s="14" t="s">
        <v>8</v>
      </c>
      <c r="Q23" s="147" t="s">
        <v>31</v>
      </c>
      <c r="R23" s="45" t="e">
        <f t="shared" ca="1" si="1"/>
        <v>#VALUE!</v>
      </c>
      <c r="S23" s="88"/>
      <c r="T23" s="52"/>
      <c r="U23" s="52"/>
      <c r="V23" s="16"/>
      <c r="W23" s="16"/>
      <c r="X23" s="16"/>
      <c r="Y23" s="16"/>
      <c r="Z23" s="4"/>
      <c r="AA23" s="137"/>
      <c r="AB23" s="304"/>
      <c r="AC23" s="16"/>
      <c r="AD23" s="16"/>
      <c r="AE23" s="141">
        <v>18648</v>
      </c>
      <c r="AF23" s="18">
        <f t="shared" si="5"/>
        <v>2315.2158079999999</v>
      </c>
      <c r="AG23" s="16">
        <f t="shared" si="11"/>
        <v>0</v>
      </c>
      <c r="AH23" s="56">
        <f t="shared" si="2"/>
        <v>2315.2158079999999</v>
      </c>
      <c r="AI23" s="91">
        <f t="shared" si="7"/>
        <v>16332.784191999999</v>
      </c>
      <c r="AJ23" s="131">
        <v>0.26</v>
      </c>
      <c r="AK23" s="17">
        <f t="shared" si="3"/>
        <v>0</v>
      </c>
      <c r="AL23" s="92">
        <f t="shared" si="4"/>
        <v>0</v>
      </c>
      <c r="AM23" s="17">
        <f t="shared" si="8"/>
        <v>559.43999999999994</v>
      </c>
      <c r="AN23" s="91">
        <f t="shared" si="9"/>
        <v>559.43999999999994</v>
      </c>
      <c r="AO23" s="56">
        <f t="shared" si="10"/>
        <v>19207.439999999999</v>
      </c>
    </row>
    <row r="24" spans="1:41" s="3" customFormat="1" ht="30" customHeight="1" thickBot="1" x14ac:dyDescent="0.3">
      <c r="A24" s="187" t="s">
        <v>104</v>
      </c>
      <c r="B24" s="94" t="s">
        <v>50</v>
      </c>
      <c r="C24" s="94" t="s">
        <v>50</v>
      </c>
      <c r="D24" s="294" t="s">
        <v>122</v>
      </c>
      <c r="E24" s="79">
        <v>44</v>
      </c>
      <c r="F24" s="278" t="s">
        <v>121</v>
      </c>
      <c r="G24" s="301" t="s">
        <v>143</v>
      </c>
      <c r="H24" s="185"/>
      <c r="I24" s="213"/>
      <c r="J24" s="260"/>
      <c r="K24" s="277"/>
      <c r="L24" s="260"/>
      <c r="M24" s="269"/>
      <c r="N24" s="153"/>
      <c r="O24" s="153"/>
      <c r="P24" s="80" t="s">
        <v>8</v>
      </c>
      <c r="Q24" s="148" t="s">
        <v>31</v>
      </c>
      <c r="R24" s="82" t="e">
        <f t="shared" ca="1" si="1"/>
        <v>#VALUE!</v>
      </c>
      <c r="S24" s="89">
        <v>11164300</v>
      </c>
      <c r="T24" s="83"/>
      <c r="U24" s="83"/>
      <c r="V24" s="16"/>
      <c r="W24" s="26"/>
      <c r="X24" s="26"/>
      <c r="Y24" s="26"/>
      <c r="Z24" s="5"/>
      <c r="AA24" s="296"/>
      <c r="AB24" s="298"/>
      <c r="AC24" s="26"/>
      <c r="AD24" s="26"/>
      <c r="AE24" s="141"/>
      <c r="AF24" s="18">
        <f t="shared" si="5"/>
        <v>0</v>
      </c>
      <c r="AG24" s="16">
        <f t="shared" si="11"/>
        <v>0</v>
      </c>
      <c r="AH24" s="271">
        <f t="shared" si="2"/>
        <v>0</v>
      </c>
      <c r="AI24" s="91">
        <f t="shared" si="7"/>
        <v>0</v>
      </c>
      <c r="AJ24" s="183">
        <v>0.26</v>
      </c>
      <c r="AK24" s="154">
        <f t="shared" si="3"/>
        <v>0</v>
      </c>
      <c r="AL24" s="155">
        <f t="shared" si="4"/>
        <v>0</v>
      </c>
      <c r="AM24" s="17">
        <f t="shared" si="8"/>
        <v>0</v>
      </c>
      <c r="AN24" s="273">
        <f t="shared" si="9"/>
        <v>0</v>
      </c>
      <c r="AO24" s="56">
        <f t="shared" si="10"/>
        <v>0</v>
      </c>
    </row>
    <row r="25" spans="1:41" s="3" customFormat="1" ht="30" customHeight="1" thickBot="1" x14ac:dyDescent="0.3">
      <c r="A25" s="124">
        <v>182</v>
      </c>
      <c r="B25" s="97" t="s">
        <v>69</v>
      </c>
      <c r="C25" s="95" t="s">
        <v>52</v>
      </c>
      <c r="D25" s="90" t="s">
        <v>37</v>
      </c>
      <c r="E25" s="71">
        <v>41</v>
      </c>
      <c r="F25" s="72" t="s">
        <v>10</v>
      </c>
      <c r="G25" s="108" t="s">
        <v>144</v>
      </c>
      <c r="H25" s="180"/>
      <c r="I25" s="106"/>
      <c r="J25" s="275"/>
      <c r="K25" s="276"/>
      <c r="L25" s="263"/>
      <c r="M25" s="135"/>
      <c r="N25" s="135">
        <v>44682</v>
      </c>
      <c r="O25" s="135"/>
      <c r="P25" s="51" t="s">
        <v>8</v>
      </c>
      <c r="Q25" s="147" t="s">
        <v>31</v>
      </c>
      <c r="R25" s="82" t="e">
        <f t="shared" ca="1" si="1"/>
        <v>#VALUE!</v>
      </c>
      <c r="S25" s="88">
        <v>6147400</v>
      </c>
      <c r="T25" s="77"/>
      <c r="U25" s="77"/>
      <c r="V25" s="16"/>
      <c r="W25" s="29"/>
      <c r="X25" s="29"/>
      <c r="Y25" s="29"/>
      <c r="Z25" s="7"/>
      <c r="AA25" s="295"/>
      <c r="AB25" s="29"/>
      <c r="AC25" s="29"/>
      <c r="AD25" s="29"/>
      <c r="AE25" s="141">
        <v>18648</v>
      </c>
      <c r="AF25" s="18">
        <f t="shared" si="5"/>
        <v>2315.2158079999999</v>
      </c>
      <c r="AG25" s="16">
        <f t="shared" ref="AG25:AG66" si="12">AE25*13%</f>
        <v>2424.2400000000002</v>
      </c>
      <c r="AH25" s="307">
        <f t="shared" si="2"/>
        <v>4739.4558080000006</v>
      </c>
      <c r="AI25" s="91">
        <f t="shared" si="7"/>
        <v>13908.544191999999</v>
      </c>
      <c r="AJ25" s="132">
        <v>0.26</v>
      </c>
      <c r="AK25" s="151">
        <f t="shared" si="3"/>
        <v>0</v>
      </c>
      <c r="AL25" s="152">
        <f t="shared" si="4"/>
        <v>0</v>
      </c>
      <c r="AM25" s="17">
        <f t="shared" si="8"/>
        <v>559.43999999999994</v>
      </c>
      <c r="AN25" s="274">
        <f t="shared" si="9"/>
        <v>559.43999999999994</v>
      </c>
      <c r="AO25" s="56">
        <f t="shared" si="10"/>
        <v>19207.439999999999</v>
      </c>
    </row>
    <row r="26" spans="1:41" s="3" customFormat="1" ht="30" customHeight="1" x14ac:dyDescent="0.25">
      <c r="A26" s="122">
        <v>184</v>
      </c>
      <c r="B26" s="93" t="s">
        <v>53</v>
      </c>
      <c r="C26" s="93" t="s">
        <v>53</v>
      </c>
      <c r="D26" s="88" t="s">
        <v>23</v>
      </c>
      <c r="E26" s="50">
        <v>43</v>
      </c>
      <c r="F26" s="14" t="s">
        <v>11</v>
      </c>
      <c r="G26" s="67" t="s">
        <v>73</v>
      </c>
      <c r="H26" s="180"/>
      <c r="I26" s="44"/>
      <c r="J26" s="34"/>
      <c r="K26" s="36"/>
      <c r="L26" s="100"/>
      <c r="M26" s="135"/>
      <c r="N26" s="135"/>
      <c r="O26" s="135"/>
      <c r="P26" s="14" t="s">
        <v>8</v>
      </c>
      <c r="Q26" s="147" t="s">
        <v>7</v>
      </c>
      <c r="R26" s="45" t="e">
        <f t="shared" ca="1" si="1"/>
        <v>#VALUE!</v>
      </c>
      <c r="S26" s="88">
        <v>10768700</v>
      </c>
      <c r="T26" s="52"/>
      <c r="U26" s="52"/>
      <c r="V26" s="16"/>
      <c r="W26" s="16"/>
      <c r="X26" s="16"/>
      <c r="Y26" s="16"/>
      <c r="Z26" s="2"/>
      <c r="AA26" s="137"/>
      <c r="AB26" s="304"/>
      <c r="AC26" s="16"/>
      <c r="AD26" s="16"/>
      <c r="AE26" s="141"/>
      <c r="AF26" s="18">
        <f t="shared" si="5"/>
        <v>0</v>
      </c>
      <c r="AG26" s="16">
        <f t="shared" si="12"/>
        <v>0</v>
      </c>
      <c r="AH26" s="56">
        <f t="shared" si="2"/>
        <v>0</v>
      </c>
      <c r="AI26" s="91">
        <f t="shared" si="7"/>
        <v>0</v>
      </c>
      <c r="AJ26" s="131">
        <v>0.19</v>
      </c>
      <c r="AK26" s="17">
        <f t="shared" si="3"/>
        <v>0</v>
      </c>
      <c r="AL26" s="92">
        <f t="shared" si="4"/>
        <v>0</v>
      </c>
      <c r="AM26" s="17">
        <f t="shared" si="8"/>
        <v>0</v>
      </c>
      <c r="AN26" s="91">
        <f t="shared" si="9"/>
        <v>0</v>
      </c>
      <c r="AO26" s="56">
        <f t="shared" si="10"/>
        <v>0</v>
      </c>
    </row>
    <row r="27" spans="1:41" s="3" customFormat="1" ht="30" customHeight="1" x14ac:dyDescent="0.25">
      <c r="A27" s="122">
        <v>184</v>
      </c>
      <c r="B27" s="93" t="s">
        <v>53</v>
      </c>
      <c r="C27" s="93" t="s">
        <v>53</v>
      </c>
      <c r="D27" s="293" t="s">
        <v>122</v>
      </c>
      <c r="E27" s="50">
        <v>76</v>
      </c>
      <c r="F27" s="283" t="s">
        <v>121</v>
      </c>
      <c r="G27" s="284" t="s">
        <v>145</v>
      </c>
      <c r="H27" s="180"/>
      <c r="I27" s="44"/>
      <c r="J27" s="33"/>
      <c r="K27" s="28"/>
      <c r="L27" s="100"/>
      <c r="M27" s="135"/>
      <c r="N27" s="135"/>
      <c r="O27" s="135"/>
      <c r="P27" s="14" t="s">
        <v>8</v>
      </c>
      <c r="Q27" s="147" t="s">
        <v>7</v>
      </c>
      <c r="R27" s="45" t="e">
        <f t="shared" ca="1" si="1"/>
        <v>#VALUE!</v>
      </c>
      <c r="S27" s="88">
        <v>10746700</v>
      </c>
      <c r="T27" s="52"/>
      <c r="U27" s="52"/>
      <c r="V27" s="16"/>
      <c r="W27" s="16"/>
      <c r="X27" s="16"/>
      <c r="Y27" s="16"/>
      <c r="Z27" s="4"/>
      <c r="AA27" s="137"/>
      <c r="AB27" s="23"/>
      <c r="AC27" s="16"/>
      <c r="AD27" s="16"/>
      <c r="AE27" s="141">
        <v>19931.14</v>
      </c>
      <c r="AF27" s="18">
        <f t="shared" si="5"/>
        <v>2589.2945119999999</v>
      </c>
      <c r="AG27" s="16">
        <f t="shared" si="12"/>
        <v>2591.0482000000002</v>
      </c>
      <c r="AH27" s="56">
        <f t="shared" si="2"/>
        <v>5180.3427119999997</v>
      </c>
      <c r="AI27" s="91">
        <f t="shared" si="7"/>
        <v>14750.797288</v>
      </c>
      <c r="AJ27" s="131">
        <v>0.26</v>
      </c>
      <c r="AK27" s="17">
        <f t="shared" si="3"/>
        <v>0</v>
      </c>
      <c r="AL27" s="92">
        <f t="shared" si="4"/>
        <v>0</v>
      </c>
      <c r="AM27" s="17">
        <f t="shared" si="8"/>
        <v>597.93419999999992</v>
      </c>
      <c r="AN27" s="91">
        <f t="shared" si="9"/>
        <v>597.93419999999992</v>
      </c>
      <c r="AO27" s="56">
        <f t="shared" si="10"/>
        <v>20529.074199999999</v>
      </c>
    </row>
    <row r="28" spans="1:41" s="3" customFormat="1" ht="30" customHeight="1" x14ac:dyDescent="0.25">
      <c r="A28" s="122">
        <v>185</v>
      </c>
      <c r="B28" s="93" t="s">
        <v>54</v>
      </c>
      <c r="C28" s="93" t="s">
        <v>53</v>
      </c>
      <c r="D28" s="88" t="s">
        <v>22</v>
      </c>
      <c r="E28" s="50">
        <v>4</v>
      </c>
      <c r="F28" s="14" t="s">
        <v>11</v>
      </c>
      <c r="G28" s="67" t="s">
        <v>74</v>
      </c>
      <c r="H28" s="180"/>
      <c r="I28" s="44"/>
      <c r="J28" s="53"/>
      <c r="K28" s="53"/>
      <c r="L28" s="208"/>
      <c r="M28" s="268"/>
      <c r="N28" s="135"/>
      <c r="O28" s="135"/>
      <c r="P28" s="14" t="s">
        <v>8</v>
      </c>
      <c r="Q28" s="147" t="s">
        <v>7</v>
      </c>
      <c r="R28" s="45" t="e">
        <f t="shared" ca="1" si="1"/>
        <v>#VALUE!</v>
      </c>
      <c r="S28" s="88">
        <v>6147400</v>
      </c>
      <c r="T28" s="52"/>
      <c r="U28" s="52"/>
      <c r="V28" s="16"/>
      <c r="W28" s="16"/>
      <c r="X28" s="16"/>
      <c r="Y28" s="16"/>
      <c r="Z28" s="2"/>
      <c r="AA28" s="137"/>
      <c r="AB28" s="304"/>
      <c r="AC28" s="16"/>
      <c r="AD28" s="16"/>
      <c r="AE28" s="141">
        <v>14664</v>
      </c>
      <c r="AF28" s="18">
        <f t="shared" si="5"/>
        <v>1492.568064</v>
      </c>
      <c r="AG28" s="16">
        <f t="shared" si="12"/>
        <v>1906.3200000000002</v>
      </c>
      <c r="AH28" s="56">
        <f t="shared" si="2"/>
        <v>3398.8880640000002</v>
      </c>
      <c r="AI28" s="91">
        <f t="shared" si="7"/>
        <v>11265.111935999999</v>
      </c>
      <c r="AJ28" s="131">
        <v>0.26</v>
      </c>
      <c r="AK28" s="17">
        <f t="shared" si="3"/>
        <v>0</v>
      </c>
      <c r="AL28" s="92">
        <f t="shared" si="4"/>
        <v>0</v>
      </c>
      <c r="AM28" s="17">
        <f t="shared" si="8"/>
        <v>439.91999999999996</v>
      </c>
      <c r="AN28" s="91">
        <f t="shared" si="9"/>
        <v>439.91999999999996</v>
      </c>
      <c r="AO28" s="56">
        <f t="shared" si="10"/>
        <v>15103.92</v>
      </c>
    </row>
    <row r="29" spans="1:41" s="3" customFormat="1" ht="30" customHeight="1" x14ac:dyDescent="0.25">
      <c r="A29" s="122">
        <v>185</v>
      </c>
      <c r="B29" s="93" t="s">
        <v>54</v>
      </c>
      <c r="C29" s="93" t="s">
        <v>56</v>
      </c>
      <c r="D29" s="293" t="s">
        <v>122</v>
      </c>
      <c r="E29" s="50">
        <v>74</v>
      </c>
      <c r="F29" s="280" t="s">
        <v>121</v>
      </c>
      <c r="G29" s="285" t="s">
        <v>146</v>
      </c>
      <c r="H29" s="286"/>
      <c r="I29" s="194"/>
      <c r="J29" s="287"/>
      <c r="K29" s="287"/>
      <c r="L29" s="288"/>
      <c r="M29" s="289"/>
      <c r="N29" s="135"/>
      <c r="O29" s="135"/>
      <c r="P29" s="14" t="s">
        <v>8</v>
      </c>
      <c r="Q29" s="292" t="s">
        <v>31</v>
      </c>
      <c r="R29" s="45" t="e">
        <f t="shared" ca="1" si="1"/>
        <v>#VALUE!</v>
      </c>
      <c r="S29" s="290">
        <v>10538000</v>
      </c>
      <c r="T29" s="52"/>
      <c r="U29" s="52"/>
      <c r="V29" s="16"/>
      <c r="W29" s="16"/>
      <c r="X29" s="16"/>
      <c r="Y29" s="16"/>
      <c r="Z29" s="4"/>
      <c r="AA29" s="137"/>
      <c r="AB29" s="23"/>
      <c r="AC29" s="16"/>
      <c r="AD29" s="16"/>
      <c r="AE29" s="141"/>
      <c r="AF29" s="18">
        <f t="shared" si="5"/>
        <v>0</v>
      </c>
      <c r="AG29" s="16">
        <f t="shared" si="12"/>
        <v>0</v>
      </c>
      <c r="AH29" s="56">
        <f t="shared" si="2"/>
        <v>0</v>
      </c>
      <c r="AI29" s="91">
        <f t="shared" si="7"/>
        <v>0</v>
      </c>
      <c r="AJ29" s="131">
        <v>0.26</v>
      </c>
      <c r="AK29" s="17">
        <f t="shared" si="3"/>
        <v>0</v>
      </c>
      <c r="AL29" s="92">
        <f t="shared" si="4"/>
        <v>0</v>
      </c>
      <c r="AM29" s="17">
        <f t="shared" si="8"/>
        <v>0</v>
      </c>
      <c r="AN29" s="91">
        <f t="shared" si="9"/>
        <v>0</v>
      </c>
      <c r="AO29" s="56">
        <f t="shared" si="10"/>
        <v>0</v>
      </c>
    </row>
    <row r="30" spans="1:41" s="3" customFormat="1" ht="30" customHeight="1" thickBot="1" x14ac:dyDescent="0.3">
      <c r="A30" s="123">
        <v>185</v>
      </c>
      <c r="B30" s="94" t="s">
        <v>54</v>
      </c>
      <c r="C30" s="94" t="s">
        <v>68</v>
      </c>
      <c r="D30" s="294" t="s">
        <v>122</v>
      </c>
      <c r="E30" s="79">
        <v>55</v>
      </c>
      <c r="F30" s="278" t="s">
        <v>121</v>
      </c>
      <c r="G30" s="291" t="s">
        <v>147</v>
      </c>
      <c r="H30" s="185"/>
      <c r="I30" s="213"/>
      <c r="J30" s="252"/>
      <c r="K30" s="252"/>
      <c r="L30" s="136"/>
      <c r="M30" s="269"/>
      <c r="N30" s="153"/>
      <c r="O30" s="153"/>
      <c r="P30" s="80" t="s">
        <v>8</v>
      </c>
      <c r="Q30" s="148" t="s">
        <v>7</v>
      </c>
      <c r="R30" s="82" t="e">
        <f t="shared" ca="1" si="1"/>
        <v>#VALUE!</v>
      </c>
      <c r="S30" s="251">
        <v>11518600</v>
      </c>
      <c r="T30" s="83"/>
      <c r="U30" s="83"/>
      <c r="V30" s="16"/>
      <c r="W30" s="26"/>
      <c r="X30" s="26"/>
      <c r="Y30" s="26"/>
      <c r="Z30" s="6"/>
      <c r="AA30" s="296"/>
      <c r="AB30" s="26"/>
      <c r="AC30" s="26"/>
      <c r="AD30" s="26"/>
      <c r="AE30" s="141">
        <v>18648</v>
      </c>
      <c r="AF30" s="18">
        <f t="shared" si="5"/>
        <v>2315.2158079999999</v>
      </c>
      <c r="AG30" s="16">
        <f t="shared" si="12"/>
        <v>2424.2400000000002</v>
      </c>
      <c r="AH30" s="271">
        <f t="shared" si="2"/>
        <v>4739.4558080000006</v>
      </c>
      <c r="AI30" s="91">
        <f t="shared" si="7"/>
        <v>13908.544191999999</v>
      </c>
      <c r="AJ30" s="183">
        <v>0.26</v>
      </c>
      <c r="AK30" s="154">
        <f t="shared" si="3"/>
        <v>0</v>
      </c>
      <c r="AL30" s="155">
        <f t="shared" si="4"/>
        <v>0</v>
      </c>
      <c r="AM30" s="17">
        <f t="shared" si="8"/>
        <v>559.43999999999994</v>
      </c>
      <c r="AN30" s="273">
        <f t="shared" si="9"/>
        <v>559.43999999999994</v>
      </c>
      <c r="AO30" s="56">
        <f t="shared" si="10"/>
        <v>19207.439999999999</v>
      </c>
    </row>
    <row r="31" spans="1:41" s="3" customFormat="1" ht="30" customHeight="1" x14ac:dyDescent="0.25">
      <c r="A31" s="124">
        <v>186</v>
      </c>
      <c r="B31" s="119" t="s">
        <v>55</v>
      </c>
      <c r="C31" s="95" t="s">
        <v>55</v>
      </c>
      <c r="D31" s="90" t="s">
        <v>40</v>
      </c>
      <c r="E31" s="71">
        <v>47</v>
      </c>
      <c r="F31" s="72" t="s">
        <v>10</v>
      </c>
      <c r="G31" s="108" t="s">
        <v>75</v>
      </c>
      <c r="H31" s="184"/>
      <c r="I31" s="106"/>
      <c r="J31" s="109"/>
      <c r="K31" s="110"/>
      <c r="L31" s="99"/>
      <c r="M31" s="150"/>
      <c r="N31" s="150"/>
      <c r="O31" s="150"/>
      <c r="P31" s="72" t="s">
        <v>8</v>
      </c>
      <c r="Q31" s="149" t="s">
        <v>31</v>
      </c>
      <c r="R31" s="76" t="e">
        <f t="shared" ca="1" si="1"/>
        <v>#VALUE!</v>
      </c>
      <c r="S31" s="90">
        <v>10789600</v>
      </c>
      <c r="T31" s="77"/>
      <c r="U31" s="77"/>
      <c r="V31" s="16"/>
      <c r="W31" s="29"/>
      <c r="X31" s="29"/>
      <c r="Y31" s="29"/>
      <c r="Z31" s="7"/>
      <c r="AA31" s="295"/>
      <c r="AB31" s="29"/>
      <c r="AC31" s="29"/>
      <c r="AD31" s="29"/>
      <c r="AE31" s="141"/>
      <c r="AF31" s="18">
        <f t="shared" si="5"/>
        <v>0</v>
      </c>
      <c r="AG31" s="16">
        <f t="shared" si="12"/>
        <v>0</v>
      </c>
      <c r="AH31" s="307">
        <f t="shared" si="2"/>
        <v>0</v>
      </c>
      <c r="AI31" s="91">
        <f t="shared" si="7"/>
        <v>0</v>
      </c>
      <c r="AJ31" s="132">
        <v>0.26</v>
      </c>
      <c r="AK31" s="151">
        <f t="shared" si="3"/>
        <v>0</v>
      </c>
      <c r="AL31" s="152">
        <f t="shared" si="4"/>
        <v>0</v>
      </c>
      <c r="AM31" s="17">
        <f t="shared" si="8"/>
        <v>0</v>
      </c>
      <c r="AN31" s="274">
        <f t="shared" si="9"/>
        <v>0</v>
      </c>
      <c r="AO31" s="56">
        <f t="shared" si="10"/>
        <v>0</v>
      </c>
    </row>
    <row r="32" spans="1:41" s="3" customFormat="1" ht="30" customHeight="1" x14ac:dyDescent="0.25">
      <c r="A32" s="122">
        <v>188</v>
      </c>
      <c r="B32" s="93" t="s">
        <v>56</v>
      </c>
      <c r="C32" s="93" t="s">
        <v>56</v>
      </c>
      <c r="D32" s="88" t="s">
        <v>28</v>
      </c>
      <c r="E32" s="50">
        <v>48</v>
      </c>
      <c r="F32" s="35" t="s">
        <v>11</v>
      </c>
      <c r="G32" s="68" t="s">
        <v>76</v>
      </c>
      <c r="H32" s="180"/>
      <c r="I32" s="49"/>
      <c r="J32" s="53"/>
      <c r="K32" s="53"/>
      <c r="L32" s="100"/>
      <c r="M32" s="135"/>
      <c r="N32" s="135">
        <v>44593</v>
      </c>
      <c r="O32" s="135"/>
      <c r="P32" s="51" t="s">
        <v>8</v>
      </c>
      <c r="Q32" s="206" t="s">
        <v>7</v>
      </c>
      <c r="R32" s="45" t="e">
        <f t="shared" ca="1" si="1"/>
        <v>#VALUE!</v>
      </c>
      <c r="S32" s="88">
        <v>10952200</v>
      </c>
      <c r="T32" s="52"/>
      <c r="U32" s="52"/>
      <c r="V32" s="16"/>
      <c r="W32" s="23"/>
      <c r="X32" s="23"/>
      <c r="Y32" s="23"/>
      <c r="Z32" s="4"/>
      <c r="AA32" s="137"/>
      <c r="AB32" s="304"/>
      <c r="AC32" s="16"/>
      <c r="AD32" s="16"/>
      <c r="AE32" s="141"/>
      <c r="AF32" s="18">
        <f t="shared" si="5"/>
        <v>0</v>
      </c>
      <c r="AG32" s="16">
        <f t="shared" si="12"/>
        <v>0</v>
      </c>
      <c r="AH32" s="56">
        <f t="shared" si="2"/>
        <v>0</v>
      </c>
      <c r="AI32" s="91">
        <f t="shared" si="7"/>
        <v>0</v>
      </c>
      <c r="AJ32" s="131">
        <v>0.26</v>
      </c>
      <c r="AK32" s="17">
        <f t="shared" si="3"/>
        <v>0</v>
      </c>
      <c r="AL32" s="92">
        <f t="shared" si="4"/>
        <v>0</v>
      </c>
      <c r="AM32" s="17">
        <f t="shared" si="8"/>
        <v>0</v>
      </c>
      <c r="AN32" s="91">
        <f t="shared" si="9"/>
        <v>0</v>
      </c>
      <c r="AO32" s="56">
        <f t="shared" si="10"/>
        <v>0</v>
      </c>
    </row>
    <row r="33" spans="1:41" s="3" customFormat="1" ht="30" x14ac:dyDescent="0.25">
      <c r="A33" s="126" t="s">
        <v>80</v>
      </c>
      <c r="B33" s="93" t="s">
        <v>56</v>
      </c>
      <c r="C33" s="93" t="s">
        <v>107</v>
      </c>
      <c r="D33" s="293" t="s">
        <v>122</v>
      </c>
      <c r="E33" s="50">
        <v>59</v>
      </c>
      <c r="F33" s="280" t="s">
        <v>121</v>
      </c>
      <c r="G33" s="285" t="s">
        <v>148</v>
      </c>
      <c r="H33" s="180"/>
      <c r="I33" s="49"/>
      <c r="J33" s="41"/>
      <c r="K33" s="42"/>
      <c r="L33" s="100"/>
      <c r="M33" s="135"/>
      <c r="N33" s="135"/>
      <c r="O33" s="135"/>
      <c r="P33" s="14" t="s">
        <v>8</v>
      </c>
      <c r="Q33" s="147" t="s">
        <v>31</v>
      </c>
      <c r="R33" s="45" t="e">
        <f t="shared" ca="1" si="1"/>
        <v>#VALUE!</v>
      </c>
      <c r="S33" s="88">
        <v>10748600</v>
      </c>
      <c r="T33" s="52"/>
      <c r="U33" s="52"/>
      <c r="V33" s="16"/>
      <c r="W33" s="16"/>
      <c r="X33" s="16"/>
      <c r="Y33" s="16"/>
      <c r="Z33" s="4"/>
      <c r="AA33" s="137"/>
      <c r="AB33" s="23"/>
      <c r="AC33" s="16"/>
      <c r="AD33" s="16"/>
      <c r="AE33" s="141"/>
      <c r="AF33" s="18">
        <f t="shared" si="5"/>
        <v>0</v>
      </c>
      <c r="AG33" s="16">
        <f t="shared" si="12"/>
        <v>0</v>
      </c>
      <c r="AH33" s="56">
        <f t="shared" si="2"/>
        <v>0</v>
      </c>
      <c r="AI33" s="91">
        <f t="shared" si="7"/>
        <v>0</v>
      </c>
      <c r="AJ33" s="131">
        <v>0.26</v>
      </c>
      <c r="AK33" s="17">
        <f t="shared" si="3"/>
        <v>0</v>
      </c>
      <c r="AL33" s="92">
        <f t="shared" si="4"/>
        <v>0</v>
      </c>
      <c r="AM33" s="17">
        <f t="shared" si="8"/>
        <v>0</v>
      </c>
      <c r="AN33" s="91">
        <f t="shared" si="9"/>
        <v>0</v>
      </c>
      <c r="AO33" s="56">
        <f t="shared" si="10"/>
        <v>0</v>
      </c>
    </row>
    <row r="34" spans="1:41" s="3" customFormat="1" ht="30" customHeight="1" x14ac:dyDescent="0.25">
      <c r="A34" s="122">
        <v>189</v>
      </c>
      <c r="B34" s="93" t="s">
        <v>57</v>
      </c>
      <c r="C34" s="93" t="s">
        <v>57</v>
      </c>
      <c r="D34" s="88" t="s">
        <v>29</v>
      </c>
      <c r="E34" s="50">
        <v>49</v>
      </c>
      <c r="F34" s="35" t="s">
        <v>11</v>
      </c>
      <c r="G34" s="68" t="s">
        <v>77</v>
      </c>
      <c r="H34" s="180"/>
      <c r="I34" s="44"/>
      <c r="J34" s="20"/>
      <c r="K34" s="15"/>
      <c r="L34" s="100"/>
      <c r="M34" s="135"/>
      <c r="N34" s="135"/>
      <c r="O34" s="135"/>
      <c r="P34" s="19" t="s">
        <v>8</v>
      </c>
      <c r="Q34" s="147" t="s">
        <v>7</v>
      </c>
      <c r="R34" s="45" t="e">
        <f t="shared" ca="1" si="1"/>
        <v>#VALUE!</v>
      </c>
      <c r="S34" s="88">
        <v>10781400</v>
      </c>
      <c r="T34" s="52"/>
      <c r="U34" s="52"/>
      <c r="V34" s="16"/>
      <c r="W34" s="23"/>
      <c r="X34" s="23"/>
      <c r="Y34" s="23"/>
      <c r="Z34" s="4"/>
      <c r="AA34" s="137"/>
      <c r="AB34" s="304"/>
      <c r="AC34" s="16"/>
      <c r="AD34" s="16"/>
      <c r="AE34" s="141"/>
      <c r="AF34" s="18">
        <f t="shared" si="5"/>
        <v>0</v>
      </c>
      <c r="AG34" s="16">
        <f t="shared" si="12"/>
        <v>0</v>
      </c>
      <c r="AH34" s="56">
        <f t="shared" si="2"/>
        <v>0</v>
      </c>
      <c r="AI34" s="91">
        <f t="shared" si="7"/>
        <v>0</v>
      </c>
      <c r="AJ34" s="131">
        <v>0.26</v>
      </c>
      <c r="AK34" s="17">
        <f t="shared" si="3"/>
        <v>0</v>
      </c>
      <c r="AL34" s="92">
        <f t="shared" si="4"/>
        <v>0</v>
      </c>
      <c r="AM34" s="17">
        <f t="shared" si="8"/>
        <v>0</v>
      </c>
      <c r="AN34" s="91">
        <f t="shared" si="9"/>
        <v>0</v>
      </c>
      <c r="AO34" s="56">
        <f t="shared" si="10"/>
        <v>0</v>
      </c>
    </row>
    <row r="35" spans="1:41" s="3" customFormat="1" ht="30" customHeight="1" x14ac:dyDescent="0.25">
      <c r="A35" s="122">
        <v>189</v>
      </c>
      <c r="B35" s="93" t="s">
        <v>57</v>
      </c>
      <c r="C35" s="93" t="s">
        <v>57</v>
      </c>
      <c r="D35" s="293" t="s">
        <v>122</v>
      </c>
      <c r="E35" s="50">
        <v>50</v>
      </c>
      <c r="F35" s="280" t="s">
        <v>121</v>
      </c>
      <c r="G35" s="281" t="s">
        <v>149</v>
      </c>
      <c r="H35" s="180"/>
      <c r="I35" s="44"/>
      <c r="J35" s="33"/>
      <c r="K35" s="28"/>
      <c r="L35" s="100"/>
      <c r="M35" s="135"/>
      <c r="N35" s="135"/>
      <c r="O35" s="135"/>
      <c r="P35" s="14" t="s">
        <v>8</v>
      </c>
      <c r="Q35" s="147" t="s">
        <v>31</v>
      </c>
      <c r="R35" s="45" t="e">
        <f t="shared" ca="1" si="1"/>
        <v>#VALUE!</v>
      </c>
      <c r="S35" s="88">
        <v>10755600</v>
      </c>
      <c r="T35" s="52"/>
      <c r="U35" s="52"/>
      <c r="V35" s="16"/>
      <c r="W35" s="16"/>
      <c r="X35" s="16"/>
      <c r="Y35" s="16"/>
      <c r="Z35" s="2"/>
      <c r="AA35" s="137"/>
      <c r="AB35" s="23"/>
      <c r="AC35" s="16"/>
      <c r="AD35" s="16"/>
      <c r="AE35" s="141">
        <v>19931.14</v>
      </c>
      <c r="AF35" s="18">
        <f t="shared" si="5"/>
        <v>2589.2945119999999</v>
      </c>
      <c r="AG35" s="16">
        <f t="shared" si="12"/>
        <v>2591.0482000000002</v>
      </c>
      <c r="AH35" s="56">
        <f t="shared" si="2"/>
        <v>5180.3427119999997</v>
      </c>
      <c r="AI35" s="91">
        <f t="shared" si="7"/>
        <v>14750.797288</v>
      </c>
      <c r="AJ35" s="131">
        <v>0.26</v>
      </c>
      <c r="AK35" s="17">
        <f t="shared" si="3"/>
        <v>0</v>
      </c>
      <c r="AL35" s="92">
        <f t="shared" si="4"/>
        <v>0</v>
      </c>
      <c r="AM35" s="17">
        <f t="shared" si="8"/>
        <v>597.93419999999992</v>
      </c>
      <c r="AN35" s="91">
        <f t="shared" si="9"/>
        <v>597.93419999999992</v>
      </c>
      <c r="AO35" s="56">
        <f t="shared" si="10"/>
        <v>20529.074199999999</v>
      </c>
    </row>
    <row r="36" spans="1:41" s="3" customFormat="1" ht="42" customHeight="1" thickBot="1" x14ac:dyDescent="0.3">
      <c r="A36" s="123">
        <v>189</v>
      </c>
      <c r="B36" s="94" t="s">
        <v>57</v>
      </c>
      <c r="C36" s="94" t="s">
        <v>57</v>
      </c>
      <c r="D36" s="293" t="s">
        <v>122</v>
      </c>
      <c r="E36" s="79">
        <v>72</v>
      </c>
      <c r="F36" s="278" t="s">
        <v>121</v>
      </c>
      <c r="G36" s="282" t="s">
        <v>150</v>
      </c>
      <c r="H36" s="185"/>
      <c r="I36" s="105"/>
      <c r="J36" s="256"/>
      <c r="K36" s="115"/>
      <c r="L36" s="102"/>
      <c r="M36" s="269"/>
      <c r="N36" s="153"/>
      <c r="O36" s="153"/>
      <c r="P36" s="80" t="s">
        <v>8</v>
      </c>
      <c r="Q36" s="207" t="s">
        <v>31</v>
      </c>
      <c r="R36" s="82" t="e">
        <f t="shared" ca="1" si="1"/>
        <v>#VALUE!</v>
      </c>
      <c r="S36" s="210">
        <v>11517100</v>
      </c>
      <c r="T36" s="83"/>
      <c r="U36" s="52"/>
      <c r="V36" s="16"/>
      <c r="W36" s="26"/>
      <c r="X36" s="26"/>
      <c r="Y36" s="26"/>
      <c r="Z36" s="5"/>
      <c r="AA36" s="137"/>
      <c r="AB36" s="26"/>
      <c r="AC36" s="26"/>
      <c r="AD36" s="26"/>
      <c r="AE36" s="141">
        <v>41457.800000000003</v>
      </c>
      <c r="AF36" s="18">
        <f t="shared" si="5"/>
        <v>7408.1697600000007</v>
      </c>
      <c r="AG36" s="16">
        <f t="shared" si="12"/>
        <v>5389.5140000000001</v>
      </c>
      <c r="AH36" s="271">
        <f t="shared" si="2"/>
        <v>12797.68376</v>
      </c>
      <c r="AI36" s="91">
        <f t="shared" si="7"/>
        <v>28660.116240000003</v>
      </c>
      <c r="AJ36" s="183">
        <v>0.26</v>
      </c>
      <c r="AK36" s="154">
        <f t="shared" si="3"/>
        <v>0</v>
      </c>
      <c r="AL36" s="155">
        <f t="shared" si="4"/>
        <v>0</v>
      </c>
      <c r="AM36" s="17">
        <f t="shared" si="8"/>
        <v>1243.7340000000002</v>
      </c>
      <c r="AN36" s="91">
        <f t="shared" si="9"/>
        <v>1243.7340000000002</v>
      </c>
      <c r="AO36" s="56">
        <f t="shared" si="10"/>
        <v>42701.534</v>
      </c>
    </row>
    <row r="37" spans="1:41" s="3" customFormat="1" ht="30" x14ac:dyDescent="0.25">
      <c r="A37" s="124">
        <v>191</v>
      </c>
      <c r="B37" s="217" t="s">
        <v>58</v>
      </c>
      <c r="C37" s="95" t="s">
        <v>58</v>
      </c>
      <c r="D37" s="90" t="s">
        <v>39</v>
      </c>
      <c r="E37" s="71">
        <v>51</v>
      </c>
      <c r="F37" s="72" t="s">
        <v>10</v>
      </c>
      <c r="G37" s="108" t="s">
        <v>151</v>
      </c>
      <c r="H37" s="184"/>
      <c r="I37" s="106"/>
      <c r="J37" s="158"/>
      <c r="K37" s="101"/>
      <c r="L37" s="99"/>
      <c r="M37" s="270"/>
      <c r="N37" s="150"/>
      <c r="O37" s="150"/>
      <c r="P37" s="72" t="s">
        <v>8</v>
      </c>
      <c r="Q37" s="149" t="s">
        <v>7</v>
      </c>
      <c r="R37" s="76" t="e">
        <f t="shared" ca="1" si="1"/>
        <v>#VALUE!</v>
      </c>
      <c r="S37" s="90">
        <v>10753100</v>
      </c>
      <c r="T37" s="77"/>
      <c r="U37" s="52"/>
      <c r="V37" s="16"/>
      <c r="W37" s="29"/>
      <c r="X37" s="29"/>
      <c r="Y37" s="29"/>
      <c r="Z37" s="9"/>
      <c r="AA37" s="137"/>
      <c r="AB37" s="29"/>
      <c r="AC37" s="29"/>
      <c r="AD37" s="29"/>
      <c r="AE37" s="141"/>
      <c r="AF37" s="18">
        <f t="shared" si="5"/>
        <v>0</v>
      </c>
      <c r="AG37" s="16">
        <f t="shared" si="12"/>
        <v>0</v>
      </c>
      <c r="AH37" s="307">
        <f t="shared" si="2"/>
        <v>0</v>
      </c>
      <c r="AI37" s="91">
        <f t="shared" si="7"/>
        <v>0</v>
      </c>
      <c r="AJ37" s="132">
        <v>0.26</v>
      </c>
      <c r="AK37" s="151">
        <f t="shared" ref="AK37:AK56" si="13">V37*AJ37</f>
        <v>0</v>
      </c>
      <c r="AL37" s="152">
        <f t="shared" ref="AL37:AL56" si="14">V37*2%</f>
        <v>0</v>
      </c>
      <c r="AM37" s="17">
        <f t="shared" si="8"/>
        <v>0</v>
      </c>
      <c r="AN37" s="91">
        <f t="shared" si="9"/>
        <v>0</v>
      </c>
      <c r="AO37" s="56">
        <f t="shared" si="10"/>
        <v>0</v>
      </c>
    </row>
    <row r="38" spans="1:41" s="3" customFormat="1" ht="30" customHeight="1" thickBot="1" x14ac:dyDescent="0.3">
      <c r="A38" s="122">
        <v>192</v>
      </c>
      <c r="B38" s="93" t="s">
        <v>48</v>
      </c>
      <c r="C38" s="93" t="s">
        <v>48</v>
      </c>
      <c r="D38" s="89" t="s">
        <v>14</v>
      </c>
      <c r="E38" s="50">
        <v>16</v>
      </c>
      <c r="F38" s="80" t="s">
        <v>9</v>
      </c>
      <c r="G38" s="281" t="s">
        <v>152</v>
      </c>
      <c r="H38" s="185"/>
      <c r="I38" s="78"/>
      <c r="J38" s="254"/>
      <c r="K38" s="255"/>
      <c r="L38" s="102"/>
      <c r="M38" s="269"/>
      <c r="N38" s="153">
        <v>44635</v>
      </c>
      <c r="O38" s="153"/>
      <c r="P38" s="80" t="s">
        <v>8</v>
      </c>
      <c r="Q38" s="148" t="s">
        <v>7</v>
      </c>
      <c r="R38" s="82" t="e">
        <f t="shared" ca="1" si="1"/>
        <v>#VALUE!</v>
      </c>
      <c r="S38" s="89">
        <v>8332800</v>
      </c>
      <c r="T38" s="83"/>
      <c r="U38" s="52"/>
      <c r="V38" s="16"/>
      <c r="W38" s="26"/>
      <c r="X38" s="26"/>
      <c r="Y38" s="26"/>
      <c r="Z38" s="5"/>
      <c r="AA38" s="137"/>
      <c r="AB38" s="26"/>
      <c r="AC38" s="26"/>
      <c r="AD38" s="26"/>
      <c r="AE38" s="141">
        <v>14664</v>
      </c>
      <c r="AF38" s="18">
        <f t="shared" si="5"/>
        <v>1492.568064</v>
      </c>
      <c r="AG38" s="16">
        <f t="shared" si="12"/>
        <v>1906.3200000000002</v>
      </c>
      <c r="AH38" s="271">
        <f t="shared" si="2"/>
        <v>3398.8880640000002</v>
      </c>
      <c r="AI38" s="91">
        <f t="shared" si="7"/>
        <v>11265.111935999999</v>
      </c>
      <c r="AJ38" s="134">
        <v>0.26</v>
      </c>
      <c r="AK38" s="154">
        <f t="shared" si="13"/>
        <v>0</v>
      </c>
      <c r="AL38" s="155">
        <f t="shared" si="14"/>
        <v>0</v>
      </c>
      <c r="AM38" s="17">
        <f t="shared" si="8"/>
        <v>439.91999999999996</v>
      </c>
      <c r="AN38" s="91">
        <f t="shared" si="9"/>
        <v>439.91999999999996</v>
      </c>
      <c r="AO38" s="56">
        <f t="shared" si="10"/>
        <v>15103.92</v>
      </c>
    </row>
    <row r="39" spans="1:41" s="3" customFormat="1" ht="30" x14ac:dyDescent="0.25">
      <c r="A39" s="122">
        <v>192</v>
      </c>
      <c r="B39" s="93" t="s">
        <v>48</v>
      </c>
      <c r="C39" s="93" t="s">
        <v>48</v>
      </c>
      <c r="D39" s="88" t="s">
        <v>26</v>
      </c>
      <c r="E39" s="50">
        <v>5</v>
      </c>
      <c r="F39" s="14" t="s">
        <v>11</v>
      </c>
      <c r="G39" s="67" t="s">
        <v>153</v>
      </c>
      <c r="H39" s="180"/>
      <c r="I39" s="47"/>
      <c r="J39" s="20"/>
      <c r="K39" s="15"/>
      <c r="L39" s="100"/>
      <c r="M39" s="268"/>
      <c r="N39" s="135">
        <v>44635</v>
      </c>
      <c r="O39" s="135"/>
      <c r="P39" s="14" t="s">
        <v>8</v>
      </c>
      <c r="Q39" s="147" t="s">
        <v>31</v>
      </c>
      <c r="R39" s="45" t="e">
        <f t="shared" ca="1" si="1"/>
        <v>#VALUE!</v>
      </c>
      <c r="S39" s="88">
        <v>10514800</v>
      </c>
      <c r="T39" s="52"/>
      <c r="U39" s="52"/>
      <c r="V39" s="16"/>
      <c r="W39" s="16"/>
      <c r="X39" s="16"/>
      <c r="Y39" s="16"/>
      <c r="Z39" s="4"/>
      <c r="AA39" s="137"/>
      <c r="AB39" s="304"/>
      <c r="AC39" s="29"/>
      <c r="AD39" s="29"/>
      <c r="AE39" s="141"/>
      <c r="AF39" s="18">
        <f t="shared" si="5"/>
        <v>0</v>
      </c>
      <c r="AG39" s="16">
        <f t="shared" si="12"/>
        <v>0</v>
      </c>
      <c r="AH39" s="307">
        <f t="shared" si="2"/>
        <v>0</v>
      </c>
      <c r="AI39" s="91">
        <f t="shared" si="7"/>
        <v>0</v>
      </c>
      <c r="AJ39" s="132">
        <v>0.19</v>
      </c>
      <c r="AK39" s="17">
        <f t="shared" si="13"/>
        <v>0</v>
      </c>
      <c r="AL39" s="92">
        <f t="shared" si="14"/>
        <v>0</v>
      </c>
      <c r="AM39" s="17">
        <f t="shared" si="8"/>
        <v>0</v>
      </c>
      <c r="AN39" s="91">
        <f t="shared" si="9"/>
        <v>0</v>
      </c>
      <c r="AO39" s="56">
        <f t="shared" si="10"/>
        <v>0</v>
      </c>
    </row>
    <row r="40" spans="1:41" s="3" customFormat="1" ht="30" x14ac:dyDescent="0.25">
      <c r="A40" s="122" t="s">
        <v>80</v>
      </c>
      <c r="B40" s="93" t="s">
        <v>60</v>
      </c>
      <c r="C40" s="93" t="s">
        <v>48</v>
      </c>
      <c r="D40" s="293" t="s">
        <v>122</v>
      </c>
      <c r="E40" s="50">
        <v>61</v>
      </c>
      <c r="F40" s="280" t="s">
        <v>121</v>
      </c>
      <c r="G40" s="281" t="s">
        <v>154</v>
      </c>
      <c r="H40" s="180"/>
      <c r="I40" s="47"/>
      <c r="J40" s="20"/>
      <c r="K40" s="15"/>
      <c r="L40" s="100"/>
      <c r="M40" s="268"/>
      <c r="N40" s="135">
        <v>44682</v>
      </c>
      <c r="O40" s="135"/>
      <c r="P40" s="14" t="s">
        <v>8</v>
      </c>
      <c r="Q40" s="308" t="s">
        <v>7</v>
      </c>
      <c r="R40" s="45" t="e">
        <f ca="1">DATEDIF(DATE(IF(MID($K40,5,2)+2000&gt;YEAR(TODAY()),MID($K40,5,2)+1900,MID($K40,5,2)+2000),MID($K40,7,2),MID($K40,9,2)),TODAY(),"y")</f>
        <v>#VALUE!</v>
      </c>
      <c r="S40" s="88">
        <v>10750500</v>
      </c>
      <c r="T40" s="52"/>
      <c r="U40" s="52"/>
      <c r="V40" s="16"/>
      <c r="W40" s="16"/>
      <c r="X40" s="16"/>
      <c r="Y40" s="16"/>
      <c r="Z40" s="4"/>
      <c r="AA40" s="137"/>
      <c r="AB40" s="23"/>
      <c r="AC40" s="16"/>
      <c r="AD40" s="16"/>
      <c r="AE40" s="141"/>
      <c r="AF40" s="18">
        <f t="shared" si="5"/>
        <v>0</v>
      </c>
      <c r="AG40" s="16">
        <f t="shared" si="12"/>
        <v>0</v>
      </c>
      <c r="AH40" s="56">
        <f t="shared" si="2"/>
        <v>0</v>
      </c>
      <c r="AI40" s="91">
        <f t="shared" si="7"/>
        <v>0</v>
      </c>
      <c r="AJ40" s="131">
        <v>0.26</v>
      </c>
      <c r="AK40" s="17">
        <f t="shared" si="13"/>
        <v>0</v>
      </c>
      <c r="AL40" s="92">
        <f t="shared" si="14"/>
        <v>0</v>
      </c>
      <c r="AM40" s="17">
        <f t="shared" si="8"/>
        <v>0</v>
      </c>
      <c r="AN40" s="91">
        <f t="shared" si="9"/>
        <v>0</v>
      </c>
      <c r="AO40" s="56">
        <f t="shared" si="10"/>
        <v>0</v>
      </c>
    </row>
    <row r="41" spans="1:41" s="3" customFormat="1" ht="30.75" thickBot="1" x14ac:dyDescent="0.3">
      <c r="A41" s="122">
        <v>193</v>
      </c>
      <c r="B41" s="93" t="s">
        <v>44</v>
      </c>
      <c r="C41" s="93" t="s">
        <v>48</v>
      </c>
      <c r="D41" s="293" t="s">
        <v>122</v>
      </c>
      <c r="E41" s="50">
        <v>10</v>
      </c>
      <c r="F41" s="280" t="s">
        <v>121</v>
      </c>
      <c r="G41" s="281" t="s">
        <v>155</v>
      </c>
      <c r="H41" s="180"/>
      <c r="I41" s="44"/>
      <c r="J41" s="145"/>
      <c r="K41" s="146"/>
      <c r="L41" s="129"/>
      <c r="M41" s="268"/>
      <c r="N41" s="135"/>
      <c r="O41" s="135"/>
      <c r="P41" s="144" t="s">
        <v>8</v>
      </c>
      <c r="Q41" s="147" t="s">
        <v>31</v>
      </c>
      <c r="R41" s="45" t="e">
        <f ca="1">DATEDIF(DATE(IF(MID($K41,5,2)+2000&gt;YEAR(TODAY()),MID($K41,5,2)+1900,MID($K41,5,2)+2000),MID($K41,7,2),MID($K41,9,2)),TODAY(),"y")</f>
        <v>#VALUE!</v>
      </c>
      <c r="S41" s="88">
        <v>11310900</v>
      </c>
      <c r="T41" s="52"/>
      <c r="U41" s="52"/>
      <c r="V41" s="16"/>
      <c r="W41" s="16"/>
      <c r="X41" s="16"/>
      <c r="Y41" s="16"/>
      <c r="Z41" s="2"/>
      <c r="AA41" s="137"/>
      <c r="AB41" s="26"/>
      <c r="AC41" s="16"/>
      <c r="AD41" s="16"/>
      <c r="AE41" s="141"/>
      <c r="AF41" s="18">
        <f t="shared" si="5"/>
        <v>0</v>
      </c>
      <c r="AG41" s="16">
        <f t="shared" si="12"/>
        <v>0</v>
      </c>
      <c r="AH41" s="56">
        <f t="shared" si="2"/>
        <v>0</v>
      </c>
      <c r="AI41" s="91">
        <f t="shared" si="7"/>
        <v>0</v>
      </c>
      <c r="AJ41" s="131">
        <v>0.26</v>
      </c>
      <c r="AK41" s="17">
        <f t="shared" si="13"/>
        <v>0</v>
      </c>
      <c r="AL41" s="92">
        <f t="shared" si="14"/>
        <v>0</v>
      </c>
      <c r="AM41" s="17">
        <f t="shared" si="8"/>
        <v>0</v>
      </c>
      <c r="AN41" s="91">
        <f t="shared" si="9"/>
        <v>0</v>
      </c>
      <c r="AO41" s="56">
        <f t="shared" si="10"/>
        <v>0</v>
      </c>
    </row>
    <row r="42" spans="1:41" s="3" customFormat="1" ht="30" x14ac:dyDescent="0.25">
      <c r="A42" s="122">
        <v>193</v>
      </c>
      <c r="B42" s="93" t="s">
        <v>44</v>
      </c>
      <c r="C42" s="93" t="s">
        <v>44</v>
      </c>
      <c r="D42" s="88" t="s">
        <v>24</v>
      </c>
      <c r="E42" s="50">
        <v>52</v>
      </c>
      <c r="F42" s="14" t="s">
        <v>11</v>
      </c>
      <c r="G42" s="67" t="s">
        <v>156</v>
      </c>
      <c r="H42" s="180"/>
      <c r="I42" s="47"/>
      <c r="J42" s="20"/>
      <c r="K42" s="15"/>
      <c r="L42" s="100"/>
      <c r="M42" s="268"/>
      <c r="N42" s="267">
        <v>44743</v>
      </c>
      <c r="O42" s="135"/>
      <c r="P42" s="14" t="s">
        <v>8</v>
      </c>
      <c r="Q42" s="147" t="s">
        <v>31</v>
      </c>
      <c r="R42" s="45" t="e">
        <f t="shared" ca="1" si="1"/>
        <v>#VALUE!</v>
      </c>
      <c r="S42" s="88">
        <v>10753300</v>
      </c>
      <c r="T42" s="52"/>
      <c r="U42" s="52"/>
      <c r="V42" s="16"/>
      <c r="W42" s="16"/>
      <c r="X42" s="16"/>
      <c r="Y42" s="16"/>
      <c r="Z42" s="4"/>
      <c r="AA42" s="137"/>
      <c r="AB42" s="304"/>
      <c r="AC42" s="16"/>
      <c r="AD42" s="16"/>
      <c r="AE42" s="141"/>
      <c r="AF42" s="18">
        <f t="shared" si="5"/>
        <v>0</v>
      </c>
      <c r="AG42" s="16">
        <f t="shared" si="12"/>
        <v>0</v>
      </c>
      <c r="AH42" s="56">
        <f t="shared" si="2"/>
        <v>0</v>
      </c>
      <c r="AI42" s="91">
        <f t="shared" si="7"/>
        <v>0</v>
      </c>
      <c r="AJ42" s="131">
        <v>0.19</v>
      </c>
      <c r="AK42" s="17">
        <f t="shared" si="13"/>
        <v>0</v>
      </c>
      <c r="AL42" s="92">
        <f t="shared" si="14"/>
        <v>0</v>
      </c>
      <c r="AM42" s="17">
        <f t="shared" si="8"/>
        <v>0</v>
      </c>
      <c r="AN42" s="91">
        <f t="shared" si="9"/>
        <v>0</v>
      </c>
      <c r="AO42" s="56">
        <f t="shared" si="10"/>
        <v>0</v>
      </c>
    </row>
    <row r="43" spans="1:41" s="3" customFormat="1" ht="30" x14ac:dyDescent="0.25">
      <c r="A43" s="122">
        <v>192</v>
      </c>
      <c r="B43" s="93" t="s">
        <v>48</v>
      </c>
      <c r="C43" s="93" t="s">
        <v>44</v>
      </c>
      <c r="D43" s="293" t="s">
        <v>122</v>
      </c>
      <c r="E43" s="50">
        <v>53</v>
      </c>
      <c r="F43" s="280" t="s">
        <v>121</v>
      </c>
      <c r="G43" s="281" t="s">
        <v>157</v>
      </c>
      <c r="H43" s="188"/>
      <c r="I43" s="44"/>
      <c r="J43" s="178"/>
      <c r="K43" s="177"/>
      <c r="L43" s="100"/>
      <c r="M43" s="268"/>
      <c r="N43" s="267">
        <v>44743</v>
      </c>
      <c r="O43" s="135"/>
      <c r="P43" s="51" t="s">
        <v>8</v>
      </c>
      <c r="Q43" s="147" t="s">
        <v>31</v>
      </c>
      <c r="R43" s="45" t="e">
        <f t="shared" ca="1" si="1"/>
        <v>#VALUE!</v>
      </c>
      <c r="S43" s="88">
        <v>9623700</v>
      </c>
      <c r="T43" s="52"/>
      <c r="U43" s="52"/>
      <c r="V43" s="16"/>
      <c r="W43" s="16"/>
      <c r="X43" s="16"/>
      <c r="Y43" s="16"/>
      <c r="Z43" s="4"/>
      <c r="AA43" s="137"/>
      <c r="AB43" s="23"/>
      <c r="AC43" s="16"/>
      <c r="AD43" s="16"/>
      <c r="AE43" s="141">
        <v>19931.14</v>
      </c>
      <c r="AF43" s="18">
        <f t="shared" si="5"/>
        <v>2589.2945119999999</v>
      </c>
      <c r="AG43" s="16">
        <f t="shared" si="12"/>
        <v>2591.0482000000002</v>
      </c>
      <c r="AH43" s="56">
        <f t="shared" si="2"/>
        <v>5180.3427119999997</v>
      </c>
      <c r="AI43" s="91">
        <f t="shared" si="7"/>
        <v>14750.797288</v>
      </c>
      <c r="AJ43" s="131">
        <v>0.26</v>
      </c>
      <c r="AK43" s="17">
        <f t="shared" si="13"/>
        <v>0</v>
      </c>
      <c r="AL43" s="92">
        <f t="shared" si="14"/>
        <v>0</v>
      </c>
      <c r="AM43" s="17">
        <f t="shared" si="8"/>
        <v>597.93419999999992</v>
      </c>
      <c r="AN43" s="91">
        <f t="shared" si="9"/>
        <v>597.93419999999992</v>
      </c>
      <c r="AO43" s="56">
        <f t="shared" si="10"/>
        <v>20529.074199999999</v>
      </c>
    </row>
    <row r="44" spans="1:41" s="3" customFormat="1" ht="30.75" thickBot="1" x14ac:dyDescent="0.3">
      <c r="A44" s="122">
        <v>192</v>
      </c>
      <c r="B44" s="93" t="s">
        <v>48</v>
      </c>
      <c r="C44" s="93" t="s">
        <v>44</v>
      </c>
      <c r="D44" s="293" t="s">
        <v>122</v>
      </c>
      <c r="E44" s="50">
        <v>54</v>
      </c>
      <c r="F44" s="280" t="s">
        <v>121</v>
      </c>
      <c r="G44" s="281" t="s">
        <v>158</v>
      </c>
      <c r="H44" s="180"/>
      <c r="I44" s="44"/>
      <c r="J44" s="25"/>
      <c r="K44" s="24"/>
      <c r="L44" s="100"/>
      <c r="M44" s="268"/>
      <c r="N44" s="135"/>
      <c r="O44" s="135"/>
      <c r="P44" s="19" t="s">
        <v>8</v>
      </c>
      <c r="Q44" s="147" t="s">
        <v>7</v>
      </c>
      <c r="R44" s="45" t="e">
        <f ca="1">DATEDIF(DATE(IF(MID($K44,5,2)+2000&gt;YEAR(TODAY()),MID($K44,5,2)+1900,MID($K44,5,2)+2000),MID($K44,7,2),MID($K44,9,2)),TODAY(),"y")</f>
        <v>#VALUE!</v>
      </c>
      <c r="S44" s="88">
        <v>10750000</v>
      </c>
      <c r="T44" s="52"/>
      <c r="U44" s="52"/>
      <c r="V44" s="16"/>
      <c r="W44" s="16"/>
      <c r="X44" s="21"/>
      <c r="Y44" s="21"/>
      <c r="Z44" s="4"/>
      <c r="AA44" s="137"/>
      <c r="AB44" s="26"/>
      <c r="AC44" s="16"/>
      <c r="AD44" s="16"/>
      <c r="AE44" s="141"/>
      <c r="AF44" s="18">
        <f t="shared" si="5"/>
        <v>0</v>
      </c>
      <c r="AG44" s="16">
        <f t="shared" si="12"/>
        <v>0</v>
      </c>
      <c r="AH44" s="56">
        <f t="shared" si="2"/>
        <v>0</v>
      </c>
      <c r="AI44" s="91">
        <f t="shared" si="7"/>
        <v>0</v>
      </c>
      <c r="AJ44" s="131">
        <v>0.26</v>
      </c>
      <c r="AK44" s="17">
        <f t="shared" si="13"/>
        <v>0</v>
      </c>
      <c r="AL44" s="92">
        <f t="shared" si="14"/>
        <v>0</v>
      </c>
      <c r="AM44" s="17">
        <f t="shared" si="8"/>
        <v>0</v>
      </c>
      <c r="AN44" s="91">
        <f t="shared" si="9"/>
        <v>0</v>
      </c>
      <c r="AO44" s="56">
        <f t="shared" si="10"/>
        <v>0</v>
      </c>
    </row>
    <row r="45" spans="1:41" s="3" customFormat="1" ht="30" x14ac:dyDescent="0.25">
      <c r="A45" s="122">
        <v>194</v>
      </c>
      <c r="B45" s="93" t="s">
        <v>59</v>
      </c>
      <c r="C45" s="93" t="s">
        <v>59</v>
      </c>
      <c r="D45" s="88" t="s">
        <v>25</v>
      </c>
      <c r="E45" s="50">
        <v>77</v>
      </c>
      <c r="F45" s="14" t="s">
        <v>11</v>
      </c>
      <c r="G45" s="67" t="s">
        <v>159</v>
      </c>
      <c r="H45" s="180"/>
      <c r="I45" s="44"/>
      <c r="J45" s="39"/>
      <c r="K45" s="38"/>
      <c r="L45" s="100"/>
      <c r="M45" s="268"/>
      <c r="N45" s="135"/>
      <c r="O45" s="135"/>
      <c r="P45" s="14" t="s">
        <v>8</v>
      </c>
      <c r="Q45" s="147" t="s">
        <v>7</v>
      </c>
      <c r="R45" s="45" t="e">
        <f t="shared" ca="1" si="1"/>
        <v>#VALUE!</v>
      </c>
      <c r="S45" s="88">
        <v>10748200</v>
      </c>
      <c r="T45" s="52"/>
      <c r="U45" s="52"/>
      <c r="V45" s="16"/>
      <c r="W45" s="16"/>
      <c r="X45" s="16"/>
      <c r="Y45" s="16"/>
      <c r="Z45" s="2"/>
      <c r="AA45" s="137"/>
      <c r="AB45" s="304"/>
      <c r="AC45" s="16"/>
      <c r="AD45" s="16"/>
      <c r="AE45" s="141">
        <v>19931.14</v>
      </c>
      <c r="AF45" s="18">
        <f t="shared" si="5"/>
        <v>2589.2945119999999</v>
      </c>
      <c r="AG45" s="16">
        <f t="shared" si="12"/>
        <v>2591.0482000000002</v>
      </c>
      <c r="AH45" s="56">
        <f t="shared" si="2"/>
        <v>5180.3427119999997</v>
      </c>
      <c r="AI45" s="91">
        <f t="shared" si="7"/>
        <v>14750.797288</v>
      </c>
      <c r="AJ45" s="131">
        <v>0.26</v>
      </c>
      <c r="AK45" s="17">
        <f t="shared" si="13"/>
        <v>0</v>
      </c>
      <c r="AL45" s="92">
        <f t="shared" si="14"/>
        <v>0</v>
      </c>
      <c r="AM45" s="17">
        <f t="shared" si="8"/>
        <v>597.93419999999992</v>
      </c>
      <c r="AN45" s="91">
        <f t="shared" si="9"/>
        <v>597.93419999999992</v>
      </c>
      <c r="AO45" s="56">
        <f t="shared" si="10"/>
        <v>20529.074199999999</v>
      </c>
    </row>
    <row r="46" spans="1:41" s="3" customFormat="1" ht="30" x14ac:dyDescent="0.25">
      <c r="A46" s="122" t="s">
        <v>99</v>
      </c>
      <c r="B46" s="93" t="s">
        <v>59</v>
      </c>
      <c r="C46" s="93" t="s">
        <v>59</v>
      </c>
      <c r="D46" s="293" t="s">
        <v>122</v>
      </c>
      <c r="E46" s="50">
        <v>30</v>
      </c>
      <c r="F46" s="280" t="s">
        <v>121</v>
      </c>
      <c r="G46" s="281" t="s">
        <v>160</v>
      </c>
      <c r="H46" s="180"/>
      <c r="I46" s="194"/>
      <c r="J46" s="32"/>
      <c r="K46" s="212"/>
      <c r="L46" s="100"/>
      <c r="M46" s="268"/>
      <c r="N46" s="135">
        <v>44636</v>
      </c>
      <c r="O46" s="135"/>
      <c r="P46" s="51" t="s">
        <v>8</v>
      </c>
      <c r="Q46" s="147" t="s">
        <v>31</v>
      </c>
      <c r="R46" s="45">
        <v>26</v>
      </c>
      <c r="S46" s="88">
        <v>10767600</v>
      </c>
      <c r="T46" s="52"/>
      <c r="U46" s="52"/>
      <c r="V46" s="16"/>
      <c r="W46" s="16"/>
      <c r="X46" s="16"/>
      <c r="Y46" s="16"/>
      <c r="Z46" s="4"/>
      <c r="AA46" s="137"/>
      <c r="AB46" s="23"/>
      <c r="AC46" s="16"/>
      <c r="AD46" s="16"/>
      <c r="AE46" s="141">
        <v>14664</v>
      </c>
      <c r="AF46" s="18">
        <f t="shared" si="5"/>
        <v>1492.568064</v>
      </c>
      <c r="AG46" s="16">
        <f t="shared" si="12"/>
        <v>1906.3200000000002</v>
      </c>
      <c r="AH46" s="56">
        <f t="shared" si="2"/>
        <v>3398.8880640000002</v>
      </c>
      <c r="AI46" s="91">
        <f t="shared" si="7"/>
        <v>11265.111935999999</v>
      </c>
      <c r="AJ46" s="131">
        <v>0.26</v>
      </c>
      <c r="AK46" s="17">
        <f t="shared" si="13"/>
        <v>0</v>
      </c>
      <c r="AL46" s="92">
        <f t="shared" si="14"/>
        <v>0</v>
      </c>
      <c r="AM46" s="17">
        <f t="shared" si="8"/>
        <v>439.91999999999996</v>
      </c>
      <c r="AN46" s="91">
        <f t="shared" si="9"/>
        <v>439.91999999999996</v>
      </c>
      <c r="AO46" s="56">
        <f t="shared" si="10"/>
        <v>15103.92</v>
      </c>
    </row>
    <row r="47" spans="1:41" s="3" customFormat="1" ht="30" customHeight="1" thickBot="1" x14ac:dyDescent="0.3">
      <c r="A47" s="123">
        <v>194</v>
      </c>
      <c r="B47" s="94" t="s">
        <v>59</v>
      </c>
      <c r="C47" s="94" t="s">
        <v>59</v>
      </c>
      <c r="D47" s="293" t="s">
        <v>122</v>
      </c>
      <c r="E47" s="79">
        <v>56</v>
      </c>
      <c r="F47" s="278" t="s">
        <v>121</v>
      </c>
      <c r="G47" s="282" t="s">
        <v>161</v>
      </c>
      <c r="H47" s="185"/>
      <c r="I47" s="213"/>
      <c r="J47" s="303"/>
      <c r="K47" s="303"/>
      <c r="L47" s="102"/>
      <c r="M47" s="269"/>
      <c r="N47" s="153"/>
      <c r="O47" s="153"/>
      <c r="P47" s="133" t="s">
        <v>8</v>
      </c>
      <c r="Q47" s="216" t="s">
        <v>7</v>
      </c>
      <c r="R47" s="82" t="e">
        <f ca="1">DATEDIF(DATE(IF(MID($K47,5,2)+2000&gt;YEAR(TODAY()),MID($K47,5,2)+1900,MID($K47,5,2)+2000),MID($K47,7,2),MID($K47,9,2)),TODAY(),"y")</f>
        <v>#VALUE!</v>
      </c>
      <c r="S47" s="253">
        <v>11791900</v>
      </c>
      <c r="T47" s="83"/>
      <c r="U47" s="83"/>
      <c r="V47" s="16"/>
      <c r="W47" s="84"/>
      <c r="X47" s="84"/>
      <c r="Y47" s="84"/>
      <c r="Z47" s="5"/>
      <c r="AA47" s="137"/>
      <c r="AB47" s="26"/>
      <c r="AC47" s="26"/>
      <c r="AD47" s="26"/>
      <c r="AE47" s="141">
        <v>18648</v>
      </c>
      <c r="AF47" s="18">
        <f t="shared" si="5"/>
        <v>2315.2158079999999</v>
      </c>
      <c r="AG47" s="16">
        <f t="shared" si="12"/>
        <v>2424.2400000000002</v>
      </c>
      <c r="AH47" s="271">
        <f t="shared" si="2"/>
        <v>4739.4558080000006</v>
      </c>
      <c r="AI47" s="91">
        <f t="shared" si="7"/>
        <v>13908.544191999999</v>
      </c>
      <c r="AJ47" s="183">
        <v>0.26</v>
      </c>
      <c r="AK47" s="154">
        <f t="shared" si="13"/>
        <v>0</v>
      </c>
      <c r="AL47" s="155">
        <f t="shared" si="14"/>
        <v>0</v>
      </c>
      <c r="AM47" s="17">
        <f t="shared" si="8"/>
        <v>559.43999999999994</v>
      </c>
      <c r="AN47" s="273">
        <f t="shared" si="9"/>
        <v>559.43999999999994</v>
      </c>
      <c r="AO47" s="56">
        <f t="shared" si="10"/>
        <v>19207.439999999999</v>
      </c>
    </row>
    <row r="48" spans="1:41" s="3" customFormat="1" ht="30" customHeight="1" x14ac:dyDescent="0.25">
      <c r="A48" s="124">
        <v>190</v>
      </c>
      <c r="B48" s="217" t="s">
        <v>60</v>
      </c>
      <c r="C48" s="95" t="s">
        <v>60</v>
      </c>
      <c r="D48" s="90" t="s">
        <v>38</v>
      </c>
      <c r="E48" s="71">
        <v>7</v>
      </c>
      <c r="F48" s="72" t="s">
        <v>10</v>
      </c>
      <c r="G48" s="114" t="s">
        <v>162</v>
      </c>
      <c r="H48" s="184"/>
      <c r="I48" s="111"/>
      <c r="J48" s="112"/>
      <c r="K48" s="113"/>
      <c r="L48" s="99"/>
      <c r="M48" s="270"/>
      <c r="N48" s="150"/>
      <c r="O48" s="150"/>
      <c r="P48" s="72" t="s">
        <v>8</v>
      </c>
      <c r="Q48" s="149" t="s">
        <v>7</v>
      </c>
      <c r="R48" s="76" t="e">
        <f t="shared" ca="1" si="1"/>
        <v>#VALUE!</v>
      </c>
      <c r="S48" s="90">
        <v>10752800</v>
      </c>
      <c r="T48" s="77"/>
      <c r="U48" s="77"/>
      <c r="V48" s="16"/>
      <c r="W48" s="29"/>
      <c r="X48" s="29"/>
      <c r="Y48" s="29"/>
      <c r="Z48" s="9"/>
      <c r="AA48" s="137"/>
      <c r="AB48" s="29"/>
      <c r="AC48" s="29"/>
      <c r="AD48" s="29"/>
      <c r="AE48" s="141"/>
      <c r="AF48" s="18">
        <f t="shared" si="5"/>
        <v>0</v>
      </c>
      <c r="AG48" s="16">
        <f t="shared" si="12"/>
        <v>0</v>
      </c>
      <c r="AH48" s="307">
        <f t="shared" si="2"/>
        <v>0</v>
      </c>
      <c r="AI48" s="91">
        <f t="shared" si="7"/>
        <v>0</v>
      </c>
      <c r="AJ48" s="132">
        <v>0.19</v>
      </c>
      <c r="AK48" s="151">
        <f t="shared" si="13"/>
        <v>0</v>
      </c>
      <c r="AL48" s="152">
        <f t="shared" si="14"/>
        <v>0</v>
      </c>
      <c r="AM48" s="17">
        <f t="shared" si="8"/>
        <v>0</v>
      </c>
      <c r="AN48" s="274">
        <f t="shared" si="9"/>
        <v>0</v>
      </c>
      <c r="AO48" s="56">
        <f t="shared" si="10"/>
        <v>0</v>
      </c>
    </row>
    <row r="49" spans="1:41" s="3" customFormat="1" ht="30" x14ac:dyDescent="0.25">
      <c r="A49" s="126" t="s">
        <v>80</v>
      </c>
      <c r="B49" s="95" t="s">
        <v>60</v>
      </c>
      <c r="C49" s="93" t="s">
        <v>108</v>
      </c>
      <c r="D49" s="293" t="s">
        <v>122</v>
      </c>
      <c r="E49" s="50">
        <v>8</v>
      </c>
      <c r="F49" s="280" t="s">
        <v>121</v>
      </c>
      <c r="G49" s="285" t="s">
        <v>163</v>
      </c>
      <c r="H49" s="180"/>
      <c r="I49" s="49"/>
      <c r="J49" s="41"/>
      <c r="K49" s="42"/>
      <c r="L49" s="100"/>
      <c r="M49" s="268"/>
      <c r="N49" s="135"/>
      <c r="O49" s="135"/>
      <c r="P49" s="14" t="s">
        <v>8</v>
      </c>
      <c r="Q49" s="147" t="s">
        <v>7</v>
      </c>
      <c r="R49" s="45" t="e">
        <f t="shared" ca="1" si="1"/>
        <v>#VALUE!</v>
      </c>
      <c r="S49" s="88">
        <v>10767500</v>
      </c>
      <c r="T49" s="52"/>
      <c r="U49" s="52"/>
      <c r="V49" s="16"/>
      <c r="W49" s="16"/>
      <c r="X49" s="16"/>
      <c r="Y49" s="16"/>
      <c r="Z49" s="4"/>
      <c r="AA49" s="137"/>
      <c r="AB49" s="23"/>
      <c r="AC49" s="16"/>
      <c r="AD49" s="16"/>
      <c r="AE49" s="141">
        <v>19931.14</v>
      </c>
      <c r="AF49" s="18">
        <f t="shared" si="5"/>
        <v>2589.2945119999999</v>
      </c>
      <c r="AG49" s="16">
        <f t="shared" si="12"/>
        <v>2591.0482000000002</v>
      </c>
      <c r="AH49" s="56">
        <f t="shared" si="2"/>
        <v>5180.3427119999997</v>
      </c>
      <c r="AI49" s="91">
        <f t="shared" si="7"/>
        <v>14750.797288</v>
      </c>
      <c r="AJ49" s="131">
        <v>0.26</v>
      </c>
      <c r="AK49" s="17">
        <f t="shared" si="13"/>
        <v>0</v>
      </c>
      <c r="AL49" s="92">
        <f t="shared" si="14"/>
        <v>0</v>
      </c>
      <c r="AM49" s="17">
        <f t="shared" si="8"/>
        <v>597.93419999999992</v>
      </c>
      <c r="AN49" s="91">
        <f t="shared" si="9"/>
        <v>597.93419999999992</v>
      </c>
      <c r="AO49" s="56">
        <f t="shared" si="10"/>
        <v>20529.074199999999</v>
      </c>
    </row>
    <row r="50" spans="1:41" s="3" customFormat="1" ht="30" x14ac:dyDescent="0.25">
      <c r="A50" s="126" t="s">
        <v>80</v>
      </c>
      <c r="B50" s="95" t="s">
        <v>60</v>
      </c>
      <c r="C50" s="93" t="s">
        <v>109</v>
      </c>
      <c r="D50" s="293" t="s">
        <v>122</v>
      </c>
      <c r="E50" s="55">
        <v>60</v>
      </c>
      <c r="F50" s="280" t="s">
        <v>121</v>
      </c>
      <c r="G50" s="285" t="s">
        <v>164</v>
      </c>
      <c r="H50" s="180"/>
      <c r="I50" s="49"/>
      <c r="J50" s="37"/>
      <c r="K50" s="40"/>
      <c r="L50" s="100"/>
      <c r="M50" s="268"/>
      <c r="N50" s="135"/>
      <c r="O50" s="135"/>
      <c r="P50" s="19" t="s">
        <v>8</v>
      </c>
      <c r="Q50" s="147" t="s">
        <v>7</v>
      </c>
      <c r="R50" s="45" t="e">
        <f t="shared" ca="1" si="1"/>
        <v>#VALUE!</v>
      </c>
      <c r="S50" s="88">
        <v>11164500</v>
      </c>
      <c r="T50" s="52"/>
      <c r="U50" s="52"/>
      <c r="V50" s="16"/>
      <c r="W50" s="16"/>
      <c r="X50" s="16"/>
      <c r="Y50" s="16"/>
      <c r="Z50" s="4"/>
      <c r="AA50" s="137"/>
      <c r="AB50" s="23"/>
      <c r="AC50" s="16"/>
      <c r="AD50" s="16"/>
      <c r="AE50" s="141">
        <v>41457.800000000003</v>
      </c>
      <c r="AF50" s="18">
        <f t="shared" si="5"/>
        <v>7408.1697600000007</v>
      </c>
      <c r="AG50" s="16">
        <f t="shared" si="12"/>
        <v>5389.5140000000001</v>
      </c>
      <c r="AH50" s="56">
        <f t="shared" si="2"/>
        <v>12797.68376</v>
      </c>
      <c r="AI50" s="91">
        <f t="shared" si="7"/>
        <v>28660.116240000003</v>
      </c>
      <c r="AJ50" s="131">
        <v>0.26</v>
      </c>
      <c r="AK50" s="17">
        <f t="shared" si="13"/>
        <v>0</v>
      </c>
      <c r="AL50" s="92">
        <f t="shared" si="14"/>
        <v>0</v>
      </c>
      <c r="AM50" s="17">
        <f t="shared" si="8"/>
        <v>1243.7340000000002</v>
      </c>
      <c r="AN50" s="91">
        <f t="shared" si="9"/>
        <v>1243.7340000000002</v>
      </c>
      <c r="AO50" s="56">
        <f t="shared" si="10"/>
        <v>42701.534</v>
      </c>
    </row>
    <row r="51" spans="1:41" s="3" customFormat="1" ht="30" x14ac:dyDescent="0.25">
      <c r="A51" s="126" t="s">
        <v>80</v>
      </c>
      <c r="B51" s="95" t="s">
        <v>60</v>
      </c>
      <c r="C51" s="93" t="s">
        <v>110</v>
      </c>
      <c r="D51" s="293" t="s">
        <v>122</v>
      </c>
      <c r="E51" s="55">
        <v>79</v>
      </c>
      <c r="F51" s="280" t="s">
        <v>121</v>
      </c>
      <c r="G51" s="302" t="s">
        <v>165</v>
      </c>
      <c r="H51" s="180"/>
      <c r="I51" s="49"/>
      <c r="J51" s="209"/>
      <c r="K51" s="209"/>
      <c r="L51" s="100"/>
      <c r="M51" s="268"/>
      <c r="N51" s="135"/>
      <c r="O51" s="135"/>
      <c r="P51" s="19" t="s">
        <v>8</v>
      </c>
      <c r="Q51" s="206" t="s">
        <v>7</v>
      </c>
      <c r="R51" s="45" t="e">
        <f t="shared" ca="1" si="1"/>
        <v>#VALUE!</v>
      </c>
      <c r="S51" s="211">
        <v>10746300</v>
      </c>
      <c r="T51" s="52"/>
      <c r="U51" s="52"/>
      <c r="V51" s="16"/>
      <c r="W51" s="16"/>
      <c r="X51" s="16"/>
      <c r="Y51" s="16"/>
      <c r="Z51" s="4"/>
      <c r="AA51" s="137"/>
      <c r="AB51" s="23"/>
      <c r="AC51" s="16"/>
      <c r="AD51" s="16"/>
      <c r="AE51" s="141"/>
      <c r="AF51" s="18">
        <f t="shared" si="5"/>
        <v>0</v>
      </c>
      <c r="AG51" s="16">
        <f t="shared" si="12"/>
        <v>0</v>
      </c>
      <c r="AH51" s="56">
        <f t="shared" si="2"/>
        <v>0</v>
      </c>
      <c r="AI51" s="91">
        <f t="shared" si="7"/>
        <v>0</v>
      </c>
      <c r="AJ51" s="131">
        <v>0.26</v>
      </c>
      <c r="AK51" s="17">
        <f t="shared" si="13"/>
        <v>0</v>
      </c>
      <c r="AL51" s="92">
        <f t="shared" si="14"/>
        <v>0</v>
      </c>
      <c r="AM51" s="17">
        <f t="shared" si="8"/>
        <v>0</v>
      </c>
      <c r="AN51" s="91">
        <f t="shared" si="9"/>
        <v>0</v>
      </c>
      <c r="AO51" s="56">
        <f t="shared" si="10"/>
        <v>0</v>
      </c>
    </row>
    <row r="52" spans="1:41" s="3" customFormat="1" ht="30" customHeight="1" x14ac:dyDescent="0.25">
      <c r="A52" s="264" t="s">
        <v>80</v>
      </c>
      <c r="B52" s="95" t="s">
        <v>60</v>
      </c>
      <c r="C52" s="95" t="s">
        <v>111</v>
      </c>
      <c r="D52" s="88" t="s">
        <v>14</v>
      </c>
      <c r="E52" s="50">
        <v>73</v>
      </c>
      <c r="F52" s="22" t="s">
        <v>9</v>
      </c>
      <c r="G52" s="67" t="s">
        <v>166</v>
      </c>
      <c r="H52" s="180"/>
      <c r="I52" s="44"/>
      <c r="J52" s="25"/>
      <c r="K52" s="24"/>
      <c r="L52" s="100"/>
      <c r="M52" s="135"/>
      <c r="N52" s="135"/>
      <c r="O52" s="135"/>
      <c r="P52" s="14" t="s">
        <v>8</v>
      </c>
      <c r="Q52" s="147" t="s">
        <v>7</v>
      </c>
      <c r="R52" s="45" t="e">
        <f ca="1">DATEDIF(DATE(IF(MID($K52,5,2)+2000&gt;YEAR(TODAY()),MID($K52,5,2)+1900,MID($K52,5,2)+2000),MID($K52,7,2),MID($K52,9,2)),TODAY(),"y")</f>
        <v>#VALUE!</v>
      </c>
      <c r="S52" s="88">
        <v>10746900</v>
      </c>
      <c r="T52" s="52"/>
      <c r="U52" s="52"/>
      <c r="V52" s="16"/>
      <c r="W52" s="21"/>
      <c r="X52" s="21"/>
      <c r="Y52" s="21"/>
      <c r="Z52" s="1"/>
      <c r="AA52" s="137"/>
      <c r="AB52" s="21"/>
      <c r="AC52" s="16"/>
      <c r="AD52" s="16"/>
      <c r="AE52" s="141"/>
      <c r="AF52" s="18">
        <f t="shared" si="5"/>
        <v>0</v>
      </c>
      <c r="AG52" s="16">
        <f t="shared" si="12"/>
        <v>0</v>
      </c>
      <c r="AH52" s="56">
        <f t="shared" si="2"/>
        <v>0</v>
      </c>
      <c r="AI52" s="91">
        <f t="shared" si="7"/>
        <v>0</v>
      </c>
      <c r="AJ52" s="131">
        <v>0.19</v>
      </c>
      <c r="AK52" s="17">
        <f t="shared" si="13"/>
        <v>0</v>
      </c>
      <c r="AL52" s="92">
        <f t="shared" si="14"/>
        <v>0</v>
      </c>
      <c r="AM52" s="17">
        <f t="shared" si="8"/>
        <v>0</v>
      </c>
      <c r="AN52" s="91">
        <f t="shared" si="9"/>
        <v>0</v>
      </c>
      <c r="AO52" s="56">
        <f t="shared" si="10"/>
        <v>0</v>
      </c>
    </row>
    <row r="53" spans="1:41" s="3" customFormat="1" ht="30" customHeight="1" x14ac:dyDescent="0.25">
      <c r="A53" s="122" t="s">
        <v>80</v>
      </c>
      <c r="B53" s="95" t="s">
        <v>60</v>
      </c>
      <c r="C53" s="95" t="s">
        <v>112</v>
      </c>
      <c r="D53" s="293" t="s">
        <v>122</v>
      </c>
      <c r="E53" s="50">
        <v>9</v>
      </c>
      <c r="F53" s="280" t="s">
        <v>121</v>
      </c>
      <c r="G53" s="281" t="s">
        <v>168</v>
      </c>
      <c r="H53" s="180"/>
      <c r="I53" s="44"/>
      <c r="J53" s="25"/>
      <c r="K53" s="24"/>
      <c r="L53" s="100"/>
      <c r="M53" s="135"/>
      <c r="N53" s="135"/>
      <c r="O53" s="135"/>
      <c r="P53" s="14" t="s">
        <v>8</v>
      </c>
      <c r="Q53" s="147" t="s">
        <v>7</v>
      </c>
      <c r="R53" s="45" t="e">
        <f t="shared" ca="1" si="1"/>
        <v>#VALUE!</v>
      </c>
      <c r="S53" s="88">
        <v>10768400</v>
      </c>
      <c r="T53" s="52"/>
      <c r="U53" s="52"/>
      <c r="V53" s="16"/>
      <c r="W53" s="21"/>
      <c r="X53" s="21"/>
      <c r="Y53" s="21"/>
      <c r="Z53" s="1"/>
      <c r="AA53" s="137"/>
      <c r="AB53" s="23"/>
      <c r="AC53" s="16"/>
      <c r="AD53" s="16"/>
      <c r="AE53" s="141">
        <v>18648</v>
      </c>
      <c r="AF53" s="18">
        <f t="shared" si="5"/>
        <v>2315.2158079999999</v>
      </c>
      <c r="AG53" s="16">
        <f t="shared" si="12"/>
        <v>2424.2400000000002</v>
      </c>
      <c r="AH53" s="56">
        <f t="shared" si="2"/>
        <v>4739.4558080000006</v>
      </c>
      <c r="AI53" s="91">
        <f t="shared" si="7"/>
        <v>13908.544191999999</v>
      </c>
      <c r="AJ53" s="131">
        <v>0.26</v>
      </c>
      <c r="AK53" s="17">
        <f t="shared" si="13"/>
        <v>0</v>
      </c>
      <c r="AL53" s="92">
        <f t="shared" si="14"/>
        <v>0</v>
      </c>
      <c r="AM53" s="17">
        <f t="shared" si="8"/>
        <v>559.43999999999994</v>
      </c>
      <c r="AN53" s="91">
        <f t="shared" si="9"/>
        <v>559.43999999999994</v>
      </c>
      <c r="AO53" s="56">
        <f t="shared" si="10"/>
        <v>19207.439999999999</v>
      </c>
    </row>
    <row r="54" spans="1:41" s="3" customFormat="1" ht="30" x14ac:dyDescent="0.25">
      <c r="A54" s="162" t="s">
        <v>80</v>
      </c>
      <c r="B54" s="95" t="s">
        <v>60</v>
      </c>
      <c r="C54" s="93" t="s">
        <v>113</v>
      </c>
      <c r="D54" s="293" t="s">
        <v>122</v>
      </c>
      <c r="E54" s="50">
        <v>62</v>
      </c>
      <c r="F54" s="280" t="s">
        <v>121</v>
      </c>
      <c r="G54" s="285" t="s">
        <v>167</v>
      </c>
      <c r="H54" s="180"/>
      <c r="I54" s="49"/>
      <c r="J54" s="166"/>
      <c r="K54" s="165"/>
      <c r="L54" s="167"/>
      <c r="M54" s="135"/>
      <c r="N54" s="168"/>
      <c r="O54" s="168"/>
      <c r="P54" s="164" t="s">
        <v>98</v>
      </c>
      <c r="Q54" s="265" t="s">
        <v>31</v>
      </c>
      <c r="R54" s="169" t="e">
        <f t="shared" ca="1" si="1"/>
        <v>#VALUE!</v>
      </c>
      <c r="S54" s="163">
        <v>11310800</v>
      </c>
      <c r="T54" s="170"/>
      <c r="U54" s="52"/>
      <c r="V54" s="16"/>
      <c r="W54" s="171"/>
      <c r="X54" s="171"/>
      <c r="Y54" s="171"/>
      <c r="Z54" s="4"/>
      <c r="AA54" s="137"/>
      <c r="AB54" s="23"/>
      <c r="AC54" s="16"/>
      <c r="AD54" s="16"/>
      <c r="AE54" s="141">
        <v>41457.800000000003</v>
      </c>
      <c r="AF54" s="18">
        <f t="shared" si="5"/>
        <v>7408.1697600000007</v>
      </c>
      <c r="AG54" s="16">
        <f t="shared" si="12"/>
        <v>5389.5140000000001</v>
      </c>
      <c r="AH54" s="56">
        <f t="shared" si="2"/>
        <v>12797.68376</v>
      </c>
      <c r="AI54" s="91">
        <f t="shared" si="7"/>
        <v>28660.116240000003</v>
      </c>
      <c r="AJ54" s="131">
        <v>0.26</v>
      </c>
      <c r="AK54" s="17">
        <f t="shared" si="13"/>
        <v>0</v>
      </c>
      <c r="AL54" s="92">
        <f t="shared" si="14"/>
        <v>0</v>
      </c>
      <c r="AM54" s="17">
        <f t="shared" si="8"/>
        <v>1243.7340000000002</v>
      </c>
      <c r="AN54" s="91">
        <f t="shared" si="9"/>
        <v>1243.7340000000002</v>
      </c>
      <c r="AO54" s="56">
        <f t="shared" si="10"/>
        <v>42701.534</v>
      </c>
    </row>
    <row r="55" spans="1:41" s="3" customFormat="1" ht="30" customHeight="1" x14ac:dyDescent="0.25">
      <c r="A55" s="122">
        <v>180</v>
      </c>
      <c r="B55" s="95" t="s">
        <v>60</v>
      </c>
      <c r="C55" s="93" t="s">
        <v>114</v>
      </c>
      <c r="D55" s="293" t="s">
        <v>122</v>
      </c>
      <c r="E55" s="50">
        <v>38</v>
      </c>
      <c r="F55" s="280" t="s">
        <v>121</v>
      </c>
      <c r="G55" s="281" t="s">
        <v>169</v>
      </c>
      <c r="H55" s="180"/>
      <c r="I55" s="44"/>
      <c r="J55" s="143"/>
      <c r="K55" s="54"/>
      <c r="L55" s="100"/>
      <c r="M55" s="135"/>
      <c r="N55" s="135"/>
      <c r="O55" s="135"/>
      <c r="P55" s="51" t="s">
        <v>8</v>
      </c>
      <c r="Q55" s="147" t="s">
        <v>7</v>
      </c>
      <c r="R55" s="45" t="e">
        <f t="shared" ca="1" si="1"/>
        <v>#VALUE!</v>
      </c>
      <c r="S55" s="88">
        <v>10751700</v>
      </c>
      <c r="T55" s="52"/>
      <c r="U55" s="52"/>
      <c r="V55" s="16"/>
      <c r="W55" s="16"/>
      <c r="X55" s="16"/>
      <c r="Y55" s="16"/>
      <c r="Z55" s="2"/>
      <c r="AA55" s="137"/>
      <c r="AB55" s="23"/>
      <c r="AC55" s="16"/>
      <c r="AD55" s="16"/>
      <c r="AE55" s="141"/>
      <c r="AF55" s="18">
        <f t="shared" si="5"/>
        <v>0</v>
      </c>
      <c r="AG55" s="16">
        <f t="shared" si="12"/>
        <v>0</v>
      </c>
      <c r="AH55" s="56">
        <f t="shared" si="2"/>
        <v>0</v>
      </c>
      <c r="AI55" s="91">
        <f t="shared" si="7"/>
        <v>0</v>
      </c>
      <c r="AJ55" s="131">
        <v>0.26</v>
      </c>
      <c r="AK55" s="17">
        <f t="shared" si="13"/>
        <v>0</v>
      </c>
      <c r="AL55" s="92">
        <f t="shared" si="14"/>
        <v>0</v>
      </c>
      <c r="AM55" s="17">
        <f t="shared" si="8"/>
        <v>0</v>
      </c>
      <c r="AN55" s="91">
        <f t="shared" si="9"/>
        <v>0</v>
      </c>
      <c r="AO55" s="56">
        <f t="shared" si="10"/>
        <v>0</v>
      </c>
    </row>
    <row r="56" spans="1:41" ht="30" x14ac:dyDescent="0.25">
      <c r="A56" s="309">
        <v>190</v>
      </c>
      <c r="B56" s="310" t="s">
        <v>60</v>
      </c>
      <c r="C56" s="310" t="s">
        <v>115</v>
      </c>
      <c r="D56" s="311" t="s">
        <v>122</v>
      </c>
      <c r="E56" s="312">
        <v>80</v>
      </c>
      <c r="F56" s="313" t="s">
        <v>121</v>
      </c>
      <c r="G56" s="314" t="s">
        <v>170</v>
      </c>
      <c r="H56" s="315"/>
      <c r="I56" s="316"/>
      <c r="J56" s="317"/>
      <c r="K56" s="317"/>
      <c r="L56" s="318"/>
      <c r="M56" s="319"/>
      <c r="N56" s="319"/>
      <c r="O56" s="319"/>
      <c r="P56" s="320" t="s">
        <v>8</v>
      </c>
      <c r="Q56" s="321" t="s">
        <v>7</v>
      </c>
      <c r="R56" s="322" t="e">
        <f t="shared" ca="1" si="1"/>
        <v>#VALUE!</v>
      </c>
      <c r="S56" s="323">
        <v>11790900</v>
      </c>
      <c r="T56" s="324"/>
      <c r="U56" s="324"/>
      <c r="V56" s="16"/>
      <c r="W56" s="326"/>
      <c r="X56" s="326"/>
      <c r="Y56" s="326"/>
      <c r="Z56" s="327"/>
      <c r="AA56" s="328"/>
      <c r="AB56" s="325"/>
      <c r="AC56" s="326"/>
      <c r="AD56" s="326"/>
      <c r="AE56" s="329">
        <v>19931.14</v>
      </c>
      <c r="AF56" s="18">
        <f t="shared" si="5"/>
        <v>2589.2945119999999</v>
      </c>
      <c r="AG56" s="16">
        <f t="shared" si="12"/>
        <v>2591.0482000000002</v>
      </c>
      <c r="AH56" s="330">
        <f t="shared" si="2"/>
        <v>5180.3427119999997</v>
      </c>
      <c r="AI56" s="331">
        <f t="shared" si="7"/>
        <v>14750.797288</v>
      </c>
      <c r="AJ56" s="332">
        <v>0.26</v>
      </c>
      <c r="AK56" s="333">
        <f t="shared" si="13"/>
        <v>0</v>
      </c>
      <c r="AL56" s="334">
        <f t="shared" si="14"/>
        <v>0</v>
      </c>
      <c r="AM56" s="333">
        <f t="shared" si="8"/>
        <v>597.93419999999992</v>
      </c>
      <c r="AN56" s="331">
        <f t="shared" si="9"/>
        <v>597.93419999999992</v>
      </c>
      <c r="AO56" s="330">
        <f t="shared" si="10"/>
        <v>20529.074199999999</v>
      </c>
    </row>
    <row r="57" spans="1:41" x14ac:dyDescent="0.25">
      <c r="A57" s="335"/>
      <c r="B57" s="336"/>
      <c r="C57" s="336"/>
      <c r="D57" s="337"/>
      <c r="E57" s="338"/>
      <c r="F57" s="338"/>
      <c r="G57" s="339"/>
      <c r="H57" s="340"/>
      <c r="I57" s="341"/>
      <c r="J57" s="341"/>
      <c r="K57" s="341"/>
      <c r="L57" s="341"/>
      <c r="M57" s="338"/>
      <c r="N57" s="341"/>
      <c r="O57" s="341"/>
      <c r="P57" s="338"/>
      <c r="Q57" s="338"/>
      <c r="R57" s="180"/>
      <c r="S57" s="342"/>
      <c r="T57" s="180"/>
      <c r="U57" s="180"/>
      <c r="V57" s="338"/>
      <c r="W57" s="338"/>
      <c r="X57" s="338"/>
      <c r="Y57" s="338"/>
      <c r="Z57" s="338"/>
      <c r="AA57" s="343"/>
      <c r="AB57" s="344"/>
      <c r="AC57" s="344"/>
      <c r="AD57" s="338"/>
      <c r="AE57" s="329">
        <v>19706.5</v>
      </c>
      <c r="AF57" s="18">
        <f t="shared" si="5"/>
        <v>2541.311408</v>
      </c>
      <c r="AG57" s="16"/>
      <c r="AH57" s="338"/>
      <c r="AI57" s="338"/>
      <c r="AJ57" s="338"/>
      <c r="AK57" s="338"/>
      <c r="AL57" s="338"/>
      <c r="AM57" s="345"/>
      <c r="AN57" s="345"/>
      <c r="AO57" s="338"/>
    </row>
    <row r="58" spans="1:41" x14ac:dyDescent="0.25">
      <c r="A58" s="335"/>
      <c r="B58" s="336"/>
      <c r="C58" s="336"/>
      <c r="D58" s="337"/>
      <c r="E58" s="338"/>
      <c r="F58" s="338"/>
      <c r="G58" s="339"/>
      <c r="H58" s="340"/>
      <c r="I58" s="341"/>
      <c r="J58" s="341"/>
      <c r="K58" s="341"/>
      <c r="L58" s="341"/>
      <c r="M58" s="338"/>
      <c r="N58" s="341"/>
      <c r="O58" s="341"/>
      <c r="P58" s="338"/>
      <c r="Q58" s="338"/>
      <c r="R58" s="180"/>
      <c r="S58" s="342"/>
      <c r="T58" s="180"/>
      <c r="U58" s="180"/>
      <c r="V58" s="338"/>
      <c r="W58" s="338"/>
      <c r="X58" s="338"/>
      <c r="Y58" s="338"/>
      <c r="Z58" s="338"/>
      <c r="AA58" s="343"/>
      <c r="AB58" s="338"/>
      <c r="AC58" s="338"/>
      <c r="AD58" s="338"/>
      <c r="AE58" s="329"/>
      <c r="AF58" s="18">
        <f t="shared" si="5"/>
        <v>0</v>
      </c>
      <c r="AG58" s="16">
        <f t="shared" si="12"/>
        <v>0</v>
      </c>
      <c r="AH58" s="338"/>
      <c r="AI58" s="338"/>
      <c r="AJ58" s="338"/>
      <c r="AK58" s="338"/>
      <c r="AL58" s="338"/>
      <c r="AM58" s="345"/>
      <c r="AN58" s="345"/>
      <c r="AO58" s="338"/>
    </row>
    <row r="59" spans="1:41" x14ac:dyDescent="0.25">
      <c r="A59" s="335"/>
      <c r="B59" s="336"/>
      <c r="C59" s="336"/>
      <c r="D59" s="337"/>
      <c r="E59" s="338"/>
      <c r="F59" s="338"/>
      <c r="G59" s="339"/>
      <c r="H59" s="340"/>
      <c r="I59" s="341"/>
      <c r="J59" s="341"/>
      <c r="K59" s="341"/>
      <c r="L59" s="341"/>
      <c r="M59" s="338"/>
      <c r="N59" s="341"/>
      <c r="O59" s="341"/>
      <c r="P59" s="338"/>
      <c r="Q59" s="338"/>
      <c r="R59" s="180"/>
      <c r="S59" s="342"/>
      <c r="T59" s="180"/>
      <c r="U59" s="180"/>
      <c r="V59" s="338"/>
      <c r="W59" s="338"/>
      <c r="X59" s="338"/>
      <c r="Y59" s="338"/>
      <c r="Z59" s="338"/>
      <c r="AA59" s="343"/>
      <c r="AB59" s="338"/>
      <c r="AC59" s="338"/>
      <c r="AD59" s="338"/>
      <c r="AE59" s="329"/>
      <c r="AF59" s="18">
        <f t="shared" si="5"/>
        <v>0</v>
      </c>
      <c r="AG59" s="16">
        <f t="shared" si="12"/>
        <v>0</v>
      </c>
      <c r="AH59" s="338"/>
      <c r="AI59" s="338"/>
      <c r="AJ59" s="338"/>
      <c r="AK59" s="338"/>
      <c r="AL59" s="338"/>
      <c r="AM59" s="345"/>
      <c r="AN59" s="345"/>
      <c r="AO59" s="338"/>
    </row>
    <row r="60" spans="1:41" x14ac:dyDescent="0.25">
      <c r="A60" s="335"/>
      <c r="B60" s="336"/>
      <c r="C60" s="336"/>
      <c r="D60" s="337"/>
      <c r="E60" s="338"/>
      <c r="F60" s="338"/>
      <c r="G60" s="339"/>
      <c r="H60" s="340"/>
      <c r="I60" s="341"/>
      <c r="J60" s="341"/>
      <c r="K60" s="341"/>
      <c r="L60" s="341"/>
      <c r="M60" s="338"/>
      <c r="N60" s="341"/>
      <c r="O60" s="341"/>
      <c r="P60" s="338"/>
      <c r="Q60" s="338"/>
      <c r="R60" s="180"/>
      <c r="S60" s="342"/>
      <c r="T60" s="180"/>
      <c r="U60" s="180"/>
      <c r="V60" s="338"/>
      <c r="W60" s="338"/>
      <c r="X60" s="338"/>
      <c r="Y60" s="338"/>
      <c r="Z60" s="338"/>
      <c r="AA60" s="343"/>
      <c r="AB60" s="338"/>
      <c r="AC60" s="338"/>
      <c r="AD60" s="338"/>
      <c r="AE60" s="329"/>
      <c r="AF60" s="18">
        <f t="shared" si="5"/>
        <v>0</v>
      </c>
      <c r="AG60" s="16">
        <f t="shared" si="12"/>
        <v>0</v>
      </c>
      <c r="AH60" s="338"/>
      <c r="AI60" s="338"/>
      <c r="AJ60" s="338"/>
      <c r="AK60" s="338"/>
      <c r="AL60" s="338"/>
      <c r="AM60" s="345"/>
      <c r="AN60" s="345"/>
      <c r="AO60" s="338"/>
    </row>
    <row r="61" spans="1:41" x14ac:dyDescent="0.25">
      <c r="A61" s="335"/>
      <c r="B61" s="336"/>
      <c r="C61" s="336"/>
      <c r="D61" s="337"/>
      <c r="E61" s="338"/>
      <c r="F61" s="338"/>
      <c r="G61" s="339"/>
      <c r="H61" s="340"/>
      <c r="I61" s="341"/>
      <c r="J61" s="341"/>
      <c r="K61" s="341"/>
      <c r="L61" s="341"/>
      <c r="M61" s="338"/>
      <c r="N61" s="341"/>
      <c r="O61" s="341"/>
      <c r="P61" s="338"/>
      <c r="Q61" s="338"/>
      <c r="R61" s="180"/>
      <c r="S61" s="342"/>
      <c r="T61" s="180"/>
      <c r="U61" s="180"/>
      <c r="V61" s="338"/>
      <c r="W61" s="338"/>
      <c r="X61" s="338"/>
      <c r="Y61" s="338"/>
      <c r="Z61" s="338"/>
      <c r="AA61" s="343"/>
      <c r="AB61" s="338"/>
      <c r="AC61" s="338"/>
      <c r="AD61" s="338"/>
      <c r="AE61" s="329"/>
      <c r="AF61" s="18">
        <f t="shared" si="5"/>
        <v>0</v>
      </c>
      <c r="AG61" s="16">
        <f t="shared" si="12"/>
        <v>0</v>
      </c>
      <c r="AH61" s="338"/>
      <c r="AI61" s="338"/>
      <c r="AJ61" s="338"/>
      <c r="AK61" s="338"/>
      <c r="AL61" s="338"/>
      <c r="AM61" s="345"/>
      <c r="AN61" s="345"/>
      <c r="AO61" s="338"/>
    </row>
    <row r="62" spans="1:41" x14ac:dyDescent="0.25">
      <c r="A62" s="335"/>
      <c r="B62" s="336"/>
      <c r="C62" s="336"/>
      <c r="D62" s="337"/>
      <c r="E62" s="338"/>
      <c r="F62" s="338"/>
      <c r="G62" s="339"/>
      <c r="H62" s="340"/>
      <c r="I62" s="341"/>
      <c r="J62" s="341"/>
      <c r="K62" s="341"/>
      <c r="L62" s="341"/>
      <c r="M62" s="338"/>
      <c r="N62" s="341"/>
      <c r="O62" s="341"/>
      <c r="P62" s="338"/>
      <c r="Q62" s="338"/>
      <c r="R62" s="180"/>
      <c r="S62" s="342"/>
      <c r="T62" s="180"/>
      <c r="U62" s="180"/>
      <c r="V62" s="338"/>
      <c r="W62" s="338"/>
      <c r="X62" s="338"/>
      <c r="Y62" s="338"/>
      <c r="Z62" s="338"/>
      <c r="AA62" s="343"/>
      <c r="AB62" s="338"/>
      <c r="AC62" s="338"/>
      <c r="AD62" s="338"/>
      <c r="AE62" s="329"/>
      <c r="AF62" s="18">
        <f t="shared" si="5"/>
        <v>0</v>
      </c>
      <c r="AG62" s="16">
        <f t="shared" si="12"/>
        <v>0</v>
      </c>
      <c r="AH62" s="338"/>
      <c r="AI62" s="338"/>
      <c r="AJ62" s="338"/>
      <c r="AK62" s="338"/>
      <c r="AL62" s="338"/>
      <c r="AM62" s="345"/>
      <c r="AN62" s="345"/>
      <c r="AO62" s="338"/>
    </row>
    <row r="63" spans="1:41" x14ac:dyDescent="0.25">
      <c r="A63" s="335"/>
      <c r="B63" s="336"/>
      <c r="C63" s="336"/>
      <c r="D63" s="337"/>
      <c r="E63" s="338"/>
      <c r="F63" s="338"/>
      <c r="G63" s="339"/>
      <c r="H63" s="340"/>
      <c r="I63" s="341"/>
      <c r="J63" s="341"/>
      <c r="K63" s="341"/>
      <c r="L63" s="341"/>
      <c r="M63" s="338"/>
      <c r="N63" s="341"/>
      <c r="O63" s="341"/>
      <c r="P63" s="338"/>
      <c r="Q63" s="338"/>
      <c r="R63" s="180"/>
      <c r="S63" s="342"/>
      <c r="T63" s="180"/>
      <c r="U63" s="180"/>
      <c r="V63" s="338"/>
      <c r="W63" s="338"/>
      <c r="X63" s="338"/>
      <c r="Y63" s="338"/>
      <c r="Z63" s="338"/>
      <c r="AA63" s="343"/>
      <c r="AB63" s="338"/>
      <c r="AC63" s="338"/>
      <c r="AD63" s="338"/>
      <c r="AE63" s="329"/>
      <c r="AF63" s="18">
        <f t="shared" si="5"/>
        <v>0</v>
      </c>
      <c r="AG63" s="16">
        <f t="shared" si="12"/>
        <v>0</v>
      </c>
      <c r="AH63" s="338"/>
      <c r="AI63" s="338"/>
      <c r="AJ63" s="338"/>
      <c r="AK63" s="338"/>
      <c r="AL63" s="338"/>
      <c r="AM63" s="345"/>
      <c r="AN63" s="345"/>
      <c r="AO63" s="338"/>
    </row>
    <row r="64" spans="1:41" x14ac:dyDescent="0.25">
      <c r="A64" s="335"/>
      <c r="B64" s="336"/>
      <c r="C64" s="336"/>
      <c r="D64" s="337"/>
      <c r="E64" s="338"/>
      <c r="F64" s="338"/>
      <c r="G64" s="339"/>
      <c r="H64" s="340"/>
      <c r="I64" s="341"/>
      <c r="J64" s="341"/>
      <c r="K64" s="341"/>
      <c r="L64" s="341"/>
      <c r="M64" s="338"/>
      <c r="N64" s="341"/>
      <c r="O64" s="341"/>
      <c r="P64" s="338"/>
      <c r="Q64" s="338"/>
      <c r="R64" s="180"/>
      <c r="S64" s="342"/>
      <c r="T64" s="180"/>
      <c r="U64" s="180"/>
      <c r="V64" s="338"/>
      <c r="W64" s="338"/>
      <c r="X64" s="338"/>
      <c r="Y64" s="338"/>
      <c r="Z64" s="338"/>
      <c r="AA64" s="343"/>
      <c r="AB64" s="338"/>
      <c r="AC64" s="338"/>
      <c r="AD64" s="338"/>
      <c r="AE64" s="329"/>
      <c r="AF64" s="18">
        <f t="shared" si="5"/>
        <v>0</v>
      </c>
      <c r="AG64" s="16">
        <f t="shared" si="12"/>
        <v>0</v>
      </c>
      <c r="AH64" s="338"/>
      <c r="AI64" s="338"/>
      <c r="AJ64" s="338"/>
      <c r="AK64" s="338"/>
      <c r="AL64" s="338"/>
      <c r="AM64" s="345"/>
      <c r="AN64" s="345"/>
      <c r="AO64" s="338"/>
    </row>
    <row r="65" spans="1:41" x14ac:dyDescent="0.25">
      <c r="A65" s="335"/>
      <c r="B65" s="336"/>
      <c r="C65" s="336"/>
      <c r="D65" s="337"/>
      <c r="E65" s="338"/>
      <c r="F65" s="338"/>
      <c r="G65" s="339"/>
      <c r="H65" s="340"/>
      <c r="I65" s="341"/>
      <c r="J65" s="341"/>
      <c r="K65" s="341"/>
      <c r="L65" s="341"/>
      <c r="M65" s="338"/>
      <c r="N65" s="341"/>
      <c r="O65" s="341"/>
      <c r="P65" s="338"/>
      <c r="Q65" s="338"/>
      <c r="R65" s="180"/>
      <c r="S65" s="342"/>
      <c r="T65" s="180"/>
      <c r="U65" s="180"/>
      <c r="V65" s="338"/>
      <c r="W65" s="338"/>
      <c r="X65" s="338"/>
      <c r="Y65" s="338"/>
      <c r="Z65" s="338"/>
      <c r="AA65" s="343"/>
      <c r="AB65" s="338"/>
      <c r="AC65" s="338"/>
      <c r="AD65" s="338"/>
      <c r="AE65" s="329"/>
      <c r="AF65" s="18">
        <f t="shared" si="5"/>
        <v>0</v>
      </c>
      <c r="AG65" s="16">
        <f t="shared" si="12"/>
        <v>0</v>
      </c>
      <c r="AH65" s="338"/>
      <c r="AI65" s="338"/>
      <c r="AJ65" s="338"/>
      <c r="AK65" s="338"/>
      <c r="AL65" s="338"/>
      <c r="AM65" s="345"/>
      <c r="AN65" s="345"/>
      <c r="AO65" s="338"/>
    </row>
    <row r="66" spans="1:41" x14ac:dyDescent="0.25">
      <c r="A66" s="335"/>
      <c r="B66" s="336"/>
      <c r="C66" s="336"/>
      <c r="D66" s="337"/>
      <c r="E66" s="338"/>
      <c r="F66" s="338"/>
      <c r="G66" s="339"/>
      <c r="H66" s="340"/>
      <c r="I66" s="341"/>
      <c r="J66" s="341"/>
      <c r="K66" s="341"/>
      <c r="L66" s="341"/>
      <c r="M66" s="338"/>
      <c r="N66" s="341"/>
      <c r="O66" s="341"/>
      <c r="P66" s="338"/>
      <c r="Q66" s="338"/>
      <c r="R66" s="180"/>
      <c r="S66" s="342"/>
      <c r="T66" s="180"/>
      <c r="U66" s="180"/>
      <c r="V66" s="338"/>
      <c r="W66" s="338"/>
      <c r="X66" s="338"/>
      <c r="Y66" s="338"/>
      <c r="Z66" s="338"/>
      <c r="AA66" s="343"/>
      <c r="AB66" s="338"/>
      <c r="AC66" s="338"/>
      <c r="AD66" s="338"/>
      <c r="AE66" s="329"/>
      <c r="AF66" s="18">
        <f t="shared" si="5"/>
        <v>0</v>
      </c>
      <c r="AG66" s="16">
        <f t="shared" si="12"/>
        <v>0</v>
      </c>
      <c r="AH66" s="338"/>
      <c r="AI66" s="338"/>
      <c r="AJ66" s="338"/>
      <c r="AK66" s="338"/>
      <c r="AL66" s="338"/>
      <c r="AM66" s="345"/>
      <c r="AN66" s="345"/>
      <c r="AO66" s="338"/>
    </row>
    <row r="67" spans="1:41" x14ac:dyDescent="0.25">
      <c r="A67" s="335"/>
      <c r="B67" s="336"/>
      <c r="C67" s="336"/>
      <c r="D67" s="337"/>
      <c r="E67" s="338"/>
      <c r="F67" s="338"/>
      <c r="G67" s="339"/>
      <c r="H67" s="340"/>
      <c r="I67" s="341"/>
      <c r="J67" s="341"/>
      <c r="K67" s="341"/>
      <c r="L67" s="341"/>
      <c r="M67" s="338"/>
      <c r="N67" s="341"/>
      <c r="O67" s="341"/>
      <c r="P67" s="338"/>
      <c r="Q67" s="338"/>
      <c r="R67" s="180"/>
      <c r="S67" s="342"/>
      <c r="T67" s="180"/>
      <c r="U67" s="180"/>
      <c r="V67" s="338"/>
      <c r="W67" s="338"/>
      <c r="X67" s="338"/>
      <c r="Y67" s="338"/>
      <c r="Z67" s="338"/>
      <c r="AA67" s="343"/>
      <c r="AB67" s="338"/>
      <c r="AC67" s="338"/>
      <c r="AD67" s="338"/>
      <c r="AE67" s="329"/>
      <c r="AF67" s="18">
        <f t="shared" si="5"/>
        <v>0</v>
      </c>
      <c r="AG67" s="16"/>
      <c r="AH67" s="338"/>
      <c r="AI67" s="338"/>
      <c r="AJ67" s="338"/>
      <c r="AK67" s="338"/>
      <c r="AL67" s="338"/>
      <c r="AM67" s="345"/>
      <c r="AN67" s="345"/>
      <c r="AO67" s="338"/>
    </row>
    <row r="68" spans="1:41" x14ac:dyDescent="0.25">
      <c r="A68" s="335"/>
      <c r="B68" s="336"/>
      <c r="C68" s="336"/>
      <c r="D68" s="337"/>
      <c r="E68" s="338"/>
      <c r="F68" s="338"/>
      <c r="G68" s="339"/>
      <c r="H68" s="340"/>
      <c r="I68" s="341"/>
      <c r="J68" s="341"/>
      <c r="K68" s="341"/>
      <c r="L68" s="341"/>
      <c r="M68" s="338"/>
      <c r="N68" s="341"/>
      <c r="O68" s="341"/>
      <c r="P68" s="338"/>
      <c r="Q68" s="338"/>
      <c r="R68" s="180"/>
      <c r="S68" s="342"/>
      <c r="T68" s="180"/>
      <c r="U68" s="180"/>
      <c r="V68" s="338"/>
      <c r="W68" s="338"/>
      <c r="X68" s="338"/>
      <c r="Y68" s="338"/>
      <c r="Z68" s="338"/>
      <c r="AA68" s="343"/>
      <c r="AB68" s="338"/>
      <c r="AC68" s="338"/>
      <c r="AD68" s="338"/>
      <c r="AE68" s="329"/>
      <c r="AF68" s="18">
        <f t="shared" si="5"/>
        <v>0</v>
      </c>
      <c r="AG68" s="16"/>
      <c r="AH68" s="338"/>
      <c r="AI68" s="338"/>
      <c r="AJ68" s="338"/>
      <c r="AK68" s="338"/>
      <c r="AL68" s="338"/>
      <c r="AM68" s="345"/>
      <c r="AN68" s="345"/>
      <c r="AO68" s="338"/>
    </row>
    <row r="69" spans="1:41" x14ac:dyDescent="0.25">
      <c r="A69" s="335"/>
      <c r="B69" s="336"/>
      <c r="C69" s="336"/>
      <c r="D69" s="337"/>
      <c r="E69" s="338"/>
      <c r="F69" s="338"/>
      <c r="G69" s="339"/>
      <c r="H69" s="340"/>
      <c r="I69" s="341"/>
      <c r="J69" s="341"/>
      <c r="K69" s="341"/>
      <c r="L69" s="341"/>
      <c r="M69" s="338"/>
      <c r="N69" s="341"/>
      <c r="O69" s="341"/>
      <c r="P69" s="338"/>
      <c r="Q69" s="338"/>
      <c r="R69" s="180"/>
      <c r="S69" s="342"/>
      <c r="T69" s="180"/>
      <c r="U69" s="180"/>
      <c r="V69" s="338"/>
      <c r="W69" s="338"/>
      <c r="X69" s="338"/>
      <c r="Y69" s="338"/>
      <c r="Z69" s="338"/>
      <c r="AA69" s="343"/>
      <c r="AB69" s="338"/>
      <c r="AC69" s="338"/>
      <c r="AD69" s="338"/>
      <c r="AE69" s="329"/>
      <c r="AF69" s="18">
        <f t="shared" si="5"/>
        <v>0</v>
      </c>
      <c r="AG69" s="16"/>
      <c r="AH69" s="338"/>
      <c r="AI69" s="338"/>
      <c r="AJ69" s="338"/>
      <c r="AK69" s="338"/>
      <c r="AL69" s="338"/>
      <c r="AM69" s="345"/>
      <c r="AN69" s="345"/>
      <c r="AO69" s="338"/>
    </row>
    <row r="70" spans="1:41" x14ac:dyDescent="0.25">
      <c r="A70" s="335"/>
      <c r="B70" s="336"/>
      <c r="C70" s="336"/>
      <c r="D70" s="337"/>
      <c r="E70" s="338"/>
      <c r="F70" s="338"/>
      <c r="G70" s="339"/>
      <c r="H70" s="340"/>
      <c r="I70" s="341"/>
      <c r="J70" s="341"/>
      <c r="K70" s="341"/>
      <c r="L70" s="341"/>
      <c r="M70" s="338"/>
      <c r="N70" s="341"/>
      <c r="O70" s="341"/>
      <c r="P70" s="338"/>
      <c r="Q70" s="338"/>
      <c r="R70" s="180"/>
      <c r="S70" s="342"/>
      <c r="T70" s="180"/>
      <c r="U70" s="180"/>
      <c r="V70" s="338"/>
      <c r="W70" s="338"/>
      <c r="X70" s="338"/>
      <c r="Y70" s="338"/>
      <c r="Z70" s="338"/>
      <c r="AA70" s="343"/>
      <c r="AB70" s="338"/>
      <c r="AC70" s="338"/>
      <c r="AD70" s="338"/>
      <c r="AE70" s="329"/>
      <c r="AF70" s="18">
        <f t="shared" ref="AF70:AF86" si="15">Impuesto2023(AE70,30)</f>
        <v>0</v>
      </c>
      <c r="AG70" s="16"/>
      <c r="AH70" s="338"/>
      <c r="AI70" s="338"/>
      <c r="AJ70" s="338"/>
      <c r="AK70" s="338"/>
      <c r="AL70" s="338"/>
      <c r="AM70" s="345"/>
      <c r="AN70" s="345"/>
      <c r="AO70" s="338"/>
    </row>
    <row r="71" spans="1:41" x14ac:dyDescent="0.25">
      <c r="A71" s="335"/>
      <c r="B71" s="336"/>
      <c r="C71" s="336"/>
      <c r="D71" s="337"/>
      <c r="E71" s="338"/>
      <c r="F71" s="338"/>
      <c r="G71" s="339"/>
      <c r="H71" s="340"/>
      <c r="I71" s="341"/>
      <c r="J71" s="341"/>
      <c r="K71" s="341"/>
      <c r="L71" s="341"/>
      <c r="M71" s="338"/>
      <c r="N71" s="341"/>
      <c r="O71" s="341"/>
      <c r="P71" s="338"/>
      <c r="Q71" s="338"/>
      <c r="R71" s="180"/>
      <c r="S71" s="342"/>
      <c r="T71" s="180"/>
      <c r="U71" s="180"/>
      <c r="V71" s="338"/>
      <c r="W71" s="338"/>
      <c r="X71" s="338"/>
      <c r="Y71" s="338"/>
      <c r="Z71" s="338"/>
      <c r="AA71" s="343"/>
      <c r="AB71" s="338"/>
      <c r="AC71" s="338"/>
      <c r="AD71" s="338"/>
      <c r="AE71" s="329"/>
      <c r="AF71" s="18">
        <f t="shared" si="15"/>
        <v>0</v>
      </c>
      <c r="AG71" s="16"/>
      <c r="AH71" s="338"/>
      <c r="AI71" s="338"/>
      <c r="AJ71" s="338"/>
      <c r="AK71" s="338"/>
      <c r="AL71" s="338"/>
      <c r="AM71" s="345"/>
      <c r="AN71" s="345"/>
      <c r="AO71" s="338"/>
    </row>
    <row r="72" spans="1:41" x14ac:dyDescent="0.25">
      <c r="A72" s="335"/>
      <c r="B72" s="336"/>
      <c r="C72" s="336"/>
      <c r="D72" s="337"/>
      <c r="E72" s="338"/>
      <c r="F72" s="338"/>
      <c r="G72" s="339"/>
      <c r="H72" s="340"/>
      <c r="I72" s="341"/>
      <c r="J72" s="341"/>
      <c r="K72" s="341"/>
      <c r="L72" s="341"/>
      <c r="M72" s="338"/>
      <c r="N72" s="341"/>
      <c r="O72" s="341"/>
      <c r="P72" s="338"/>
      <c r="Q72" s="338"/>
      <c r="R72" s="180"/>
      <c r="S72" s="342"/>
      <c r="T72" s="180"/>
      <c r="U72" s="180"/>
      <c r="V72" s="338"/>
      <c r="W72" s="338"/>
      <c r="X72" s="338"/>
      <c r="Y72" s="338"/>
      <c r="Z72" s="338"/>
      <c r="AA72" s="343"/>
      <c r="AB72" s="338"/>
      <c r="AC72" s="338"/>
      <c r="AD72" s="338"/>
      <c r="AE72" s="329"/>
      <c r="AF72" s="18">
        <f t="shared" si="15"/>
        <v>0</v>
      </c>
      <c r="AG72" s="16"/>
      <c r="AH72" s="338"/>
      <c r="AI72" s="338"/>
      <c r="AJ72" s="338"/>
      <c r="AK72" s="338"/>
      <c r="AL72" s="338"/>
      <c r="AM72" s="345"/>
      <c r="AN72" s="345"/>
      <c r="AO72" s="338"/>
    </row>
    <row r="73" spans="1:41" x14ac:dyDescent="0.25">
      <c r="A73" s="335"/>
      <c r="B73" s="336"/>
      <c r="C73" s="336"/>
      <c r="D73" s="337"/>
      <c r="E73" s="338"/>
      <c r="F73" s="338"/>
      <c r="G73" s="339"/>
      <c r="H73" s="340"/>
      <c r="I73" s="341"/>
      <c r="J73" s="341"/>
      <c r="K73" s="341"/>
      <c r="L73" s="341"/>
      <c r="M73" s="338"/>
      <c r="N73" s="341"/>
      <c r="O73" s="341"/>
      <c r="P73" s="338"/>
      <c r="Q73" s="338"/>
      <c r="R73" s="180"/>
      <c r="S73" s="342"/>
      <c r="T73" s="180"/>
      <c r="U73" s="180"/>
      <c r="V73" s="338"/>
      <c r="W73" s="338"/>
      <c r="X73" s="338"/>
      <c r="Y73" s="338"/>
      <c r="Z73" s="338"/>
      <c r="AA73" s="343"/>
      <c r="AB73" s="338"/>
      <c r="AC73" s="338"/>
      <c r="AD73" s="338"/>
      <c r="AE73" s="329"/>
      <c r="AF73" s="18">
        <f t="shared" si="15"/>
        <v>0</v>
      </c>
      <c r="AG73" s="16"/>
      <c r="AH73" s="338"/>
      <c r="AI73" s="338"/>
      <c r="AJ73" s="338"/>
      <c r="AK73" s="338"/>
      <c r="AL73" s="338"/>
      <c r="AM73" s="345"/>
      <c r="AN73" s="345"/>
      <c r="AO73" s="338"/>
    </row>
    <row r="74" spans="1:41" x14ac:dyDescent="0.25">
      <c r="A74" s="335"/>
      <c r="B74" s="336"/>
      <c r="C74" s="336"/>
      <c r="D74" s="337"/>
      <c r="E74" s="338"/>
      <c r="F74" s="338"/>
      <c r="G74" s="339"/>
      <c r="H74" s="340"/>
      <c r="I74" s="341"/>
      <c r="J74" s="341"/>
      <c r="K74" s="341"/>
      <c r="L74" s="341"/>
      <c r="M74" s="338"/>
      <c r="N74" s="341"/>
      <c r="O74" s="341"/>
      <c r="P74" s="338"/>
      <c r="Q74" s="338"/>
      <c r="R74" s="180"/>
      <c r="S74" s="342"/>
      <c r="T74" s="180"/>
      <c r="U74" s="180"/>
      <c r="V74" s="338"/>
      <c r="W74" s="338"/>
      <c r="X74" s="338"/>
      <c r="Y74" s="338"/>
      <c r="Z74" s="338"/>
      <c r="AA74" s="343"/>
      <c r="AB74" s="338"/>
      <c r="AC74" s="338"/>
      <c r="AD74" s="338"/>
      <c r="AE74" s="329"/>
      <c r="AF74" s="18">
        <f t="shared" si="15"/>
        <v>0</v>
      </c>
      <c r="AG74" s="16">
        <f t="shared" ref="AG74:AG80" si="16">AE74*13%</f>
        <v>0</v>
      </c>
      <c r="AH74" s="338"/>
      <c r="AI74" s="338"/>
      <c r="AJ74" s="338"/>
      <c r="AK74" s="338"/>
      <c r="AL74" s="338"/>
      <c r="AM74" s="345"/>
      <c r="AN74" s="345"/>
      <c r="AO74" s="338"/>
    </row>
    <row r="75" spans="1:41" x14ac:dyDescent="0.25">
      <c r="A75" s="335"/>
      <c r="B75" s="336"/>
      <c r="C75" s="336"/>
      <c r="D75" s="337"/>
      <c r="E75" s="338"/>
      <c r="F75" s="338"/>
      <c r="G75" s="339"/>
      <c r="H75" s="340"/>
      <c r="I75" s="341"/>
      <c r="J75" s="341"/>
      <c r="K75" s="341"/>
      <c r="L75" s="341"/>
      <c r="M75" s="338"/>
      <c r="N75" s="341"/>
      <c r="O75" s="341"/>
      <c r="P75" s="338"/>
      <c r="Q75" s="338"/>
      <c r="R75" s="180"/>
      <c r="S75" s="342"/>
      <c r="T75" s="180"/>
      <c r="U75" s="180"/>
      <c r="V75" s="338"/>
      <c r="W75" s="338"/>
      <c r="X75" s="338"/>
      <c r="Y75" s="338"/>
      <c r="Z75" s="338"/>
      <c r="AA75" s="343"/>
      <c r="AB75" s="338"/>
      <c r="AC75" s="338"/>
      <c r="AD75" s="338"/>
      <c r="AE75" s="329"/>
      <c r="AF75" s="18">
        <f t="shared" si="15"/>
        <v>0</v>
      </c>
      <c r="AG75" s="16">
        <f t="shared" si="16"/>
        <v>0</v>
      </c>
      <c r="AH75" s="338"/>
      <c r="AI75" s="338"/>
      <c r="AJ75" s="338"/>
      <c r="AK75" s="338"/>
      <c r="AL75" s="338"/>
      <c r="AM75" s="345"/>
      <c r="AN75" s="345"/>
      <c r="AO75" s="338"/>
    </row>
    <row r="76" spans="1:41" x14ac:dyDescent="0.25">
      <c r="A76" s="335"/>
      <c r="B76" s="336"/>
      <c r="C76" s="336"/>
      <c r="D76" s="337"/>
      <c r="E76" s="338"/>
      <c r="F76" s="338"/>
      <c r="G76" s="339"/>
      <c r="H76" s="340"/>
      <c r="I76" s="341"/>
      <c r="J76" s="341"/>
      <c r="K76" s="341"/>
      <c r="L76" s="341"/>
      <c r="M76" s="338"/>
      <c r="N76" s="341"/>
      <c r="O76" s="341"/>
      <c r="P76" s="338"/>
      <c r="Q76" s="338"/>
      <c r="R76" s="180"/>
      <c r="S76" s="342"/>
      <c r="T76" s="180"/>
      <c r="U76" s="180"/>
      <c r="V76" s="338"/>
      <c r="W76" s="338"/>
      <c r="X76" s="338"/>
      <c r="Y76" s="338"/>
      <c r="Z76" s="338"/>
      <c r="AA76" s="343"/>
      <c r="AB76" s="338"/>
      <c r="AC76" s="338"/>
      <c r="AD76" s="338"/>
      <c r="AE76" s="329"/>
      <c r="AF76" s="18">
        <f t="shared" si="15"/>
        <v>0</v>
      </c>
      <c r="AG76" s="16">
        <f t="shared" si="16"/>
        <v>0</v>
      </c>
      <c r="AH76" s="338"/>
      <c r="AI76" s="338"/>
      <c r="AJ76" s="338"/>
      <c r="AK76" s="338"/>
      <c r="AL76" s="338"/>
      <c r="AM76" s="345"/>
      <c r="AN76" s="345"/>
      <c r="AO76" s="338"/>
    </row>
    <row r="77" spans="1:41" x14ac:dyDescent="0.25">
      <c r="A77" s="335"/>
      <c r="B77" s="336"/>
      <c r="C77" s="336"/>
      <c r="D77" s="337"/>
      <c r="E77" s="338"/>
      <c r="F77" s="338"/>
      <c r="G77" s="339"/>
      <c r="H77" s="340"/>
      <c r="I77" s="341"/>
      <c r="J77" s="341"/>
      <c r="K77" s="341"/>
      <c r="L77" s="341"/>
      <c r="M77" s="338"/>
      <c r="N77" s="341"/>
      <c r="O77" s="341"/>
      <c r="P77" s="338"/>
      <c r="Q77" s="338"/>
      <c r="R77" s="180"/>
      <c r="S77" s="342"/>
      <c r="T77" s="180"/>
      <c r="U77" s="180"/>
      <c r="V77" s="338"/>
      <c r="W77" s="338"/>
      <c r="X77" s="338"/>
      <c r="Y77" s="338"/>
      <c r="Z77" s="338"/>
      <c r="AA77" s="343"/>
      <c r="AB77" s="338"/>
      <c r="AC77" s="338"/>
      <c r="AD77" s="338"/>
      <c r="AE77" s="329"/>
      <c r="AF77" s="18">
        <f t="shared" si="15"/>
        <v>0</v>
      </c>
      <c r="AG77" s="16">
        <f t="shared" si="16"/>
        <v>0</v>
      </c>
      <c r="AH77" s="338"/>
      <c r="AI77" s="338"/>
      <c r="AJ77" s="338"/>
      <c r="AK77" s="338"/>
      <c r="AL77" s="338"/>
      <c r="AM77" s="345"/>
      <c r="AN77" s="345"/>
      <c r="AO77" s="338"/>
    </row>
    <row r="78" spans="1:41" x14ac:dyDescent="0.25">
      <c r="A78" s="335"/>
      <c r="B78" s="336"/>
      <c r="C78" s="336"/>
      <c r="D78" s="337"/>
      <c r="E78" s="338"/>
      <c r="F78" s="338"/>
      <c r="G78" s="339"/>
      <c r="H78" s="340"/>
      <c r="I78" s="341"/>
      <c r="J78" s="341"/>
      <c r="K78" s="341"/>
      <c r="L78" s="341"/>
      <c r="M78" s="338"/>
      <c r="N78" s="341"/>
      <c r="O78" s="341"/>
      <c r="P78" s="338"/>
      <c r="Q78" s="338"/>
      <c r="R78" s="180"/>
      <c r="S78" s="342"/>
      <c r="T78" s="180"/>
      <c r="U78" s="180"/>
      <c r="V78" s="338"/>
      <c r="W78" s="338"/>
      <c r="X78" s="338"/>
      <c r="Y78" s="338"/>
      <c r="Z78" s="338"/>
      <c r="AA78" s="343"/>
      <c r="AB78" s="338"/>
      <c r="AC78" s="338"/>
      <c r="AD78" s="338"/>
      <c r="AE78" s="329"/>
      <c r="AF78" s="18">
        <f t="shared" si="15"/>
        <v>0</v>
      </c>
      <c r="AG78" s="16">
        <f t="shared" si="16"/>
        <v>0</v>
      </c>
      <c r="AH78" s="338"/>
      <c r="AI78" s="338"/>
      <c r="AJ78" s="338"/>
      <c r="AK78" s="338"/>
      <c r="AL78" s="338"/>
      <c r="AM78" s="345"/>
      <c r="AN78" s="345"/>
      <c r="AO78" s="338"/>
    </row>
    <row r="79" spans="1:41" x14ac:dyDescent="0.25">
      <c r="A79" s="335"/>
      <c r="B79" s="336"/>
      <c r="C79" s="336"/>
      <c r="D79" s="337"/>
      <c r="E79" s="338"/>
      <c r="F79" s="338"/>
      <c r="G79" s="339"/>
      <c r="H79" s="340"/>
      <c r="I79" s="341"/>
      <c r="J79" s="341"/>
      <c r="K79" s="341"/>
      <c r="L79" s="341"/>
      <c r="M79" s="338"/>
      <c r="N79" s="341"/>
      <c r="O79" s="341"/>
      <c r="P79" s="338"/>
      <c r="Q79" s="338"/>
      <c r="R79" s="180"/>
      <c r="S79" s="342"/>
      <c r="T79" s="180"/>
      <c r="U79" s="180"/>
      <c r="V79" s="338"/>
      <c r="W79" s="338"/>
      <c r="X79" s="338"/>
      <c r="Y79" s="338"/>
      <c r="Z79" s="338"/>
      <c r="AA79" s="343"/>
      <c r="AB79" s="338"/>
      <c r="AC79" s="338"/>
      <c r="AD79" s="338"/>
      <c r="AE79" s="329"/>
      <c r="AF79" s="18">
        <f t="shared" si="15"/>
        <v>0</v>
      </c>
      <c r="AG79" s="16">
        <f t="shared" si="16"/>
        <v>0</v>
      </c>
      <c r="AH79" s="338"/>
      <c r="AI79" s="338"/>
      <c r="AJ79" s="338"/>
      <c r="AK79" s="338"/>
      <c r="AL79" s="338"/>
      <c r="AM79" s="345"/>
      <c r="AN79" s="345"/>
      <c r="AO79" s="338"/>
    </row>
    <row r="80" spans="1:41" x14ac:dyDescent="0.25">
      <c r="A80" s="335"/>
      <c r="B80" s="336"/>
      <c r="C80" s="336"/>
      <c r="D80" s="337"/>
      <c r="E80" s="338"/>
      <c r="F80" s="338"/>
      <c r="G80" s="339"/>
      <c r="H80" s="340"/>
      <c r="I80" s="341"/>
      <c r="J80" s="341"/>
      <c r="K80" s="341"/>
      <c r="L80" s="341"/>
      <c r="M80" s="338"/>
      <c r="N80" s="341"/>
      <c r="O80" s="341"/>
      <c r="P80" s="338"/>
      <c r="Q80" s="338"/>
      <c r="R80" s="180"/>
      <c r="S80" s="342"/>
      <c r="T80" s="180"/>
      <c r="U80" s="180"/>
      <c r="V80" s="338"/>
      <c r="W80" s="338"/>
      <c r="X80" s="338"/>
      <c r="Y80" s="338"/>
      <c r="Z80" s="338"/>
      <c r="AA80" s="343"/>
      <c r="AB80" s="338"/>
      <c r="AC80" s="338"/>
      <c r="AD80" s="338"/>
      <c r="AE80" s="329"/>
      <c r="AF80" s="18">
        <f t="shared" si="15"/>
        <v>0</v>
      </c>
      <c r="AG80" s="16">
        <f t="shared" si="16"/>
        <v>0</v>
      </c>
      <c r="AH80" s="338"/>
      <c r="AI80" s="338"/>
      <c r="AJ80" s="338"/>
      <c r="AK80" s="338"/>
      <c r="AL80" s="338"/>
      <c r="AM80" s="345"/>
      <c r="AN80" s="345"/>
      <c r="AO80" s="338"/>
    </row>
    <row r="81" spans="1:41" x14ac:dyDescent="0.25">
      <c r="A81" s="335"/>
      <c r="B81" s="336"/>
      <c r="C81" s="336"/>
      <c r="D81" s="337"/>
      <c r="E81" s="338"/>
      <c r="F81" s="338"/>
      <c r="G81" s="339"/>
      <c r="H81" s="340"/>
      <c r="I81" s="341"/>
      <c r="J81" s="341"/>
      <c r="K81" s="341"/>
      <c r="L81" s="341"/>
      <c r="M81" s="338"/>
      <c r="N81" s="341"/>
      <c r="O81" s="341"/>
      <c r="P81" s="338"/>
      <c r="Q81" s="338"/>
      <c r="R81" s="180"/>
      <c r="S81" s="342"/>
      <c r="T81" s="180"/>
      <c r="U81" s="180"/>
      <c r="V81" s="338"/>
      <c r="W81" s="338"/>
      <c r="X81" s="338"/>
      <c r="Y81" s="338"/>
      <c r="Z81" s="338"/>
      <c r="AA81" s="343"/>
      <c r="AB81" s="338"/>
      <c r="AC81" s="338"/>
      <c r="AD81" s="338"/>
      <c r="AE81" s="338"/>
      <c r="AF81" s="18">
        <f t="shared" si="15"/>
        <v>0</v>
      </c>
      <c r="AG81" s="338"/>
      <c r="AH81" s="338"/>
      <c r="AI81" s="338"/>
      <c r="AJ81" s="338"/>
      <c r="AK81" s="338"/>
      <c r="AL81" s="338"/>
      <c r="AM81" s="345"/>
      <c r="AN81" s="345"/>
      <c r="AO81" s="338"/>
    </row>
    <row r="82" spans="1:41" x14ac:dyDescent="0.25">
      <c r="A82" s="335"/>
      <c r="B82" s="336"/>
      <c r="C82" s="336"/>
      <c r="D82" s="337"/>
      <c r="E82" s="338"/>
      <c r="F82" s="338"/>
      <c r="G82" s="339"/>
      <c r="H82" s="340"/>
      <c r="I82" s="341"/>
      <c r="J82" s="341"/>
      <c r="K82" s="341"/>
      <c r="L82" s="341"/>
      <c r="M82" s="338"/>
      <c r="N82" s="341"/>
      <c r="O82" s="341"/>
      <c r="P82" s="338"/>
      <c r="Q82" s="338"/>
      <c r="R82" s="180"/>
      <c r="S82" s="342"/>
      <c r="T82" s="180"/>
      <c r="U82" s="180"/>
      <c r="V82" s="338"/>
      <c r="W82" s="338"/>
      <c r="X82" s="338"/>
      <c r="Y82" s="338"/>
      <c r="Z82" s="338"/>
      <c r="AA82" s="343"/>
      <c r="AB82" s="338"/>
      <c r="AC82" s="338"/>
      <c r="AD82" s="338"/>
      <c r="AE82" s="338"/>
      <c r="AF82" s="18">
        <f t="shared" si="15"/>
        <v>0</v>
      </c>
      <c r="AG82" s="338"/>
      <c r="AH82" s="338"/>
      <c r="AI82" s="338"/>
      <c r="AJ82" s="338"/>
      <c r="AK82" s="338"/>
      <c r="AL82" s="338"/>
      <c r="AM82" s="345"/>
      <c r="AN82" s="345"/>
      <c r="AO82" s="338"/>
    </row>
    <row r="83" spans="1:41" x14ac:dyDescent="0.25">
      <c r="A83" s="335"/>
      <c r="B83" s="336"/>
      <c r="C83" s="336"/>
      <c r="D83" s="337"/>
      <c r="E83" s="338"/>
      <c r="F83" s="338"/>
      <c r="G83" s="339"/>
      <c r="H83" s="340"/>
      <c r="I83" s="341"/>
      <c r="J83" s="341"/>
      <c r="K83" s="341"/>
      <c r="L83" s="341"/>
      <c r="M83" s="338"/>
      <c r="N83" s="341"/>
      <c r="O83" s="341"/>
      <c r="P83" s="338"/>
      <c r="Q83" s="338"/>
      <c r="R83" s="180"/>
      <c r="S83" s="342"/>
      <c r="T83" s="180"/>
      <c r="U83" s="180"/>
      <c r="V83" s="338"/>
      <c r="W83" s="338"/>
      <c r="X83" s="338"/>
      <c r="Y83" s="338"/>
      <c r="Z83" s="338"/>
      <c r="AA83" s="343"/>
      <c r="AB83" s="338"/>
      <c r="AC83" s="338"/>
      <c r="AD83" s="338"/>
      <c r="AE83" s="338"/>
      <c r="AF83" s="18">
        <f t="shared" si="15"/>
        <v>0</v>
      </c>
      <c r="AG83" s="338"/>
      <c r="AH83" s="338"/>
      <c r="AI83" s="338"/>
      <c r="AJ83" s="338"/>
      <c r="AK83" s="338"/>
      <c r="AL83" s="338"/>
      <c r="AM83" s="345"/>
      <c r="AN83" s="345"/>
      <c r="AO83" s="338"/>
    </row>
    <row r="84" spans="1:41" x14ac:dyDescent="0.25">
      <c r="A84" s="335"/>
      <c r="B84" s="336"/>
      <c r="C84" s="336"/>
      <c r="D84" s="337"/>
      <c r="E84" s="338"/>
      <c r="F84" s="338"/>
      <c r="G84" s="339"/>
      <c r="H84" s="340"/>
      <c r="I84" s="341"/>
      <c r="J84" s="341"/>
      <c r="K84" s="341"/>
      <c r="L84" s="341"/>
      <c r="M84" s="338"/>
      <c r="N84" s="341"/>
      <c r="O84" s="341"/>
      <c r="P84" s="338"/>
      <c r="Q84" s="338"/>
      <c r="R84" s="180"/>
      <c r="S84" s="342"/>
      <c r="T84" s="180"/>
      <c r="U84" s="180"/>
      <c r="V84" s="338"/>
      <c r="W84" s="338"/>
      <c r="X84" s="338"/>
      <c r="Y84" s="338"/>
      <c r="Z84" s="338"/>
      <c r="AA84" s="343"/>
      <c r="AB84" s="338"/>
      <c r="AC84" s="338"/>
      <c r="AD84" s="338"/>
      <c r="AE84" s="338"/>
      <c r="AF84" s="18">
        <f t="shared" si="15"/>
        <v>0</v>
      </c>
      <c r="AG84" s="338"/>
      <c r="AH84" s="338"/>
      <c r="AI84" s="338"/>
      <c r="AJ84" s="338"/>
      <c r="AK84" s="338"/>
      <c r="AL84" s="338"/>
      <c r="AM84" s="345"/>
      <c r="AN84" s="345"/>
      <c r="AO84" s="338"/>
    </row>
    <row r="85" spans="1:41" x14ac:dyDescent="0.25">
      <c r="A85" s="335"/>
      <c r="B85" s="336"/>
      <c r="C85" s="336"/>
      <c r="D85" s="337"/>
      <c r="E85" s="338"/>
      <c r="F85" s="338"/>
      <c r="G85" s="339"/>
      <c r="H85" s="340"/>
      <c r="I85" s="341"/>
      <c r="J85" s="341"/>
      <c r="K85" s="341"/>
      <c r="L85" s="341"/>
      <c r="M85" s="338"/>
      <c r="N85" s="341"/>
      <c r="O85" s="341"/>
      <c r="P85" s="338"/>
      <c r="Q85" s="338"/>
      <c r="R85" s="180"/>
      <c r="S85" s="342"/>
      <c r="T85" s="180"/>
      <c r="U85" s="180"/>
      <c r="V85" s="338"/>
      <c r="W85" s="338"/>
      <c r="X85" s="338"/>
      <c r="Y85" s="338"/>
      <c r="Z85" s="338"/>
      <c r="AA85" s="343"/>
      <c r="AB85" s="338"/>
      <c r="AC85" s="338"/>
      <c r="AD85" s="338"/>
      <c r="AE85" s="338"/>
      <c r="AF85" s="18">
        <f t="shared" si="15"/>
        <v>0</v>
      </c>
      <c r="AG85" s="338"/>
      <c r="AH85" s="338"/>
      <c r="AI85" s="338"/>
      <c r="AJ85" s="338"/>
      <c r="AK85" s="338"/>
      <c r="AL85" s="338"/>
      <c r="AM85" s="345"/>
      <c r="AN85" s="345"/>
      <c r="AO85" s="338"/>
    </row>
    <row r="86" spans="1:41" x14ac:dyDescent="0.25">
      <c r="A86" s="335"/>
      <c r="B86" s="336"/>
      <c r="C86" s="336"/>
      <c r="D86" s="337"/>
      <c r="E86" s="338"/>
      <c r="F86" s="338"/>
      <c r="G86" s="339"/>
      <c r="H86" s="340"/>
      <c r="I86" s="341"/>
      <c r="J86" s="341"/>
      <c r="K86" s="341"/>
      <c r="L86" s="341"/>
      <c r="M86" s="338"/>
      <c r="N86" s="341"/>
      <c r="O86" s="341"/>
      <c r="P86" s="338"/>
      <c r="Q86" s="338"/>
      <c r="R86" s="180"/>
      <c r="S86" s="342"/>
      <c r="T86" s="180"/>
      <c r="U86" s="180"/>
      <c r="V86" s="338"/>
      <c r="W86" s="338"/>
      <c r="X86" s="338"/>
      <c r="Y86" s="338"/>
      <c r="Z86" s="338"/>
      <c r="AA86" s="343"/>
      <c r="AB86" s="338"/>
      <c r="AC86" s="338"/>
      <c r="AD86" s="338"/>
      <c r="AE86" s="338"/>
      <c r="AF86" s="18">
        <f t="shared" si="15"/>
        <v>0</v>
      </c>
      <c r="AG86" s="338"/>
      <c r="AH86" s="338"/>
      <c r="AI86" s="338"/>
      <c r="AJ86" s="338"/>
      <c r="AK86" s="338"/>
      <c r="AL86" s="338"/>
      <c r="AM86" s="345"/>
      <c r="AN86" s="345"/>
      <c r="AO86" s="338"/>
    </row>
  </sheetData>
  <mergeCells count="1">
    <mergeCell ref="M3:N3"/>
  </mergeCells>
  <printOptions horizontalCentered="1"/>
  <pageMargins left="0.19685039370078741" right="0.19685039370078741" top="0.19685039370078741" bottom="0.19685039370078741" header="0.31496062992125984" footer="0.31496062992125984"/>
  <pageSetup scale="7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Noviembre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pc-252</dc:creator>
  <cp:lastModifiedBy>Miguel Trinidad Gómez Hernandez</cp:lastModifiedBy>
  <cp:lastPrinted>2021-07-02T20:46:07Z</cp:lastPrinted>
  <dcterms:created xsi:type="dcterms:W3CDTF">2016-06-08T16:46:01Z</dcterms:created>
  <dcterms:modified xsi:type="dcterms:W3CDTF">2026-01-12T18:16:02Z</dcterms:modified>
</cp:coreProperties>
</file>